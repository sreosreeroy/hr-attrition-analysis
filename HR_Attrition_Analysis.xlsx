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22D01299-3326-41BD-B3BC-B00932E6A86C}" xr6:coauthVersionLast="47" xr6:coauthVersionMax="47" xr10:uidLastSave="{00000000-0000-0000-0000-000000000000}"/>
  <bookViews>
    <workbookView xWindow="-120" yWindow="-120" windowWidth="20730" windowHeight="11160" firstSheet="2" activeTab="3" xr2:uid="{95232329-AD06-4C97-AA9D-51C3E995F912}"/>
  </bookViews>
  <sheets>
    <sheet name="Raw_Data" sheetId="1" r:id="rId1"/>
    <sheet name="Cleaned_Data" sheetId="2" r:id="rId2"/>
    <sheet name="Data_Quality" sheetId="3" r:id="rId3"/>
    <sheet name="Pivot_Analysis" sheetId="4" r:id="rId4"/>
    <sheet name="Attrition_Analysis" sheetId="5" r:id="rId5"/>
    <sheet name="Employee_Analysis" sheetId="6" r:id="rId6"/>
    <sheet name="Dashboard" sheetId="7" r:id="rId7"/>
    <sheet name="Insights" sheetId="8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7" l="1"/>
  <c r="E4" i="7"/>
  <c r="C4" i="7"/>
  <c r="A4" i="7"/>
  <c r="D91" i="6"/>
  <c r="D90" i="6"/>
  <c r="D89" i="6"/>
  <c r="D88" i="6"/>
  <c r="C91" i="6"/>
  <c r="C90" i="6"/>
  <c r="C89" i="6"/>
  <c r="C88" i="6"/>
  <c r="B91" i="6"/>
  <c r="B90" i="6"/>
  <c r="B89" i="6"/>
  <c r="B88" i="6"/>
  <c r="D82" i="6"/>
  <c r="D81" i="6"/>
  <c r="D80" i="6"/>
  <c r="D79" i="6"/>
  <c r="C82" i="6"/>
  <c r="C81" i="6"/>
  <c r="C80" i="6"/>
  <c r="C79" i="6"/>
  <c r="B82" i="6"/>
  <c r="B81" i="6"/>
  <c r="B80" i="6"/>
  <c r="B79" i="6"/>
  <c r="D73" i="6"/>
  <c r="D72" i="6"/>
  <c r="D71" i="6"/>
  <c r="C73" i="6"/>
  <c r="C72" i="6"/>
  <c r="C71" i="6"/>
  <c r="B73" i="6"/>
  <c r="B72" i="6"/>
  <c r="B71" i="6"/>
  <c r="D65" i="6"/>
  <c r="D64" i="6"/>
  <c r="D63" i="6"/>
  <c r="C65" i="6"/>
  <c r="C64" i="6"/>
  <c r="C63" i="6"/>
  <c r="B65" i="6"/>
  <c r="B64" i="6"/>
  <c r="B63" i="6"/>
  <c r="D57" i="6"/>
  <c r="D56" i="6"/>
  <c r="D55" i="6"/>
  <c r="D54" i="6"/>
  <c r="D53" i="6"/>
  <c r="C57" i="6"/>
  <c r="C56" i="6"/>
  <c r="C55" i="6"/>
  <c r="C54" i="6"/>
  <c r="C53" i="6"/>
  <c r="B57" i="6"/>
  <c r="B56" i="6"/>
  <c r="B55" i="6"/>
  <c r="B54" i="6"/>
  <c r="B53" i="6"/>
  <c r="D47" i="6"/>
  <c r="D46" i="6"/>
  <c r="C47" i="6"/>
  <c r="C46" i="6"/>
  <c r="B47" i="6"/>
  <c r="B46" i="6"/>
  <c r="D40" i="6"/>
  <c r="D39" i="6"/>
  <c r="D38" i="6"/>
  <c r="D37" i="6"/>
  <c r="D36" i="6"/>
  <c r="D35" i="6"/>
  <c r="D34" i="6"/>
  <c r="D33" i="6"/>
  <c r="D32" i="6"/>
  <c r="C40" i="6"/>
  <c r="C39" i="6"/>
  <c r="C38" i="6"/>
  <c r="C37" i="6"/>
  <c r="C36" i="6"/>
  <c r="C35" i="6"/>
  <c r="C34" i="6"/>
  <c r="C33" i="6"/>
  <c r="C32" i="6"/>
  <c r="B40" i="6"/>
  <c r="B39" i="6"/>
  <c r="B38" i="6"/>
  <c r="B37" i="6"/>
  <c r="B36" i="6"/>
  <c r="B35" i="6"/>
  <c r="B34" i="6"/>
  <c r="B33" i="6"/>
  <c r="B32" i="6"/>
  <c r="D26" i="6"/>
  <c r="D25" i="6"/>
  <c r="D24" i="6"/>
  <c r="C26" i="6"/>
  <c r="C25" i="6"/>
  <c r="C24" i="6"/>
  <c r="B26" i="6"/>
  <c r="B25" i="6"/>
  <c r="B24" i="6"/>
  <c r="D18" i="6"/>
  <c r="C18" i="6"/>
  <c r="D17" i="6"/>
  <c r="C17" i="6"/>
  <c r="B18" i="6"/>
  <c r="B17" i="6"/>
  <c r="B11" i="6"/>
  <c r="B10" i="6"/>
  <c r="B9" i="6"/>
  <c r="B8" i="6"/>
  <c r="B7" i="6"/>
  <c r="B6" i="6"/>
  <c r="B5" i="6"/>
  <c r="B4" i="6"/>
  <c r="D84" i="5"/>
  <c r="D83" i="5"/>
  <c r="D82" i="5"/>
  <c r="D81" i="5"/>
  <c r="C84" i="5"/>
  <c r="C83" i="5"/>
  <c r="C82" i="5"/>
  <c r="C81" i="5"/>
  <c r="B84" i="5"/>
  <c r="B83" i="5"/>
  <c r="B82" i="5"/>
  <c r="B81" i="5"/>
  <c r="C75" i="5"/>
  <c r="C74" i="5"/>
  <c r="C73" i="5"/>
  <c r="B75" i="5"/>
  <c r="B74" i="5"/>
  <c r="B73" i="5"/>
  <c r="D72" i="5"/>
  <c r="C72" i="5"/>
  <c r="B72" i="5"/>
  <c r="D65" i="5"/>
  <c r="D64" i="5"/>
  <c r="D63" i="5"/>
  <c r="C65" i="5"/>
  <c r="C64" i="5"/>
  <c r="C63" i="5"/>
  <c r="B65" i="5"/>
  <c r="B64" i="5"/>
  <c r="B63" i="5"/>
  <c r="D56" i="5"/>
  <c r="D55" i="5"/>
  <c r="D54" i="5"/>
  <c r="C56" i="5"/>
  <c r="C55" i="5"/>
  <c r="C54" i="5"/>
  <c r="B56" i="5"/>
  <c r="B55" i="5"/>
  <c r="B54" i="5"/>
  <c r="D47" i="5"/>
  <c r="D46" i="5"/>
  <c r="D45" i="5"/>
  <c r="D44" i="5"/>
  <c r="D43" i="5"/>
  <c r="C47" i="5"/>
  <c r="C46" i="5"/>
  <c r="C45" i="5"/>
  <c r="C44" i="5"/>
  <c r="C43" i="5"/>
  <c r="B47" i="5"/>
  <c r="B46" i="5"/>
  <c r="B45" i="5"/>
  <c r="B44" i="5"/>
  <c r="B43" i="5"/>
  <c r="D37" i="5"/>
  <c r="D36" i="5"/>
  <c r="C37" i="5"/>
  <c r="C36" i="5"/>
  <c r="B37" i="5"/>
  <c r="B36" i="5"/>
  <c r="C27" i="5"/>
  <c r="B27" i="5"/>
  <c r="D29" i="5"/>
  <c r="D28" i="5"/>
  <c r="D26" i="5"/>
  <c r="D25" i="5"/>
  <c r="D24" i="5"/>
  <c r="D23" i="5"/>
  <c r="D22" i="5"/>
  <c r="D21" i="5"/>
  <c r="C29" i="5"/>
  <c r="C28" i="5"/>
  <c r="C26" i="5"/>
  <c r="C25" i="5"/>
  <c r="C24" i="5"/>
  <c r="C23" i="5"/>
  <c r="C22" i="5"/>
  <c r="C21" i="5"/>
  <c r="B29" i="5"/>
  <c r="B28" i="5"/>
  <c r="B26" i="5"/>
  <c r="B25" i="5"/>
  <c r="B24" i="5"/>
  <c r="B23" i="5"/>
  <c r="B22" i="5"/>
  <c r="B21" i="5"/>
  <c r="D14" i="5"/>
  <c r="C14" i="5"/>
  <c r="B14" i="5"/>
  <c r="D15" i="5"/>
  <c r="D13" i="5"/>
  <c r="C15" i="5"/>
  <c r="C13" i="5"/>
  <c r="B15" i="5"/>
  <c r="B13" i="5"/>
  <c r="B7" i="5"/>
  <c r="B6" i="5"/>
  <c r="B5" i="5"/>
  <c r="B4" i="5"/>
  <c r="AM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374" i="2"/>
  <c r="AM375" i="2"/>
  <c r="AM376" i="2"/>
  <c r="AM377" i="2"/>
  <c r="AM378" i="2"/>
  <c r="AM379" i="2"/>
  <c r="AM380" i="2"/>
  <c r="AM381" i="2"/>
  <c r="AM382" i="2"/>
  <c r="AM383" i="2"/>
  <c r="AM384" i="2"/>
  <c r="AM385" i="2"/>
  <c r="AM386" i="2"/>
  <c r="AM387" i="2"/>
  <c r="AM388" i="2"/>
  <c r="AM389" i="2"/>
  <c r="AM390" i="2"/>
  <c r="AM391" i="2"/>
  <c r="AM392" i="2"/>
  <c r="AM393" i="2"/>
  <c r="AM394" i="2"/>
  <c r="AM395" i="2"/>
  <c r="AM396" i="2"/>
  <c r="AM397" i="2"/>
  <c r="AM398" i="2"/>
  <c r="AM399" i="2"/>
  <c r="AM400" i="2"/>
  <c r="AM401" i="2"/>
  <c r="AM402" i="2"/>
  <c r="AM403" i="2"/>
  <c r="AM404" i="2"/>
  <c r="AM405" i="2"/>
  <c r="AM406" i="2"/>
  <c r="AM407" i="2"/>
  <c r="AM408" i="2"/>
  <c r="AM409" i="2"/>
  <c r="AM410" i="2"/>
  <c r="AM411" i="2"/>
  <c r="AM412" i="2"/>
  <c r="AM413" i="2"/>
  <c r="AM414" i="2"/>
  <c r="AM415" i="2"/>
  <c r="AM416" i="2"/>
  <c r="AM417" i="2"/>
  <c r="AM418" i="2"/>
  <c r="AM419" i="2"/>
  <c r="AM420" i="2"/>
  <c r="AM421" i="2"/>
  <c r="AM422" i="2"/>
  <c r="AM423" i="2"/>
  <c r="AM424" i="2"/>
  <c r="AM425" i="2"/>
  <c r="AM426" i="2"/>
  <c r="AM427" i="2"/>
  <c r="AM428" i="2"/>
  <c r="AM429" i="2"/>
  <c r="AM430" i="2"/>
  <c r="AM431" i="2"/>
  <c r="AM432" i="2"/>
  <c r="AM433" i="2"/>
  <c r="AM434" i="2"/>
  <c r="AM435" i="2"/>
  <c r="AM436" i="2"/>
  <c r="AM437" i="2"/>
  <c r="AM438" i="2"/>
  <c r="AM439" i="2"/>
  <c r="AM440" i="2"/>
  <c r="AM441" i="2"/>
  <c r="AM442" i="2"/>
  <c r="AM443" i="2"/>
  <c r="AM444" i="2"/>
  <c r="AM445" i="2"/>
  <c r="AM446" i="2"/>
  <c r="AM447" i="2"/>
  <c r="AM448" i="2"/>
  <c r="AM449" i="2"/>
  <c r="AM450" i="2"/>
  <c r="AM451" i="2"/>
  <c r="AM452" i="2"/>
  <c r="AM453" i="2"/>
  <c r="AM454" i="2"/>
  <c r="AM455" i="2"/>
  <c r="AM456" i="2"/>
  <c r="AM457" i="2"/>
  <c r="AM458" i="2"/>
  <c r="AM459" i="2"/>
  <c r="AM460" i="2"/>
  <c r="AM461" i="2"/>
  <c r="AM462" i="2"/>
  <c r="AM463" i="2"/>
  <c r="AM464" i="2"/>
  <c r="AM465" i="2"/>
  <c r="AM466" i="2"/>
  <c r="AM467" i="2"/>
  <c r="AM468" i="2"/>
  <c r="AM469" i="2"/>
  <c r="AM470" i="2"/>
  <c r="AM471" i="2"/>
  <c r="AM472" i="2"/>
  <c r="AM473" i="2"/>
  <c r="AM474" i="2"/>
  <c r="AM475" i="2"/>
  <c r="AM476" i="2"/>
  <c r="AM477" i="2"/>
  <c r="AM478" i="2"/>
  <c r="AM479" i="2"/>
  <c r="AM480" i="2"/>
  <c r="AM481" i="2"/>
  <c r="AM482" i="2"/>
  <c r="AM483" i="2"/>
  <c r="AM484" i="2"/>
  <c r="AM485" i="2"/>
  <c r="AM486" i="2"/>
  <c r="AM487" i="2"/>
  <c r="AM488" i="2"/>
  <c r="AM489" i="2"/>
  <c r="AM490" i="2"/>
  <c r="AM491" i="2"/>
  <c r="AM492" i="2"/>
  <c r="AM493" i="2"/>
  <c r="AM494" i="2"/>
  <c r="AM495" i="2"/>
  <c r="AM496" i="2"/>
  <c r="AM497" i="2"/>
  <c r="AM498" i="2"/>
  <c r="AM499" i="2"/>
  <c r="AM500" i="2"/>
  <c r="AM501" i="2"/>
  <c r="AM502" i="2"/>
  <c r="AM503" i="2"/>
  <c r="AM504" i="2"/>
  <c r="AM505" i="2"/>
  <c r="AM506" i="2"/>
  <c r="AM507" i="2"/>
  <c r="AM508" i="2"/>
  <c r="AM509" i="2"/>
  <c r="AM510" i="2"/>
  <c r="AM511" i="2"/>
  <c r="AM512" i="2"/>
  <c r="AM513" i="2"/>
  <c r="AM514" i="2"/>
  <c r="AM515" i="2"/>
  <c r="AM516" i="2"/>
  <c r="AM517" i="2"/>
  <c r="AM518" i="2"/>
  <c r="AM519" i="2"/>
  <c r="AM520" i="2"/>
  <c r="AM521" i="2"/>
  <c r="AM522" i="2"/>
  <c r="AM523" i="2"/>
  <c r="AM524" i="2"/>
  <c r="AM525" i="2"/>
  <c r="AM526" i="2"/>
  <c r="AM527" i="2"/>
  <c r="AM528" i="2"/>
  <c r="AM529" i="2"/>
  <c r="AM530" i="2"/>
  <c r="AM531" i="2"/>
  <c r="AM532" i="2"/>
  <c r="AM533" i="2"/>
  <c r="AM534" i="2"/>
  <c r="AM535" i="2"/>
  <c r="AM536" i="2"/>
  <c r="AM537" i="2"/>
  <c r="AM538" i="2"/>
  <c r="AM539" i="2"/>
  <c r="AM540" i="2"/>
  <c r="AM541" i="2"/>
  <c r="AM542" i="2"/>
  <c r="AM543" i="2"/>
  <c r="AM544" i="2"/>
  <c r="AM545" i="2"/>
  <c r="AM546" i="2"/>
  <c r="AM547" i="2"/>
  <c r="AM548" i="2"/>
  <c r="AM549" i="2"/>
  <c r="AM550" i="2"/>
  <c r="AM551" i="2"/>
  <c r="AM552" i="2"/>
  <c r="AM553" i="2"/>
  <c r="AM554" i="2"/>
  <c r="AM555" i="2"/>
  <c r="AM556" i="2"/>
  <c r="AM557" i="2"/>
  <c r="AM558" i="2"/>
  <c r="AM559" i="2"/>
  <c r="AM560" i="2"/>
  <c r="AM561" i="2"/>
  <c r="AM562" i="2"/>
  <c r="AM563" i="2"/>
  <c r="AM564" i="2"/>
  <c r="AM565" i="2"/>
  <c r="AM566" i="2"/>
  <c r="AM567" i="2"/>
  <c r="AM568" i="2"/>
  <c r="AM569" i="2"/>
  <c r="AM570" i="2"/>
  <c r="AM571" i="2"/>
  <c r="AM572" i="2"/>
  <c r="AM573" i="2"/>
  <c r="AM574" i="2"/>
  <c r="AM575" i="2"/>
  <c r="AM576" i="2"/>
  <c r="AM577" i="2"/>
  <c r="AM578" i="2"/>
  <c r="AM579" i="2"/>
  <c r="AM580" i="2"/>
  <c r="AM581" i="2"/>
  <c r="AM582" i="2"/>
  <c r="AM583" i="2"/>
  <c r="AM584" i="2"/>
  <c r="AM585" i="2"/>
  <c r="AM586" i="2"/>
  <c r="AM587" i="2"/>
  <c r="AM588" i="2"/>
  <c r="AM589" i="2"/>
  <c r="AM590" i="2"/>
  <c r="AM591" i="2"/>
  <c r="AM592" i="2"/>
  <c r="AM593" i="2"/>
  <c r="AM594" i="2"/>
  <c r="AM595" i="2"/>
  <c r="AM596" i="2"/>
  <c r="AM597" i="2"/>
  <c r="AM598" i="2"/>
  <c r="AM599" i="2"/>
  <c r="AM600" i="2"/>
  <c r="AM601" i="2"/>
  <c r="AM602" i="2"/>
  <c r="AM603" i="2"/>
  <c r="AM604" i="2"/>
  <c r="AM605" i="2"/>
  <c r="AM606" i="2"/>
  <c r="AM607" i="2"/>
  <c r="AM608" i="2"/>
  <c r="AM609" i="2"/>
  <c r="AM610" i="2"/>
  <c r="AM611" i="2"/>
  <c r="AM612" i="2"/>
  <c r="AM613" i="2"/>
  <c r="AM614" i="2"/>
  <c r="AM615" i="2"/>
  <c r="AM616" i="2"/>
  <c r="AM617" i="2"/>
  <c r="AM618" i="2"/>
  <c r="AM619" i="2"/>
  <c r="AM620" i="2"/>
  <c r="AM621" i="2"/>
  <c r="AM622" i="2"/>
  <c r="AM623" i="2"/>
  <c r="AM624" i="2"/>
  <c r="AM625" i="2"/>
  <c r="AM626" i="2"/>
  <c r="AM627" i="2"/>
  <c r="AM628" i="2"/>
  <c r="AM629" i="2"/>
  <c r="AM630" i="2"/>
  <c r="AM631" i="2"/>
  <c r="AM632" i="2"/>
  <c r="AM633" i="2"/>
  <c r="AM634" i="2"/>
  <c r="AM635" i="2"/>
  <c r="AM636" i="2"/>
  <c r="AM637" i="2"/>
  <c r="AM638" i="2"/>
  <c r="AM639" i="2"/>
  <c r="AM640" i="2"/>
  <c r="AM641" i="2"/>
  <c r="AM642" i="2"/>
  <c r="AM643" i="2"/>
  <c r="AM644" i="2"/>
  <c r="AM645" i="2"/>
  <c r="AM646" i="2"/>
  <c r="AM647" i="2"/>
  <c r="AM648" i="2"/>
  <c r="AM649" i="2"/>
  <c r="AM650" i="2"/>
  <c r="AM651" i="2"/>
  <c r="AM652" i="2"/>
  <c r="AM653" i="2"/>
  <c r="AM654" i="2"/>
  <c r="AM655" i="2"/>
  <c r="AM656" i="2"/>
  <c r="AM657" i="2"/>
  <c r="AM658" i="2"/>
  <c r="AM659" i="2"/>
  <c r="AM660" i="2"/>
  <c r="AM661" i="2"/>
  <c r="AM662" i="2"/>
  <c r="AM663" i="2"/>
  <c r="AM664" i="2"/>
  <c r="AM665" i="2"/>
  <c r="AM666" i="2"/>
  <c r="AM667" i="2"/>
  <c r="AM668" i="2"/>
  <c r="AM669" i="2"/>
  <c r="AM670" i="2"/>
  <c r="AM671" i="2"/>
  <c r="AM672" i="2"/>
  <c r="AM673" i="2"/>
  <c r="AM674" i="2"/>
  <c r="AM675" i="2"/>
  <c r="AM676" i="2"/>
  <c r="AM677" i="2"/>
  <c r="AM678" i="2"/>
  <c r="AM679" i="2"/>
  <c r="AM680" i="2"/>
  <c r="AM681" i="2"/>
  <c r="AM682" i="2"/>
  <c r="AM683" i="2"/>
  <c r="AM684" i="2"/>
  <c r="AM685" i="2"/>
  <c r="AM686" i="2"/>
  <c r="AM687" i="2"/>
  <c r="AM688" i="2"/>
  <c r="AM689" i="2"/>
  <c r="AM690" i="2"/>
  <c r="AM691" i="2"/>
  <c r="AM692" i="2"/>
  <c r="AM693" i="2"/>
  <c r="AM694" i="2"/>
  <c r="AM695" i="2"/>
  <c r="AM696" i="2"/>
  <c r="AM697" i="2"/>
  <c r="AM698" i="2"/>
  <c r="AM699" i="2"/>
  <c r="AM700" i="2"/>
  <c r="AM701" i="2"/>
  <c r="AM702" i="2"/>
  <c r="AM703" i="2"/>
  <c r="AM704" i="2"/>
  <c r="AM705" i="2"/>
  <c r="AM706" i="2"/>
  <c r="AM707" i="2"/>
  <c r="AM708" i="2"/>
  <c r="AM709" i="2"/>
  <c r="AM710" i="2"/>
  <c r="AM711" i="2"/>
  <c r="AM712" i="2"/>
  <c r="AM713" i="2"/>
  <c r="AM714" i="2"/>
  <c r="AM715" i="2"/>
  <c r="AM716" i="2"/>
  <c r="AM717" i="2"/>
  <c r="AM718" i="2"/>
  <c r="AM719" i="2"/>
  <c r="AM720" i="2"/>
  <c r="AM721" i="2"/>
  <c r="AM722" i="2"/>
  <c r="AM723" i="2"/>
  <c r="AM724" i="2"/>
  <c r="AM725" i="2"/>
  <c r="AM726" i="2"/>
  <c r="AM727" i="2"/>
  <c r="AM728" i="2"/>
  <c r="AM729" i="2"/>
  <c r="AM730" i="2"/>
  <c r="AM731" i="2"/>
  <c r="AM732" i="2"/>
  <c r="AM733" i="2"/>
  <c r="AM734" i="2"/>
  <c r="AM735" i="2"/>
  <c r="AM736" i="2"/>
  <c r="AM737" i="2"/>
  <c r="AM738" i="2"/>
  <c r="AM739" i="2"/>
  <c r="AM740" i="2"/>
  <c r="AM741" i="2"/>
  <c r="AM742" i="2"/>
  <c r="AM743" i="2"/>
  <c r="AM744" i="2"/>
  <c r="AM745" i="2"/>
  <c r="AM746" i="2"/>
  <c r="AM747" i="2"/>
  <c r="AM748" i="2"/>
  <c r="AM749" i="2"/>
  <c r="AM750" i="2"/>
  <c r="AM751" i="2"/>
  <c r="AM752" i="2"/>
  <c r="AM753" i="2"/>
  <c r="AM754" i="2"/>
  <c r="AM755" i="2"/>
  <c r="AM756" i="2"/>
  <c r="AM757" i="2"/>
  <c r="AM758" i="2"/>
  <c r="AM759" i="2"/>
  <c r="AM760" i="2"/>
  <c r="AM761" i="2"/>
  <c r="AM762" i="2"/>
  <c r="AM763" i="2"/>
  <c r="AM764" i="2"/>
  <c r="AM765" i="2"/>
  <c r="AM766" i="2"/>
  <c r="AM767" i="2"/>
  <c r="AM768" i="2"/>
  <c r="AM769" i="2"/>
  <c r="AM770" i="2"/>
  <c r="AM771" i="2"/>
  <c r="AM772" i="2"/>
  <c r="AM773" i="2"/>
  <c r="AM774" i="2"/>
  <c r="AM775" i="2"/>
  <c r="AM776" i="2"/>
  <c r="AM777" i="2"/>
  <c r="AM778" i="2"/>
  <c r="AM779" i="2"/>
  <c r="AM780" i="2"/>
  <c r="AM781" i="2"/>
  <c r="AM782" i="2"/>
  <c r="AM783" i="2"/>
  <c r="AM784" i="2"/>
  <c r="AM785" i="2"/>
  <c r="AM786" i="2"/>
  <c r="AM787" i="2"/>
  <c r="AM788" i="2"/>
  <c r="AM789" i="2"/>
  <c r="AM790" i="2"/>
  <c r="AM791" i="2"/>
  <c r="AM792" i="2"/>
  <c r="AM793" i="2"/>
  <c r="AM794" i="2"/>
  <c r="AM795" i="2"/>
  <c r="AM796" i="2"/>
  <c r="AM797" i="2"/>
  <c r="AM798" i="2"/>
  <c r="AM799" i="2"/>
  <c r="AM800" i="2"/>
  <c r="AM801" i="2"/>
  <c r="AM802" i="2"/>
  <c r="AM803" i="2"/>
  <c r="AM804" i="2"/>
  <c r="AM805" i="2"/>
  <c r="AM806" i="2"/>
  <c r="AM807" i="2"/>
  <c r="AM808" i="2"/>
  <c r="AM809" i="2"/>
  <c r="AM810" i="2"/>
  <c r="AM811" i="2"/>
  <c r="AM812" i="2"/>
  <c r="AM813" i="2"/>
  <c r="AM814" i="2"/>
  <c r="AM815" i="2"/>
  <c r="AM816" i="2"/>
  <c r="AM817" i="2"/>
  <c r="AM818" i="2"/>
  <c r="AM819" i="2"/>
  <c r="AM820" i="2"/>
  <c r="AM821" i="2"/>
  <c r="AM822" i="2"/>
  <c r="AM823" i="2"/>
  <c r="AM824" i="2"/>
  <c r="AM825" i="2"/>
  <c r="AM826" i="2"/>
  <c r="AM827" i="2"/>
  <c r="AM828" i="2"/>
  <c r="AM829" i="2"/>
  <c r="AM830" i="2"/>
  <c r="AM831" i="2"/>
  <c r="AM832" i="2"/>
  <c r="AM833" i="2"/>
  <c r="AM834" i="2"/>
  <c r="AM835" i="2"/>
  <c r="AM836" i="2"/>
  <c r="AM837" i="2"/>
  <c r="AM838" i="2"/>
  <c r="AM839" i="2"/>
  <c r="AM840" i="2"/>
  <c r="AM841" i="2"/>
  <c r="AM842" i="2"/>
  <c r="AM843" i="2"/>
  <c r="AM844" i="2"/>
  <c r="AM845" i="2"/>
  <c r="AM846" i="2"/>
  <c r="AM847" i="2"/>
  <c r="AM848" i="2"/>
  <c r="AM849" i="2"/>
  <c r="AM850" i="2"/>
  <c r="AM851" i="2"/>
  <c r="AM852" i="2"/>
  <c r="AM853" i="2"/>
  <c r="AM854" i="2"/>
  <c r="AM855" i="2"/>
  <c r="AM856" i="2"/>
  <c r="AM857" i="2"/>
  <c r="AM858" i="2"/>
  <c r="AM859" i="2"/>
  <c r="AM860" i="2"/>
  <c r="AM861" i="2"/>
  <c r="AM862" i="2"/>
  <c r="AM863" i="2"/>
  <c r="AM864" i="2"/>
  <c r="AM865" i="2"/>
  <c r="AM866" i="2"/>
  <c r="AM867" i="2"/>
  <c r="AM868" i="2"/>
  <c r="AM869" i="2"/>
  <c r="AM870" i="2"/>
  <c r="AM871" i="2"/>
  <c r="AM872" i="2"/>
  <c r="AM873" i="2"/>
  <c r="AM874" i="2"/>
  <c r="AM875" i="2"/>
  <c r="AM876" i="2"/>
  <c r="AM877" i="2"/>
  <c r="AM878" i="2"/>
  <c r="AM879" i="2"/>
  <c r="AM880" i="2"/>
  <c r="AM881" i="2"/>
  <c r="AM882" i="2"/>
  <c r="AM883" i="2"/>
  <c r="AM884" i="2"/>
  <c r="AM885" i="2"/>
  <c r="AM886" i="2"/>
  <c r="AM887" i="2"/>
  <c r="AM888" i="2"/>
  <c r="AM889" i="2"/>
  <c r="AM890" i="2"/>
  <c r="AM891" i="2"/>
  <c r="AM892" i="2"/>
  <c r="AM893" i="2"/>
  <c r="AM894" i="2"/>
  <c r="AM895" i="2"/>
  <c r="AM896" i="2"/>
  <c r="AM897" i="2"/>
  <c r="AM898" i="2"/>
  <c r="AM899" i="2"/>
  <c r="AM900" i="2"/>
  <c r="AM901" i="2"/>
  <c r="AM902" i="2"/>
  <c r="AM903" i="2"/>
  <c r="AM904" i="2"/>
  <c r="AM905" i="2"/>
  <c r="AM906" i="2"/>
  <c r="AM907" i="2"/>
  <c r="AM908" i="2"/>
  <c r="AM909" i="2"/>
  <c r="AM910" i="2"/>
  <c r="AM911" i="2"/>
  <c r="AM912" i="2"/>
  <c r="AM913" i="2"/>
  <c r="AM914" i="2"/>
  <c r="AM915" i="2"/>
  <c r="AM916" i="2"/>
  <c r="AM917" i="2"/>
  <c r="AM918" i="2"/>
  <c r="AM919" i="2"/>
  <c r="AM920" i="2"/>
  <c r="AM921" i="2"/>
  <c r="AM922" i="2"/>
  <c r="AM923" i="2"/>
  <c r="AM924" i="2"/>
  <c r="AM925" i="2"/>
  <c r="AM926" i="2"/>
  <c r="AM927" i="2"/>
  <c r="AM928" i="2"/>
  <c r="AM929" i="2"/>
  <c r="AM930" i="2"/>
  <c r="AM931" i="2"/>
  <c r="AM932" i="2"/>
  <c r="AM933" i="2"/>
  <c r="AM934" i="2"/>
  <c r="AM935" i="2"/>
  <c r="AM936" i="2"/>
  <c r="AM937" i="2"/>
  <c r="AM938" i="2"/>
  <c r="AM939" i="2"/>
  <c r="AM940" i="2"/>
  <c r="AM941" i="2"/>
  <c r="AM942" i="2"/>
  <c r="AM943" i="2"/>
  <c r="AM944" i="2"/>
  <c r="AM945" i="2"/>
  <c r="AM946" i="2"/>
  <c r="AM947" i="2"/>
  <c r="AM948" i="2"/>
  <c r="AM949" i="2"/>
  <c r="AM950" i="2"/>
  <c r="AM951" i="2"/>
  <c r="AM952" i="2"/>
  <c r="AM953" i="2"/>
  <c r="AM954" i="2"/>
  <c r="AM955" i="2"/>
  <c r="AM956" i="2"/>
  <c r="AM957" i="2"/>
  <c r="AM958" i="2"/>
  <c r="AM959" i="2"/>
  <c r="AM960" i="2"/>
  <c r="AM961" i="2"/>
  <c r="AM962" i="2"/>
  <c r="AM963" i="2"/>
  <c r="AM964" i="2"/>
  <c r="AM965" i="2"/>
  <c r="AM966" i="2"/>
  <c r="AM967" i="2"/>
  <c r="AM968" i="2"/>
  <c r="AM969" i="2"/>
  <c r="AM970" i="2"/>
  <c r="AM971" i="2"/>
  <c r="AM972" i="2"/>
  <c r="AM973" i="2"/>
  <c r="AM974" i="2"/>
  <c r="AM975" i="2"/>
  <c r="AM976" i="2"/>
  <c r="AM977" i="2"/>
  <c r="AM978" i="2"/>
  <c r="AM979" i="2"/>
  <c r="AM980" i="2"/>
  <c r="AM981" i="2"/>
  <c r="AM982" i="2"/>
  <c r="AM983" i="2"/>
  <c r="AM984" i="2"/>
  <c r="AM985" i="2"/>
  <c r="AM986" i="2"/>
  <c r="AM987" i="2"/>
  <c r="AM988" i="2"/>
  <c r="AM989" i="2"/>
  <c r="AM990" i="2"/>
  <c r="AM991" i="2"/>
  <c r="AM992" i="2"/>
  <c r="AM993" i="2"/>
  <c r="AM994" i="2"/>
  <c r="AM995" i="2"/>
  <c r="AM996" i="2"/>
  <c r="AM997" i="2"/>
  <c r="AM998" i="2"/>
  <c r="AM999" i="2"/>
  <c r="AM1000" i="2"/>
  <c r="AM1001" i="2"/>
  <c r="AM1002" i="2"/>
  <c r="AM1003" i="2"/>
  <c r="AM1004" i="2"/>
  <c r="AM1005" i="2"/>
  <c r="AM1006" i="2"/>
  <c r="AM1007" i="2"/>
  <c r="AM1008" i="2"/>
  <c r="AM1009" i="2"/>
  <c r="AM1010" i="2"/>
  <c r="AM1011" i="2"/>
  <c r="AM1012" i="2"/>
  <c r="AM1013" i="2"/>
  <c r="AM1014" i="2"/>
  <c r="AM1015" i="2"/>
  <c r="AM1016" i="2"/>
  <c r="AM1017" i="2"/>
  <c r="AM1018" i="2"/>
  <c r="AM1019" i="2"/>
  <c r="AM1020" i="2"/>
  <c r="AM1021" i="2"/>
  <c r="AM1022" i="2"/>
  <c r="AM1023" i="2"/>
  <c r="AM1024" i="2"/>
  <c r="AM1025" i="2"/>
  <c r="AM1026" i="2"/>
  <c r="AM1027" i="2"/>
  <c r="AM1028" i="2"/>
  <c r="AM1029" i="2"/>
  <c r="AM1030" i="2"/>
  <c r="AM1031" i="2"/>
  <c r="AM1032" i="2"/>
  <c r="AM1033" i="2"/>
  <c r="AM1034" i="2"/>
  <c r="AM1035" i="2"/>
  <c r="AM1036" i="2"/>
  <c r="AM1037" i="2"/>
  <c r="AM1038" i="2"/>
  <c r="AM1039" i="2"/>
  <c r="AM1040" i="2"/>
  <c r="AM1041" i="2"/>
  <c r="AM1042" i="2"/>
  <c r="AM1043" i="2"/>
  <c r="AM1044" i="2"/>
  <c r="AM1045" i="2"/>
  <c r="AM1046" i="2"/>
  <c r="AM1047" i="2"/>
  <c r="AM1048" i="2"/>
  <c r="AM1049" i="2"/>
  <c r="AM1050" i="2"/>
  <c r="AM1051" i="2"/>
  <c r="AM1052" i="2"/>
  <c r="AM1053" i="2"/>
  <c r="AM1054" i="2"/>
  <c r="AM1055" i="2"/>
  <c r="AM1056" i="2"/>
  <c r="AM1057" i="2"/>
  <c r="AM1058" i="2"/>
  <c r="AM1059" i="2"/>
  <c r="AM1060" i="2"/>
  <c r="AM1061" i="2"/>
  <c r="AM1062" i="2"/>
  <c r="AM1063" i="2"/>
  <c r="AM1064" i="2"/>
  <c r="AM1065" i="2"/>
  <c r="AM1066" i="2"/>
  <c r="AM1067" i="2"/>
  <c r="AM1068" i="2"/>
  <c r="AM1069" i="2"/>
  <c r="AM1070" i="2"/>
  <c r="AM1071" i="2"/>
  <c r="AM1072" i="2"/>
  <c r="AM1073" i="2"/>
  <c r="AM1074" i="2"/>
  <c r="AM1075" i="2"/>
  <c r="AM1076" i="2"/>
  <c r="AM1077" i="2"/>
  <c r="AM1078" i="2"/>
  <c r="AM1079" i="2"/>
  <c r="AM1080" i="2"/>
  <c r="AM1081" i="2"/>
  <c r="AM1082" i="2"/>
  <c r="AM1083" i="2"/>
  <c r="AM1084" i="2"/>
  <c r="AM1085" i="2"/>
  <c r="AM1086" i="2"/>
  <c r="AM1087" i="2"/>
  <c r="AM1088" i="2"/>
  <c r="AM1089" i="2"/>
  <c r="AM1090" i="2"/>
  <c r="AM1091" i="2"/>
  <c r="AM1092" i="2"/>
  <c r="AM1093" i="2"/>
  <c r="AM1094" i="2"/>
  <c r="AM1095" i="2"/>
  <c r="AM1096" i="2"/>
  <c r="AM1097" i="2"/>
  <c r="AM1098" i="2"/>
  <c r="AM1099" i="2"/>
  <c r="AM1100" i="2"/>
  <c r="AM1101" i="2"/>
  <c r="AM1102" i="2"/>
  <c r="AM1103" i="2"/>
  <c r="AM1104" i="2"/>
  <c r="AM1105" i="2"/>
  <c r="AM1106" i="2"/>
  <c r="AM1107" i="2"/>
  <c r="AM1108" i="2"/>
  <c r="AM1109" i="2"/>
  <c r="AM1110" i="2"/>
  <c r="AM1111" i="2"/>
  <c r="AM1112" i="2"/>
  <c r="AM1113" i="2"/>
  <c r="AM1114" i="2"/>
  <c r="AM1115" i="2"/>
  <c r="AM1116" i="2"/>
  <c r="AM1117" i="2"/>
  <c r="AM1118" i="2"/>
  <c r="AM1119" i="2"/>
  <c r="AM1120" i="2"/>
  <c r="AM1121" i="2"/>
  <c r="AM1122" i="2"/>
  <c r="AM1123" i="2"/>
  <c r="AM1124" i="2"/>
  <c r="AM1125" i="2"/>
  <c r="AM1126" i="2"/>
  <c r="AM1127" i="2"/>
  <c r="AM1128" i="2"/>
  <c r="AM1129" i="2"/>
  <c r="AM1130" i="2"/>
  <c r="AM1131" i="2"/>
  <c r="AM1132" i="2"/>
  <c r="AM1133" i="2"/>
  <c r="AM1134" i="2"/>
  <c r="AM1135" i="2"/>
  <c r="AM1136" i="2"/>
  <c r="AM1137" i="2"/>
  <c r="AM1138" i="2"/>
  <c r="AM1139" i="2"/>
  <c r="AM1140" i="2"/>
  <c r="AM1141" i="2"/>
  <c r="AM1142" i="2"/>
  <c r="AM1143" i="2"/>
  <c r="AM1144" i="2"/>
  <c r="AM1145" i="2"/>
  <c r="AM1146" i="2"/>
  <c r="AM1147" i="2"/>
  <c r="AM1148" i="2"/>
  <c r="AM1149" i="2"/>
  <c r="AM1150" i="2"/>
  <c r="AM1151" i="2"/>
  <c r="AM1152" i="2"/>
  <c r="AM1153" i="2"/>
  <c r="AM1154" i="2"/>
  <c r="AM1155" i="2"/>
  <c r="AM1156" i="2"/>
  <c r="AM1157" i="2"/>
  <c r="AM1158" i="2"/>
  <c r="AM1159" i="2"/>
  <c r="AM1160" i="2"/>
  <c r="AM1161" i="2"/>
  <c r="AM1162" i="2"/>
  <c r="AM1163" i="2"/>
  <c r="AM1164" i="2"/>
  <c r="AM1165" i="2"/>
  <c r="AM1166" i="2"/>
  <c r="AM1167" i="2"/>
  <c r="AM1168" i="2"/>
  <c r="AM1169" i="2"/>
  <c r="AM1170" i="2"/>
  <c r="AM1171" i="2"/>
  <c r="AM1172" i="2"/>
  <c r="AM1173" i="2"/>
  <c r="AM1174" i="2"/>
  <c r="AM1175" i="2"/>
  <c r="AM1176" i="2"/>
  <c r="AM1177" i="2"/>
  <c r="AM1178" i="2"/>
  <c r="AM1179" i="2"/>
  <c r="AM1180" i="2"/>
  <c r="AM1181" i="2"/>
  <c r="AM1182" i="2"/>
  <c r="AM1183" i="2"/>
  <c r="AM1184" i="2"/>
  <c r="AM1185" i="2"/>
  <c r="AM1186" i="2"/>
  <c r="AM1187" i="2"/>
  <c r="AM1188" i="2"/>
  <c r="AM1189" i="2"/>
  <c r="AM1190" i="2"/>
  <c r="AM1191" i="2"/>
  <c r="AM1192" i="2"/>
  <c r="AM1193" i="2"/>
  <c r="AM1194" i="2"/>
  <c r="AM1195" i="2"/>
  <c r="AM1196" i="2"/>
  <c r="AM1197" i="2"/>
  <c r="AM1198" i="2"/>
  <c r="AM1199" i="2"/>
  <c r="AM1200" i="2"/>
  <c r="AM1201" i="2"/>
  <c r="AM1202" i="2"/>
  <c r="AM1203" i="2"/>
  <c r="AM1204" i="2"/>
  <c r="AM1205" i="2"/>
  <c r="AM1206" i="2"/>
  <c r="AM1207" i="2"/>
  <c r="AM1208" i="2"/>
  <c r="AM1209" i="2"/>
  <c r="AM1210" i="2"/>
  <c r="AM1211" i="2"/>
  <c r="AM1212" i="2"/>
  <c r="AM1213" i="2"/>
  <c r="AM1214" i="2"/>
  <c r="AM1215" i="2"/>
  <c r="AM1216" i="2"/>
  <c r="AM1217" i="2"/>
  <c r="AM1218" i="2"/>
  <c r="AM1219" i="2"/>
  <c r="AM1220" i="2"/>
  <c r="AM1221" i="2"/>
  <c r="AM1222" i="2"/>
  <c r="AM1223" i="2"/>
  <c r="AM1224" i="2"/>
  <c r="AM1225" i="2"/>
  <c r="AM1226" i="2"/>
  <c r="AM1227" i="2"/>
  <c r="AM1228" i="2"/>
  <c r="AM1229" i="2"/>
  <c r="AM1230" i="2"/>
  <c r="AM1231" i="2"/>
  <c r="AM1232" i="2"/>
  <c r="AM1233" i="2"/>
  <c r="AM1234" i="2"/>
  <c r="AM1235" i="2"/>
  <c r="AM1236" i="2"/>
  <c r="AM1237" i="2"/>
  <c r="AM1238" i="2"/>
  <c r="AM1239" i="2"/>
  <c r="AM1240" i="2"/>
  <c r="AM1241" i="2"/>
  <c r="AM1242" i="2"/>
  <c r="AM1243" i="2"/>
  <c r="AM1244" i="2"/>
  <c r="AM1245" i="2"/>
  <c r="AM1246" i="2"/>
  <c r="AM1247" i="2"/>
  <c r="AM1248" i="2"/>
  <c r="AM1249" i="2"/>
  <c r="AM1250" i="2"/>
  <c r="AM1251" i="2"/>
  <c r="AM1252" i="2"/>
  <c r="AM1253" i="2"/>
  <c r="AM1254" i="2"/>
  <c r="AM1255" i="2"/>
  <c r="AM1256" i="2"/>
  <c r="AM1257" i="2"/>
  <c r="AM1258" i="2"/>
  <c r="AM1259" i="2"/>
  <c r="AM1260" i="2"/>
  <c r="AM1261" i="2"/>
  <c r="AM1262" i="2"/>
  <c r="AM1263" i="2"/>
  <c r="AM1264" i="2"/>
  <c r="AM1265" i="2"/>
  <c r="AM1266" i="2"/>
  <c r="AM1267" i="2"/>
  <c r="AM1268" i="2"/>
  <c r="AM1269" i="2"/>
  <c r="AM1270" i="2"/>
  <c r="AM1271" i="2"/>
  <c r="AM1272" i="2"/>
  <c r="AM1273" i="2"/>
  <c r="AM1274" i="2"/>
  <c r="AM1275" i="2"/>
  <c r="AM1276" i="2"/>
  <c r="AM1277" i="2"/>
  <c r="AM1278" i="2"/>
  <c r="AM1279" i="2"/>
  <c r="AM1280" i="2"/>
  <c r="AM1281" i="2"/>
  <c r="AM1282" i="2"/>
  <c r="AM1283" i="2"/>
  <c r="AM1284" i="2"/>
  <c r="AM1285" i="2"/>
  <c r="AM1286" i="2"/>
  <c r="AM1287" i="2"/>
  <c r="AM1288" i="2"/>
  <c r="AM1289" i="2"/>
  <c r="AM1290" i="2"/>
  <c r="AM1291" i="2"/>
  <c r="AM1292" i="2"/>
  <c r="AM1293" i="2"/>
  <c r="AM1294" i="2"/>
  <c r="AM1295" i="2"/>
  <c r="AM1296" i="2"/>
  <c r="AM1297" i="2"/>
  <c r="AM1298" i="2"/>
  <c r="AM1299" i="2"/>
  <c r="AM1300" i="2"/>
  <c r="AM1301" i="2"/>
  <c r="AM1302" i="2"/>
  <c r="AM1303" i="2"/>
  <c r="AM1304" i="2"/>
  <c r="AM1305" i="2"/>
  <c r="AM1306" i="2"/>
  <c r="AM1307" i="2"/>
  <c r="AM1308" i="2"/>
  <c r="AM1309" i="2"/>
  <c r="AM1310" i="2"/>
  <c r="AM1311" i="2"/>
  <c r="AM1312" i="2"/>
  <c r="AM1313" i="2"/>
  <c r="AM1314" i="2"/>
  <c r="AM1315" i="2"/>
  <c r="AM1316" i="2"/>
  <c r="AM1317" i="2"/>
  <c r="AM1318" i="2"/>
  <c r="AM1319" i="2"/>
  <c r="AM1320" i="2"/>
  <c r="AM1321" i="2"/>
  <c r="AM1322" i="2"/>
  <c r="AM1323" i="2"/>
  <c r="AM1324" i="2"/>
  <c r="AM1325" i="2"/>
  <c r="AM1326" i="2"/>
  <c r="AM1327" i="2"/>
  <c r="AM1328" i="2"/>
  <c r="AM1329" i="2"/>
  <c r="AM1330" i="2"/>
  <c r="AM1331" i="2"/>
  <c r="AM1332" i="2"/>
  <c r="AM1333" i="2"/>
  <c r="AM1334" i="2"/>
  <c r="AM1335" i="2"/>
  <c r="AM1336" i="2"/>
  <c r="AM1337" i="2"/>
  <c r="AM1338" i="2"/>
  <c r="AM1339" i="2"/>
  <c r="AM1340" i="2"/>
  <c r="AM1341" i="2"/>
  <c r="AM1342" i="2"/>
  <c r="AM1343" i="2"/>
  <c r="AM1344" i="2"/>
  <c r="AM1345" i="2"/>
  <c r="AM1346" i="2"/>
  <c r="AM1347" i="2"/>
  <c r="AM1348" i="2"/>
  <c r="AM1349" i="2"/>
  <c r="AM1350" i="2"/>
  <c r="AM1351" i="2"/>
  <c r="AM1352" i="2"/>
  <c r="AM1353" i="2"/>
  <c r="AM1354" i="2"/>
  <c r="AM1355" i="2"/>
  <c r="AM1356" i="2"/>
  <c r="AM1357" i="2"/>
  <c r="AM1358" i="2"/>
  <c r="AM1359" i="2"/>
  <c r="AM1360" i="2"/>
  <c r="AM1361" i="2"/>
  <c r="AM1362" i="2"/>
  <c r="AM1363" i="2"/>
  <c r="AM1364" i="2"/>
  <c r="AM1365" i="2"/>
  <c r="AM1366" i="2"/>
  <c r="AM1367" i="2"/>
  <c r="AM1368" i="2"/>
  <c r="AM1369" i="2"/>
  <c r="AM1370" i="2"/>
  <c r="AM1371" i="2"/>
  <c r="AM1372" i="2"/>
  <c r="AM1373" i="2"/>
  <c r="AM1374" i="2"/>
  <c r="AM1375" i="2"/>
  <c r="AM1376" i="2"/>
  <c r="AM1377" i="2"/>
  <c r="AM1378" i="2"/>
  <c r="AM1379" i="2"/>
  <c r="AM1380" i="2"/>
  <c r="AM1381" i="2"/>
  <c r="AM1382" i="2"/>
  <c r="AM1383" i="2"/>
  <c r="AM1384" i="2"/>
  <c r="AM1385" i="2"/>
  <c r="AM1386" i="2"/>
  <c r="AM1387" i="2"/>
  <c r="AM1388" i="2"/>
  <c r="AM1389" i="2"/>
  <c r="AM1390" i="2"/>
  <c r="AM1391" i="2"/>
  <c r="AM1392" i="2"/>
  <c r="AM1393" i="2"/>
  <c r="AM1394" i="2"/>
  <c r="AM1395" i="2"/>
  <c r="AM1396" i="2"/>
  <c r="AM1397" i="2"/>
  <c r="AM1398" i="2"/>
  <c r="AM1399" i="2"/>
  <c r="AM1400" i="2"/>
  <c r="AM1401" i="2"/>
  <c r="AM1402" i="2"/>
  <c r="AM1403" i="2"/>
  <c r="AM1404" i="2"/>
  <c r="AM1405" i="2"/>
  <c r="AM1406" i="2"/>
  <c r="AM1407" i="2"/>
  <c r="AM1408" i="2"/>
  <c r="AM1409" i="2"/>
  <c r="AM1410" i="2"/>
  <c r="AM1411" i="2"/>
  <c r="AM1412" i="2"/>
  <c r="AM1413" i="2"/>
  <c r="AM1414" i="2"/>
  <c r="AM1415" i="2"/>
  <c r="AM1416" i="2"/>
  <c r="AM1417" i="2"/>
  <c r="AM1418" i="2"/>
  <c r="AM1419" i="2"/>
  <c r="AM1420" i="2"/>
  <c r="AM1421" i="2"/>
  <c r="AM1422" i="2"/>
  <c r="AM1423" i="2"/>
  <c r="AM1424" i="2"/>
  <c r="AM1425" i="2"/>
  <c r="AM1426" i="2"/>
  <c r="AM1427" i="2"/>
  <c r="AM1428" i="2"/>
  <c r="AM1429" i="2"/>
  <c r="AM1430" i="2"/>
  <c r="AM1431" i="2"/>
  <c r="AM1432" i="2"/>
  <c r="AM1433" i="2"/>
  <c r="AM1434" i="2"/>
  <c r="AM1435" i="2"/>
  <c r="AM1436" i="2"/>
  <c r="AM1437" i="2"/>
  <c r="AM1438" i="2"/>
  <c r="AM1439" i="2"/>
  <c r="AM1440" i="2"/>
  <c r="AM1441" i="2"/>
  <c r="AM1442" i="2"/>
  <c r="AM1443" i="2"/>
  <c r="AM1444" i="2"/>
  <c r="AM1445" i="2"/>
  <c r="AM1446" i="2"/>
  <c r="AM1447" i="2"/>
  <c r="AM1448" i="2"/>
  <c r="AM1449" i="2"/>
  <c r="AM1450" i="2"/>
  <c r="AM1451" i="2"/>
  <c r="AM1452" i="2"/>
  <c r="AM1453" i="2"/>
  <c r="AM1454" i="2"/>
  <c r="AM1455" i="2"/>
  <c r="AM1456" i="2"/>
  <c r="AM1457" i="2"/>
  <c r="AM1458" i="2"/>
  <c r="AM1459" i="2"/>
  <c r="AM1460" i="2"/>
  <c r="AM1461" i="2"/>
  <c r="AM1462" i="2"/>
  <c r="AM1463" i="2"/>
  <c r="AM1464" i="2"/>
  <c r="AM1465" i="2"/>
  <c r="AM1466" i="2"/>
  <c r="AM1467" i="2"/>
  <c r="AM1468" i="2"/>
  <c r="AM1469" i="2"/>
  <c r="AM1470" i="2"/>
  <c r="AM1471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AL524" i="2"/>
  <c r="AL525" i="2"/>
  <c r="AL526" i="2"/>
  <c r="AL527" i="2"/>
  <c r="AL528" i="2"/>
  <c r="AL529" i="2"/>
  <c r="AL530" i="2"/>
  <c r="AL531" i="2"/>
  <c r="AL532" i="2"/>
  <c r="AL533" i="2"/>
  <c r="AL534" i="2"/>
  <c r="AL535" i="2"/>
  <c r="AL536" i="2"/>
  <c r="AL537" i="2"/>
  <c r="AL538" i="2"/>
  <c r="AL539" i="2"/>
  <c r="AL540" i="2"/>
  <c r="AL541" i="2"/>
  <c r="AL542" i="2"/>
  <c r="AL543" i="2"/>
  <c r="AL544" i="2"/>
  <c r="AL545" i="2"/>
  <c r="AL546" i="2"/>
  <c r="AL547" i="2"/>
  <c r="AL548" i="2"/>
  <c r="AL549" i="2"/>
  <c r="AL550" i="2"/>
  <c r="AL551" i="2"/>
  <c r="AL552" i="2"/>
  <c r="AL553" i="2"/>
  <c r="AL554" i="2"/>
  <c r="AL555" i="2"/>
  <c r="AL556" i="2"/>
  <c r="AL557" i="2"/>
  <c r="AL558" i="2"/>
  <c r="AL559" i="2"/>
  <c r="AL560" i="2"/>
  <c r="AL561" i="2"/>
  <c r="AL562" i="2"/>
  <c r="AL563" i="2"/>
  <c r="AL564" i="2"/>
  <c r="AL565" i="2"/>
  <c r="AL566" i="2"/>
  <c r="AL567" i="2"/>
  <c r="AL568" i="2"/>
  <c r="AL569" i="2"/>
  <c r="AL570" i="2"/>
  <c r="AL571" i="2"/>
  <c r="AL572" i="2"/>
  <c r="AL573" i="2"/>
  <c r="AL574" i="2"/>
  <c r="AL575" i="2"/>
  <c r="AL576" i="2"/>
  <c r="AL577" i="2"/>
  <c r="AL578" i="2"/>
  <c r="AL579" i="2"/>
  <c r="AL580" i="2"/>
  <c r="AL581" i="2"/>
  <c r="AL582" i="2"/>
  <c r="AL583" i="2"/>
  <c r="AL584" i="2"/>
  <c r="AL585" i="2"/>
  <c r="AL586" i="2"/>
  <c r="AL587" i="2"/>
  <c r="AL588" i="2"/>
  <c r="AL589" i="2"/>
  <c r="AL590" i="2"/>
  <c r="AL591" i="2"/>
  <c r="AL592" i="2"/>
  <c r="AL593" i="2"/>
  <c r="AL594" i="2"/>
  <c r="AL595" i="2"/>
  <c r="AL596" i="2"/>
  <c r="AL597" i="2"/>
  <c r="AL598" i="2"/>
  <c r="AL599" i="2"/>
  <c r="AL600" i="2"/>
  <c r="AL601" i="2"/>
  <c r="AL602" i="2"/>
  <c r="AL603" i="2"/>
  <c r="AL604" i="2"/>
  <c r="AL605" i="2"/>
  <c r="AL606" i="2"/>
  <c r="AL607" i="2"/>
  <c r="AL608" i="2"/>
  <c r="AL609" i="2"/>
  <c r="AL610" i="2"/>
  <c r="AL611" i="2"/>
  <c r="AL612" i="2"/>
  <c r="AL613" i="2"/>
  <c r="AL614" i="2"/>
  <c r="AL615" i="2"/>
  <c r="AL616" i="2"/>
  <c r="AL617" i="2"/>
  <c r="AL618" i="2"/>
  <c r="AL619" i="2"/>
  <c r="AL620" i="2"/>
  <c r="AL621" i="2"/>
  <c r="AL622" i="2"/>
  <c r="AL623" i="2"/>
  <c r="AL624" i="2"/>
  <c r="AL625" i="2"/>
  <c r="AL626" i="2"/>
  <c r="AL627" i="2"/>
  <c r="AL628" i="2"/>
  <c r="AL629" i="2"/>
  <c r="AL630" i="2"/>
  <c r="AL631" i="2"/>
  <c r="AL632" i="2"/>
  <c r="AL633" i="2"/>
  <c r="AL634" i="2"/>
  <c r="AL635" i="2"/>
  <c r="AL636" i="2"/>
  <c r="AL637" i="2"/>
  <c r="AL638" i="2"/>
  <c r="AL639" i="2"/>
  <c r="AL640" i="2"/>
  <c r="AL641" i="2"/>
  <c r="AL642" i="2"/>
  <c r="AL643" i="2"/>
  <c r="AL644" i="2"/>
  <c r="AL645" i="2"/>
  <c r="AL646" i="2"/>
  <c r="AL647" i="2"/>
  <c r="AL648" i="2"/>
  <c r="AL649" i="2"/>
  <c r="AL650" i="2"/>
  <c r="AL651" i="2"/>
  <c r="AL652" i="2"/>
  <c r="AL653" i="2"/>
  <c r="AL654" i="2"/>
  <c r="AL655" i="2"/>
  <c r="AL656" i="2"/>
  <c r="AL657" i="2"/>
  <c r="AL658" i="2"/>
  <c r="AL659" i="2"/>
  <c r="AL660" i="2"/>
  <c r="AL661" i="2"/>
  <c r="AL662" i="2"/>
  <c r="AL663" i="2"/>
  <c r="AL664" i="2"/>
  <c r="AL665" i="2"/>
  <c r="AL666" i="2"/>
  <c r="AL667" i="2"/>
  <c r="AL668" i="2"/>
  <c r="AL669" i="2"/>
  <c r="AL670" i="2"/>
  <c r="AL671" i="2"/>
  <c r="AL672" i="2"/>
  <c r="AL673" i="2"/>
  <c r="AL674" i="2"/>
  <c r="AL675" i="2"/>
  <c r="AL676" i="2"/>
  <c r="AL677" i="2"/>
  <c r="AL678" i="2"/>
  <c r="AL679" i="2"/>
  <c r="AL680" i="2"/>
  <c r="AL681" i="2"/>
  <c r="AL682" i="2"/>
  <c r="AL683" i="2"/>
  <c r="AL684" i="2"/>
  <c r="AL685" i="2"/>
  <c r="AL686" i="2"/>
  <c r="AL687" i="2"/>
  <c r="AL688" i="2"/>
  <c r="AL689" i="2"/>
  <c r="AL690" i="2"/>
  <c r="AL691" i="2"/>
  <c r="AL692" i="2"/>
  <c r="AL693" i="2"/>
  <c r="AL694" i="2"/>
  <c r="AL695" i="2"/>
  <c r="AL696" i="2"/>
  <c r="AL697" i="2"/>
  <c r="AL698" i="2"/>
  <c r="AL699" i="2"/>
  <c r="AL700" i="2"/>
  <c r="AL701" i="2"/>
  <c r="AL702" i="2"/>
  <c r="AL703" i="2"/>
  <c r="AL704" i="2"/>
  <c r="AL705" i="2"/>
  <c r="AL706" i="2"/>
  <c r="AL707" i="2"/>
  <c r="AL708" i="2"/>
  <c r="AL709" i="2"/>
  <c r="AL710" i="2"/>
  <c r="AL711" i="2"/>
  <c r="AL712" i="2"/>
  <c r="AL713" i="2"/>
  <c r="AL714" i="2"/>
  <c r="AL715" i="2"/>
  <c r="AL716" i="2"/>
  <c r="AL717" i="2"/>
  <c r="AL718" i="2"/>
  <c r="AL719" i="2"/>
  <c r="AL720" i="2"/>
  <c r="AL721" i="2"/>
  <c r="AL722" i="2"/>
  <c r="AL723" i="2"/>
  <c r="AL724" i="2"/>
  <c r="AL725" i="2"/>
  <c r="AL726" i="2"/>
  <c r="AL727" i="2"/>
  <c r="AL728" i="2"/>
  <c r="AL729" i="2"/>
  <c r="AL730" i="2"/>
  <c r="AL731" i="2"/>
  <c r="AL732" i="2"/>
  <c r="AL733" i="2"/>
  <c r="AL734" i="2"/>
  <c r="AL735" i="2"/>
  <c r="AL736" i="2"/>
  <c r="AL737" i="2"/>
  <c r="AL738" i="2"/>
  <c r="AL739" i="2"/>
  <c r="AL740" i="2"/>
  <c r="AL741" i="2"/>
  <c r="AL742" i="2"/>
  <c r="AL743" i="2"/>
  <c r="AL744" i="2"/>
  <c r="AL745" i="2"/>
  <c r="AL746" i="2"/>
  <c r="AL747" i="2"/>
  <c r="AL748" i="2"/>
  <c r="AL749" i="2"/>
  <c r="AL750" i="2"/>
  <c r="AL751" i="2"/>
  <c r="AL752" i="2"/>
  <c r="AL753" i="2"/>
  <c r="AL754" i="2"/>
  <c r="AL755" i="2"/>
  <c r="AL756" i="2"/>
  <c r="AL757" i="2"/>
  <c r="AL758" i="2"/>
  <c r="AL759" i="2"/>
  <c r="AL760" i="2"/>
  <c r="AL761" i="2"/>
  <c r="AL762" i="2"/>
  <c r="AL763" i="2"/>
  <c r="AL764" i="2"/>
  <c r="AL765" i="2"/>
  <c r="AL766" i="2"/>
  <c r="AL767" i="2"/>
  <c r="AL768" i="2"/>
  <c r="AL769" i="2"/>
  <c r="AL770" i="2"/>
  <c r="AL771" i="2"/>
  <c r="AL772" i="2"/>
  <c r="AL773" i="2"/>
  <c r="AL774" i="2"/>
  <c r="AL775" i="2"/>
  <c r="AL776" i="2"/>
  <c r="AL777" i="2"/>
  <c r="AL778" i="2"/>
  <c r="AL779" i="2"/>
  <c r="AL780" i="2"/>
  <c r="AL781" i="2"/>
  <c r="AL782" i="2"/>
  <c r="AL783" i="2"/>
  <c r="AL784" i="2"/>
  <c r="AL785" i="2"/>
  <c r="AL786" i="2"/>
  <c r="AL787" i="2"/>
  <c r="AL788" i="2"/>
  <c r="AL789" i="2"/>
  <c r="AL790" i="2"/>
  <c r="AL791" i="2"/>
  <c r="AL792" i="2"/>
  <c r="AL793" i="2"/>
  <c r="AL794" i="2"/>
  <c r="AL795" i="2"/>
  <c r="AL796" i="2"/>
  <c r="AL797" i="2"/>
  <c r="AL798" i="2"/>
  <c r="AL799" i="2"/>
  <c r="AL800" i="2"/>
  <c r="AL801" i="2"/>
  <c r="AL802" i="2"/>
  <c r="AL803" i="2"/>
  <c r="AL804" i="2"/>
  <c r="AL805" i="2"/>
  <c r="AL806" i="2"/>
  <c r="AL807" i="2"/>
  <c r="AL808" i="2"/>
  <c r="AL809" i="2"/>
  <c r="AL810" i="2"/>
  <c r="AL811" i="2"/>
  <c r="AL812" i="2"/>
  <c r="AL813" i="2"/>
  <c r="AL814" i="2"/>
  <c r="AL815" i="2"/>
  <c r="AL816" i="2"/>
  <c r="AL817" i="2"/>
  <c r="AL818" i="2"/>
  <c r="AL819" i="2"/>
  <c r="AL820" i="2"/>
  <c r="AL821" i="2"/>
  <c r="AL822" i="2"/>
  <c r="AL823" i="2"/>
  <c r="AL824" i="2"/>
  <c r="AL825" i="2"/>
  <c r="AL826" i="2"/>
  <c r="AL827" i="2"/>
  <c r="AL828" i="2"/>
  <c r="AL829" i="2"/>
  <c r="AL830" i="2"/>
  <c r="AL831" i="2"/>
  <c r="AL832" i="2"/>
  <c r="AL833" i="2"/>
  <c r="AL834" i="2"/>
  <c r="AL835" i="2"/>
  <c r="AL836" i="2"/>
  <c r="AL837" i="2"/>
  <c r="AL838" i="2"/>
  <c r="AL839" i="2"/>
  <c r="AL840" i="2"/>
  <c r="AL841" i="2"/>
  <c r="AL842" i="2"/>
  <c r="AL843" i="2"/>
  <c r="AL844" i="2"/>
  <c r="AL845" i="2"/>
  <c r="AL846" i="2"/>
  <c r="AL847" i="2"/>
  <c r="AL848" i="2"/>
  <c r="AL849" i="2"/>
  <c r="AL850" i="2"/>
  <c r="AL851" i="2"/>
  <c r="AL852" i="2"/>
  <c r="AL853" i="2"/>
  <c r="AL854" i="2"/>
  <c r="AL855" i="2"/>
  <c r="AL856" i="2"/>
  <c r="AL857" i="2"/>
  <c r="AL858" i="2"/>
  <c r="AL859" i="2"/>
  <c r="AL860" i="2"/>
  <c r="AL861" i="2"/>
  <c r="AL862" i="2"/>
  <c r="AL863" i="2"/>
  <c r="AL864" i="2"/>
  <c r="AL865" i="2"/>
  <c r="AL866" i="2"/>
  <c r="AL867" i="2"/>
  <c r="AL868" i="2"/>
  <c r="AL869" i="2"/>
  <c r="AL870" i="2"/>
  <c r="AL871" i="2"/>
  <c r="AL872" i="2"/>
  <c r="AL873" i="2"/>
  <c r="AL874" i="2"/>
  <c r="AL875" i="2"/>
  <c r="AL876" i="2"/>
  <c r="AL877" i="2"/>
  <c r="AL878" i="2"/>
  <c r="AL879" i="2"/>
  <c r="AL880" i="2"/>
  <c r="AL881" i="2"/>
  <c r="AL882" i="2"/>
  <c r="AL883" i="2"/>
  <c r="AL884" i="2"/>
  <c r="AL885" i="2"/>
  <c r="AL886" i="2"/>
  <c r="AL887" i="2"/>
  <c r="AL888" i="2"/>
  <c r="AL889" i="2"/>
  <c r="AL890" i="2"/>
  <c r="AL891" i="2"/>
  <c r="AL892" i="2"/>
  <c r="AL893" i="2"/>
  <c r="AL894" i="2"/>
  <c r="AL895" i="2"/>
  <c r="AL896" i="2"/>
  <c r="AL897" i="2"/>
  <c r="AL898" i="2"/>
  <c r="AL899" i="2"/>
  <c r="AL900" i="2"/>
  <c r="AL901" i="2"/>
  <c r="AL902" i="2"/>
  <c r="AL903" i="2"/>
  <c r="AL904" i="2"/>
  <c r="AL905" i="2"/>
  <c r="AL906" i="2"/>
  <c r="AL907" i="2"/>
  <c r="AL908" i="2"/>
  <c r="AL909" i="2"/>
  <c r="AL910" i="2"/>
  <c r="AL911" i="2"/>
  <c r="AL912" i="2"/>
  <c r="AL913" i="2"/>
  <c r="AL914" i="2"/>
  <c r="AL915" i="2"/>
  <c r="AL916" i="2"/>
  <c r="AL917" i="2"/>
  <c r="AL918" i="2"/>
  <c r="AL919" i="2"/>
  <c r="AL920" i="2"/>
  <c r="AL921" i="2"/>
  <c r="AL922" i="2"/>
  <c r="AL923" i="2"/>
  <c r="AL924" i="2"/>
  <c r="AL925" i="2"/>
  <c r="AL926" i="2"/>
  <c r="AL927" i="2"/>
  <c r="AL928" i="2"/>
  <c r="AL929" i="2"/>
  <c r="AL930" i="2"/>
  <c r="AL931" i="2"/>
  <c r="AL932" i="2"/>
  <c r="AL933" i="2"/>
  <c r="AL934" i="2"/>
  <c r="AL935" i="2"/>
  <c r="AL936" i="2"/>
  <c r="AL937" i="2"/>
  <c r="AL938" i="2"/>
  <c r="AL939" i="2"/>
  <c r="AL940" i="2"/>
  <c r="AL941" i="2"/>
  <c r="AL942" i="2"/>
  <c r="AL943" i="2"/>
  <c r="AL944" i="2"/>
  <c r="AL945" i="2"/>
  <c r="AL946" i="2"/>
  <c r="AL947" i="2"/>
  <c r="AL948" i="2"/>
  <c r="AL949" i="2"/>
  <c r="AL950" i="2"/>
  <c r="AL951" i="2"/>
  <c r="AL952" i="2"/>
  <c r="AL953" i="2"/>
  <c r="AL954" i="2"/>
  <c r="AL955" i="2"/>
  <c r="AL956" i="2"/>
  <c r="AL957" i="2"/>
  <c r="AL958" i="2"/>
  <c r="AL959" i="2"/>
  <c r="AL960" i="2"/>
  <c r="AL961" i="2"/>
  <c r="AL962" i="2"/>
  <c r="AL963" i="2"/>
  <c r="AL964" i="2"/>
  <c r="AL965" i="2"/>
  <c r="AL966" i="2"/>
  <c r="AL967" i="2"/>
  <c r="AL968" i="2"/>
  <c r="AL969" i="2"/>
  <c r="AL970" i="2"/>
  <c r="AL971" i="2"/>
  <c r="AL972" i="2"/>
  <c r="AL973" i="2"/>
  <c r="AL974" i="2"/>
  <c r="AL975" i="2"/>
  <c r="AL976" i="2"/>
  <c r="AL977" i="2"/>
  <c r="AL978" i="2"/>
  <c r="AL979" i="2"/>
  <c r="AL980" i="2"/>
  <c r="AL981" i="2"/>
  <c r="AL982" i="2"/>
  <c r="AL983" i="2"/>
  <c r="AL984" i="2"/>
  <c r="AL985" i="2"/>
  <c r="AL986" i="2"/>
  <c r="AL987" i="2"/>
  <c r="AL988" i="2"/>
  <c r="AL989" i="2"/>
  <c r="AL990" i="2"/>
  <c r="AL991" i="2"/>
  <c r="AL992" i="2"/>
  <c r="AL993" i="2"/>
  <c r="AL994" i="2"/>
  <c r="AL995" i="2"/>
  <c r="AL996" i="2"/>
  <c r="AL997" i="2"/>
  <c r="AL998" i="2"/>
  <c r="AL999" i="2"/>
  <c r="AL1000" i="2"/>
  <c r="AL1001" i="2"/>
  <c r="AL1002" i="2"/>
  <c r="AL1003" i="2"/>
  <c r="AL1004" i="2"/>
  <c r="AL1005" i="2"/>
  <c r="AL1006" i="2"/>
  <c r="AL1007" i="2"/>
  <c r="AL1008" i="2"/>
  <c r="AL1009" i="2"/>
  <c r="AL1010" i="2"/>
  <c r="AL1011" i="2"/>
  <c r="AL1012" i="2"/>
  <c r="AL1013" i="2"/>
  <c r="AL1014" i="2"/>
  <c r="AL1015" i="2"/>
  <c r="AL1016" i="2"/>
  <c r="AL1017" i="2"/>
  <c r="AL1018" i="2"/>
  <c r="AL1019" i="2"/>
  <c r="AL1020" i="2"/>
  <c r="AL1021" i="2"/>
  <c r="AL1022" i="2"/>
  <c r="AL1023" i="2"/>
  <c r="AL1024" i="2"/>
  <c r="AL1025" i="2"/>
  <c r="AL1026" i="2"/>
  <c r="AL1027" i="2"/>
  <c r="AL1028" i="2"/>
  <c r="AL1029" i="2"/>
  <c r="AL1030" i="2"/>
  <c r="AL1031" i="2"/>
  <c r="AL1032" i="2"/>
  <c r="AL1033" i="2"/>
  <c r="AL1034" i="2"/>
  <c r="AL1035" i="2"/>
  <c r="AL1036" i="2"/>
  <c r="AL1037" i="2"/>
  <c r="AL1038" i="2"/>
  <c r="AL1039" i="2"/>
  <c r="AL1040" i="2"/>
  <c r="AL1041" i="2"/>
  <c r="AL1042" i="2"/>
  <c r="AL1043" i="2"/>
  <c r="AL1044" i="2"/>
  <c r="AL1045" i="2"/>
  <c r="AL1046" i="2"/>
  <c r="AL1047" i="2"/>
  <c r="AL1048" i="2"/>
  <c r="AL1049" i="2"/>
  <c r="AL1050" i="2"/>
  <c r="AL1051" i="2"/>
  <c r="AL1052" i="2"/>
  <c r="AL1053" i="2"/>
  <c r="AL1054" i="2"/>
  <c r="AL1055" i="2"/>
  <c r="AL1056" i="2"/>
  <c r="AL1057" i="2"/>
  <c r="AL1058" i="2"/>
  <c r="AL1059" i="2"/>
  <c r="AL1060" i="2"/>
  <c r="AL1061" i="2"/>
  <c r="AL1062" i="2"/>
  <c r="AL1063" i="2"/>
  <c r="AL1064" i="2"/>
  <c r="AL1065" i="2"/>
  <c r="AL1066" i="2"/>
  <c r="AL1067" i="2"/>
  <c r="AL1068" i="2"/>
  <c r="AL1069" i="2"/>
  <c r="AL1070" i="2"/>
  <c r="AL1071" i="2"/>
  <c r="AL1072" i="2"/>
  <c r="AL1073" i="2"/>
  <c r="AL1074" i="2"/>
  <c r="AL1075" i="2"/>
  <c r="AL1076" i="2"/>
  <c r="AL1077" i="2"/>
  <c r="AL1078" i="2"/>
  <c r="AL1079" i="2"/>
  <c r="AL1080" i="2"/>
  <c r="AL1081" i="2"/>
  <c r="AL1082" i="2"/>
  <c r="AL1083" i="2"/>
  <c r="AL1084" i="2"/>
  <c r="AL1085" i="2"/>
  <c r="AL1086" i="2"/>
  <c r="AL1087" i="2"/>
  <c r="AL1088" i="2"/>
  <c r="AL1089" i="2"/>
  <c r="AL1090" i="2"/>
  <c r="AL1091" i="2"/>
  <c r="AL1092" i="2"/>
  <c r="AL1093" i="2"/>
  <c r="AL1094" i="2"/>
  <c r="AL1095" i="2"/>
  <c r="AL1096" i="2"/>
  <c r="AL1097" i="2"/>
  <c r="AL1098" i="2"/>
  <c r="AL1099" i="2"/>
  <c r="AL1100" i="2"/>
  <c r="AL1101" i="2"/>
  <c r="AL1102" i="2"/>
  <c r="AL1103" i="2"/>
  <c r="AL1104" i="2"/>
  <c r="AL1105" i="2"/>
  <c r="AL1106" i="2"/>
  <c r="AL1107" i="2"/>
  <c r="AL1108" i="2"/>
  <c r="AL1109" i="2"/>
  <c r="AL1110" i="2"/>
  <c r="AL1111" i="2"/>
  <c r="AL1112" i="2"/>
  <c r="AL1113" i="2"/>
  <c r="AL1114" i="2"/>
  <c r="AL1115" i="2"/>
  <c r="AL1116" i="2"/>
  <c r="AL1117" i="2"/>
  <c r="AL1118" i="2"/>
  <c r="AL1119" i="2"/>
  <c r="AL1120" i="2"/>
  <c r="AL1121" i="2"/>
  <c r="AL1122" i="2"/>
  <c r="AL1123" i="2"/>
  <c r="AL1124" i="2"/>
  <c r="AL1125" i="2"/>
  <c r="AL1126" i="2"/>
  <c r="AL1127" i="2"/>
  <c r="AL1128" i="2"/>
  <c r="AL1129" i="2"/>
  <c r="AL1130" i="2"/>
  <c r="AL1131" i="2"/>
  <c r="AL1132" i="2"/>
  <c r="AL1133" i="2"/>
  <c r="AL1134" i="2"/>
  <c r="AL1135" i="2"/>
  <c r="AL1136" i="2"/>
  <c r="AL1137" i="2"/>
  <c r="AL1138" i="2"/>
  <c r="AL1139" i="2"/>
  <c r="AL1140" i="2"/>
  <c r="AL1141" i="2"/>
  <c r="AL1142" i="2"/>
  <c r="AL1143" i="2"/>
  <c r="AL1144" i="2"/>
  <c r="AL1145" i="2"/>
  <c r="AL1146" i="2"/>
  <c r="AL1147" i="2"/>
  <c r="AL1148" i="2"/>
  <c r="AL1149" i="2"/>
  <c r="AL1150" i="2"/>
  <c r="AL1151" i="2"/>
  <c r="AL1152" i="2"/>
  <c r="AL1153" i="2"/>
  <c r="AL1154" i="2"/>
  <c r="AL1155" i="2"/>
  <c r="AL1156" i="2"/>
  <c r="AL1157" i="2"/>
  <c r="AL1158" i="2"/>
  <c r="AL1159" i="2"/>
  <c r="AL1160" i="2"/>
  <c r="AL1161" i="2"/>
  <c r="AL1162" i="2"/>
  <c r="AL1163" i="2"/>
  <c r="AL1164" i="2"/>
  <c r="AL1165" i="2"/>
  <c r="AL1166" i="2"/>
  <c r="AL1167" i="2"/>
  <c r="AL1168" i="2"/>
  <c r="AL1169" i="2"/>
  <c r="AL1170" i="2"/>
  <c r="AL1171" i="2"/>
  <c r="AL1172" i="2"/>
  <c r="AL1173" i="2"/>
  <c r="AL1174" i="2"/>
  <c r="AL1175" i="2"/>
  <c r="AL1176" i="2"/>
  <c r="AL1177" i="2"/>
  <c r="AL1178" i="2"/>
  <c r="AL1179" i="2"/>
  <c r="AL1180" i="2"/>
  <c r="AL1181" i="2"/>
  <c r="AL1182" i="2"/>
  <c r="AL1183" i="2"/>
  <c r="AL1184" i="2"/>
  <c r="AL1185" i="2"/>
  <c r="AL1186" i="2"/>
  <c r="AL1187" i="2"/>
  <c r="AL1188" i="2"/>
  <c r="AL1189" i="2"/>
  <c r="AL1190" i="2"/>
  <c r="AL1191" i="2"/>
  <c r="AL1192" i="2"/>
  <c r="AL1193" i="2"/>
  <c r="AL1194" i="2"/>
  <c r="AL1195" i="2"/>
  <c r="AL1196" i="2"/>
  <c r="AL1197" i="2"/>
  <c r="AL1198" i="2"/>
  <c r="AL1199" i="2"/>
  <c r="AL1200" i="2"/>
  <c r="AL1201" i="2"/>
  <c r="AL1202" i="2"/>
  <c r="AL1203" i="2"/>
  <c r="AL1204" i="2"/>
  <c r="AL1205" i="2"/>
  <c r="AL1206" i="2"/>
  <c r="AL1207" i="2"/>
  <c r="AL1208" i="2"/>
  <c r="AL1209" i="2"/>
  <c r="AL1210" i="2"/>
  <c r="AL1211" i="2"/>
  <c r="AL1212" i="2"/>
  <c r="AL1213" i="2"/>
  <c r="AL1214" i="2"/>
  <c r="AL1215" i="2"/>
  <c r="AL1216" i="2"/>
  <c r="AL1217" i="2"/>
  <c r="AL1218" i="2"/>
  <c r="AL1219" i="2"/>
  <c r="AL1220" i="2"/>
  <c r="AL1221" i="2"/>
  <c r="AL1222" i="2"/>
  <c r="AL1223" i="2"/>
  <c r="AL1224" i="2"/>
  <c r="AL1225" i="2"/>
  <c r="AL1226" i="2"/>
  <c r="AL1227" i="2"/>
  <c r="AL1228" i="2"/>
  <c r="AL1229" i="2"/>
  <c r="AL1230" i="2"/>
  <c r="AL1231" i="2"/>
  <c r="AL1232" i="2"/>
  <c r="AL1233" i="2"/>
  <c r="AL1234" i="2"/>
  <c r="AL1235" i="2"/>
  <c r="AL1236" i="2"/>
  <c r="AL1237" i="2"/>
  <c r="AL1238" i="2"/>
  <c r="AL1239" i="2"/>
  <c r="AL1240" i="2"/>
  <c r="AL1241" i="2"/>
  <c r="AL1242" i="2"/>
  <c r="AL1243" i="2"/>
  <c r="AL1244" i="2"/>
  <c r="AL1245" i="2"/>
  <c r="AL1246" i="2"/>
  <c r="AL1247" i="2"/>
  <c r="AL1248" i="2"/>
  <c r="AL1249" i="2"/>
  <c r="AL1250" i="2"/>
  <c r="AL1251" i="2"/>
  <c r="AL1252" i="2"/>
  <c r="AL1253" i="2"/>
  <c r="AL1254" i="2"/>
  <c r="AL1255" i="2"/>
  <c r="AL1256" i="2"/>
  <c r="AL1257" i="2"/>
  <c r="AL1258" i="2"/>
  <c r="AL1259" i="2"/>
  <c r="AL1260" i="2"/>
  <c r="AL1261" i="2"/>
  <c r="AL1262" i="2"/>
  <c r="AL1263" i="2"/>
  <c r="AL1264" i="2"/>
  <c r="AL1265" i="2"/>
  <c r="AL1266" i="2"/>
  <c r="AL1267" i="2"/>
  <c r="AL1268" i="2"/>
  <c r="AL1269" i="2"/>
  <c r="AL1270" i="2"/>
  <c r="AL1271" i="2"/>
  <c r="AL1272" i="2"/>
  <c r="AL1273" i="2"/>
  <c r="AL1274" i="2"/>
  <c r="AL1275" i="2"/>
  <c r="AL1276" i="2"/>
  <c r="AL1277" i="2"/>
  <c r="AL1278" i="2"/>
  <c r="AL1279" i="2"/>
  <c r="AL1280" i="2"/>
  <c r="AL1281" i="2"/>
  <c r="AL1282" i="2"/>
  <c r="AL1283" i="2"/>
  <c r="AL1284" i="2"/>
  <c r="AL1285" i="2"/>
  <c r="AL1286" i="2"/>
  <c r="AL1287" i="2"/>
  <c r="AL1288" i="2"/>
  <c r="AL1289" i="2"/>
  <c r="AL1290" i="2"/>
  <c r="AL1291" i="2"/>
  <c r="AL1292" i="2"/>
  <c r="AL1293" i="2"/>
  <c r="AL1294" i="2"/>
  <c r="AL1295" i="2"/>
  <c r="AL1296" i="2"/>
  <c r="AL1297" i="2"/>
  <c r="AL1298" i="2"/>
  <c r="AL1299" i="2"/>
  <c r="AL1300" i="2"/>
  <c r="AL1301" i="2"/>
  <c r="AL1302" i="2"/>
  <c r="AL1303" i="2"/>
  <c r="AL1304" i="2"/>
  <c r="AL1305" i="2"/>
  <c r="AL1306" i="2"/>
  <c r="AL1307" i="2"/>
  <c r="AL1308" i="2"/>
  <c r="AL1309" i="2"/>
  <c r="AL1310" i="2"/>
  <c r="AL1311" i="2"/>
  <c r="AL1312" i="2"/>
  <c r="AL1313" i="2"/>
  <c r="AL1314" i="2"/>
  <c r="AL1315" i="2"/>
  <c r="AL1316" i="2"/>
  <c r="AL1317" i="2"/>
  <c r="AL1318" i="2"/>
  <c r="AL1319" i="2"/>
  <c r="AL1320" i="2"/>
  <c r="AL1321" i="2"/>
  <c r="AL1322" i="2"/>
  <c r="AL1323" i="2"/>
  <c r="AL1324" i="2"/>
  <c r="AL1325" i="2"/>
  <c r="AL1326" i="2"/>
  <c r="AL1327" i="2"/>
  <c r="AL1328" i="2"/>
  <c r="AL1329" i="2"/>
  <c r="AL1330" i="2"/>
  <c r="AL1331" i="2"/>
  <c r="AL1332" i="2"/>
  <c r="AL1333" i="2"/>
  <c r="AL1334" i="2"/>
  <c r="AL1335" i="2"/>
  <c r="AL1336" i="2"/>
  <c r="AL1337" i="2"/>
  <c r="AL1338" i="2"/>
  <c r="AL1339" i="2"/>
  <c r="AL1340" i="2"/>
  <c r="AL1341" i="2"/>
  <c r="AL1342" i="2"/>
  <c r="AL1343" i="2"/>
  <c r="AL1344" i="2"/>
  <c r="AL1345" i="2"/>
  <c r="AL1346" i="2"/>
  <c r="AL1347" i="2"/>
  <c r="AL1348" i="2"/>
  <c r="AL1349" i="2"/>
  <c r="AL1350" i="2"/>
  <c r="AL1351" i="2"/>
  <c r="AL1352" i="2"/>
  <c r="AL1353" i="2"/>
  <c r="AL1354" i="2"/>
  <c r="AL1355" i="2"/>
  <c r="AL1356" i="2"/>
  <c r="AL1357" i="2"/>
  <c r="AL1358" i="2"/>
  <c r="AL1359" i="2"/>
  <c r="AL1360" i="2"/>
  <c r="AL1361" i="2"/>
  <c r="AL1362" i="2"/>
  <c r="AL1363" i="2"/>
  <c r="AL1364" i="2"/>
  <c r="AL1365" i="2"/>
  <c r="AL1366" i="2"/>
  <c r="AL1367" i="2"/>
  <c r="AL1368" i="2"/>
  <c r="AL1369" i="2"/>
  <c r="AL1370" i="2"/>
  <c r="AL1371" i="2"/>
  <c r="AL1372" i="2"/>
  <c r="AL1373" i="2"/>
  <c r="AL1374" i="2"/>
  <c r="AL1375" i="2"/>
  <c r="AL1376" i="2"/>
  <c r="AL1377" i="2"/>
  <c r="AL1378" i="2"/>
  <c r="AL1379" i="2"/>
  <c r="AL1380" i="2"/>
  <c r="AL1381" i="2"/>
  <c r="AL1382" i="2"/>
  <c r="AL1383" i="2"/>
  <c r="AL1384" i="2"/>
  <c r="AL1385" i="2"/>
  <c r="AL1386" i="2"/>
  <c r="AL1387" i="2"/>
  <c r="AL1388" i="2"/>
  <c r="AL1389" i="2"/>
  <c r="AL1390" i="2"/>
  <c r="AL1391" i="2"/>
  <c r="AL1392" i="2"/>
  <c r="AL1393" i="2"/>
  <c r="AL1394" i="2"/>
  <c r="AL1395" i="2"/>
  <c r="AL1396" i="2"/>
  <c r="AL1397" i="2"/>
  <c r="AL1398" i="2"/>
  <c r="AL1399" i="2"/>
  <c r="AL1400" i="2"/>
  <c r="AL1401" i="2"/>
  <c r="AL1402" i="2"/>
  <c r="AL1403" i="2"/>
  <c r="AL1404" i="2"/>
  <c r="AL1405" i="2"/>
  <c r="AL1406" i="2"/>
  <c r="AL1407" i="2"/>
  <c r="AL1408" i="2"/>
  <c r="AL1409" i="2"/>
  <c r="AL1410" i="2"/>
  <c r="AL1411" i="2"/>
  <c r="AL1412" i="2"/>
  <c r="AL1413" i="2"/>
  <c r="AL1414" i="2"/>
  <c r="AL1415" i="2"/>
  <c r="AL1416" i="2"/>
  <c r="AL1417" i="2"/>
  <c r="AL1418" i="2"/>
  <c r="AL1419" i="2"/>
  <c r="AL1420" i="2"/>
  <c r="AL1421" i="2"/>
  <c r="AL1422" i="2"/>
  <c r="AL1423" i="2"/>
  <c r="AL1424" i="2"/>
  <c r="AL1425" i="2"/>
  <c r="AL1426" i="2"/>
  <c r="AL1427" i="2"/>
  <c r="AL1428" i="2"/>
  <c r="AL1429" i="2"/>
  <c r="AL1430" i="2"/>
  <c r="AL1431" i="2"/>
  <c r="AL1432" i="2"/>
  <c r="AL1433" i="2"/>
  <c r="AL1434" i="2"/>
  <c r="AL1435" i="2"/>
  <c r="AL1436" i="2"/>
  <c r="AL1437" i="2"/>
  <c r="AL1438" i="2"/>
  <c r="AL1439" i="2"/>
  <c r="AL1440" i="2"/>
  <c r="AL1441" i="2"/>
  <c r="AL1442" i="2"/>
  <c r="AL1443" i="2"/>
  <c r="AL1444" i="2"/>
  <c r="AL1445" i="2"/>
  <c r="AL1446" i="2"/>
  <c r="AL1447" i="2"/>
  <c r="AL1448" i="2"/>
  <c r="AL1449" i="2"/>
  <c r="AL1450" i="2"/>
  <c r="AL1451" i="2"/>
  <c r="AL1452" i="2"/>
  <c r="AL1453" i="2"/>
  <c r="AL1454" i="2"/>
  <c r="AL1455" i="2"/>
  <c r="AL1456" i="2"/>
  <c r="AL1457" i="2"/>
  <c r="AL1458" i="2"/>
  <c r="AL1459" i="2"/>
  <c r="AL1460" i="2"/>
  <c r="AL1461" i="2"/>
  <c r="AL1462" i="2"/>
  <c r="AL1463" i="2"/>
  <c r="AL1464" i="2"/>
  <c r="AL1465" i="2"/>
  <c r="AL1466" i="2"/>
  <c r="AL1467" i="2"/>
  <c r="AL1468" i="2"/>
  <c r="AL1469" i="2"/>
  <c r="AL1470" i="2"/>
  <c r="AL147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K1100" i="2"/>
  <c r="AK1101" i="2"/>
  <c r="AK1102" i="2"/>
  <c r="AK1103" i="2"/>
  <c r="AK1104" i="2"/>
  <c r="AK1105" i="2"/>
  <c r="AK1106" i="2"/>
  <c r="AK1107" i="2"/>
  <c r="AK1108" i="2"/>
  <c r="AK1109" i="2"/>
  <c r="AK1110" i="2"/>
  <c r="AK1111" i="2"/>
  <c r="AK1112" i="2"/>
  <c r="AK1113" i="2"/>
  <c r="AK1114" i="2"/>
  <c r="AK1115" i="2"/>
  <c r="AK1116" i="2"/>
  <c r="AK1117" i="2"/>
  <c r="AK1118" i="2"/>
  <c r="AK1119" i="2"/>
  <c r="AK1120" i="2"/>
  <c r="AK1121" i="2"/>
  <c r="AK1122" i="2"/>
  <c r="AK1123" i="2"/>
  <c r="AK1124" i="2"/>
  <c r="AK1125" i="2"/>
  <c r="AK1126" i="2"/>
  <c r="AK1127" i="2"/>
  <c r="AK1128" i="2"/>
  <c r="AK1129" i="2"/>
  <c r="AK1130" i="2"/>
  <c r="AK1131" i="2"/>
  <c r="AK1132" i="2"/>
  <c r="AK1133" i="2"/>
  <c r="AK1134" i="2"/>
  <c r="AK1135" i="2"/>
  <c r="AK1136" i="2"/>
  <c r="AK1137" i="2"/>
  <c r="AK1138" i="2"/>
  <c r="AK1139" i="2"/>
  <c r="AK1140" i="2"/>
  <c r="AK1141" i="2"/>
  <c r="AK1142" i="2"/>
  <c r="AK1143" i="2"/>
  <c r="AK1144" i="2"/>
  <c r="AK1145" i="2"/>
  <c r="AK1146" i="2"/>
  <c r="AK1147" i="2"/>
  <c r="AK1148" i="2"/>
  <c r="AK1149" i="2"/>
  <c r="AK1150" i="2"/>
  <c r="AK1151" i="2"/>
  <c r="AK1152" i="2"/>
  <c r="AK1153" i="2"/>
  <c r="AK1154" i="2"/>
  <c r="AK1155" i="2"/>
  <c r="AK1156" i="2"/>
  <c r="AK1157" i="2"/>
  <c r="AK1158" i="2"/>
  <c r="AK1159" i="2"/>
  <c r="AK1160" i="2"/>
  <c r="AK1161" i="2"/>
  <c r="AK1162" i="2"/>
  <c r="AK1163" i="2"/>
  <c r="AK1164" i="2"/>
  <c r="AK1165" i="2"/>
  <c r="AK1166" i="2"/>
  <c r="AK1167" i="2"/>
  <c r="AK1168" i="2"/>
  <c r="AK1169" i="2"/>
  <c r="AK1170" i="2"/>
  <c r="AK1171" i="2"/>
  <c r="AK1172" i="2"/>
  <c r="AK1173" i="2"/>
  <c r="AK1174" i="2"/>
  <c r="AK1175" i="2"/>
  <c r="AK1176" i="2"/>
  <c r="AK1177" i="2"/>
  <c r="AK1178" i="2"/>
  <c r="AK1179" i="2"/>
  <c r="AK1180" i="2"/>
  <c r="AK1181" i="2"/>
  <c r="AK1182" i="2"/>
  <c r="AK1183" i="2"/>
  <c r="AK1184" i="2"/>
  <c r="AK1185" i="2"/>
  <c r="AK1186" i="2"/>
  <c r="AK1187" i="2"/>
  <c r="AK1188" i="2"/>
  <c r="AK1189" i="2"/>
  <c r="AK1190" i="2"/>
  <c r="AK1191" i="2"/>
  <c r="AK1192" i="2"/>
  <c r="AK1193" i="2"/>
  <c r="AK1194" i="2"/>
  <c r="AK1195" i="2"/>
  <c r="AK1196" i="2"/>
  <c r="AK1197" i="2"/>
  <c r="AK1198" i="2"/>
  <c r="AK1199" i="2"/>
  <c r="AK1200" i="2"/>
  <c r="AK1201" i="2"/>
  <c r="AK1202" i="2"/>
  <c r="AK1203" i="2"/>
  <c r="AK1204" i="2"/>
  <c r="AK1205" i="2"/>
  <c r="AK1206" i="2"/>
  <c r="AK1207" i="2"/>
  <c r="AK1208" i="2"/>
  <c r="AK1209" i="2"/>
  <c r="AK1210" i="2"/>
  <c r="AK1211" i="2"/>
  <c r="AK1212" i="2"/>
  <c r="AK1213" i="2"/>
  <c r="AK1214" i="2"/>
  <c r="AK1215" i="2"/>
  <c r="AK1216" i="2"/>
  <c r="AK1217" i="2"/>
  <c r="AK1218" i="2"/>
  <c r="AK1219" i="2"/>
  <c r="AK1220" i="2"/>
  <c r="AK1221" i="2"/>
  <c r="AK1222" i="2"/>
  <c r="AK1223" i="2"/>
  <c r="AK1224" i="2"/>
  <c r="AK1225" i="2"/>
  <c r="AK1226" i="2"/>
  <c r="AK1227" i="2"/>
  <c r="AK1228" i="2"/>
  <c r="AK1229" i="2"/>
  <c r="AK1230" i="2"/>
  <c r="AK1231" i="2"/>
  <c r="AK1232" i="2"/>
  <c r="AK1233" i="2"/>
  <c r="AK1234" i="2"/>
  <c r="AK1235" i="2"/>
  <c r="AK1236" i="2"/>
  <c r="AK1237" i="2"/>
  <c r="AK1238" i="2"/>
  <c r="AK1239" i="2"/>
  <c r="AK1240" i="2"/>
  <c r="AK1241" i="2"/>
  <c r="AK1242" i="2"/>
  <c r="AK1243" i="2"/>
  <c r="AK1244" i="2"/>
  <c r="AK1245" i="2"/>
  <c r="AK1246" i="2"/>
  <c r="AK1247" i="2"/>
  <c r="AK1248" i="2"/>
  <c r="AK1249" i="2"/>
  <c r="AK1250" i="2"/>
  <c r="AK1251" i="2"/>
  <c r="AK1252" i="2"/>
  <c r="AK1253" i="2"/>
  <c r="AK1254" i="2"/>
  <c r="AK1255" i="2"/>
  <c r="AK1256" i="2"/>
  <c r="AK1257" i="2"/>
  <c r="AK1258" i="2"/>
  <c r="AK1259" i="2"/>
  <c r="AK1260" i="2"/>
  <c r="AK1261" i="2"/>
  <c r="AK1262" i="2"/>
  <c r="AK1263" i="2"/>
  <c r="AK1264" i="2"/>
  <c r="AK1265" i="2"/>
  <c r="AK1266" i="2"/>
  <c r="AK1267" i="2"/>
  <c r="AK1268" i="2"/>
  <c r="AK1269" i="2"/>
  <c r="AK1270" i="2"/>
  <c r="AK1271" i="2"/>
  <c r="AK1272" i="2"/>
  <c r="AK1273" i="2"/>
  <c r="AK1274" i="2"/>
  <c r="AK1275" i="2"/>
  <c r="AK1276" i="2"/>
  <c r="AK1277" i="2"/>
  <c r="AK1278" i="2"/>
  <c r="AK1279" i="2"/>
  <c r="AK1280" i="2"/>
  <c r="AK1281" i="2"/>
  <c r="AK1282" i="2"/>
  <c r="AK1283" i="2"/>
  <c r="AK1284" i="2"/>
  <c r="AK1285" i="2"/>
  <c r="AK1286" i="2"/>
  <c r="AK1287" i="2"/>
  <c r="AK1288" i="2"/>
  <c r="AK1289" i="2"/>
  <c r="AK1290" i="2"/>
  <c r="AK1291" i="2"/>
  <c r="AK1292" i="2"/>
  <c r="AK1293" i="2"/>
  <c r="AK1294" i="2"/>
  <c r="AK1295" i="2"/>
  <c r="AK1296" i="2"/>
  <c r="AK1297" i="2"/>
  <c r="AK1298" i="2"/>
  <c r="AK1299" i="2"/>
  <c r="AK1300" i="2"/>
  <c r="AK1301" i="2"/>
  <c r="AK1302" i="2"/>
  <c r="AK1303" i="2"/>
  <c r="AK1304" i="2"/>
  <c r="AK1305" i="2"/>
  <c r="AK1306" i="2"/>
  <c r="AK1307" i="2"/>
  <c r="AK1308" i="2"/>
  <c r="AK1309" i="2"/>
  <c r="AK1310" i="2"/>
  <c r="AK1311" i="2"/>
  <c r="AK1312" i="2"/>
  <c r="AK1313" i="2"/>
  <c r="AK1314" i="2"/>
  <c r="AK1315" i="2"/>
  <c r="AK1316" i="2"/>
  <c r="AK1317" i="2"/>
  <c r="AK1318" i="2"/>
  <c r="AK1319" i="2"/>
  <c r="AK1320" i="2"/>
  <c r="AK1321" i="2"/>
  <c r="AK1322" i="2"/>
  <c r="AK1323" i="2"/>
  <c r="AK1324" i="2"/>
  <c r="AK1325" i="2"/>
  <c r="AK1326" i="2"/>
  <c r="AK1327" i="2"/>
  <c r="AK1328" i="2"/>
  <c r="AK1329" i="2"/>
  <c r="AK1330" i="2"/>
  <c r="AK1331" i="2"/>
  <c r="AK1332" i="2"/>
  <c r="AK1333" i="2"/>
  <c r="AK1334" i="2"/>
  <c r="AK1335" i="2"/>
  <c r="AK1336" i="2"/>
  <c r="AK1337" i="2"/>
  <c r="AK1338" i="2"/>
  <c r="AK1339" i="2"/>
  <c r="AK1340" i="2"/>
  <c r="AK1341" i="2"/>
  <c r="AK1342" i="2"/>
  <c r="AK1343" i="2"/>
  <c r="AK1344" i="2"/>
  <c r="AK1345" i="2"/>
  <c r="AK1346" i="2"/>
  <c r="AK1347" i="2"/>
  <c r="AK1348" i="2"/>
  <c r="AK1349" i="2"/>
  <c r="AK1350" i="2"/>
  <c r="AK1351" i="2"/>
  <c r="AK1352" i="2"/>
  <c r="AK1353" i="2"/>
  <c r="AK1354" i="2"/>
  <c r="AK1355" i="2"/>
  <c r="AK1356" i="2"/>
  <c r="AK1357" i="2"/>
  <c r="AK1358" i="2"/>
  <c r="AK1359" i="2"/>
  <c r="AK1360" i="2"/>
  <c r="AK1361" i="2"/>
  <c r="AK1362" i="2"/>
  <c r="AK1363" i="2"/>
  <c r="AK1364" i="2"/>
  <c r="AK1365" i="2"/>
  <c r="AK1366" i="2"/>
  <c r="AK1367" i="2"/>
  <c r="AK1368" i="2"/>
  <c r="AK1369" i="2"/>
  <c r="AK1370" i="2"/>
  <c r="AK1371" i="2"/>
  <c r="AK1372" i="2"/>
  <c r="AK1373" i="2"/>
  <c r="AK1374" i="2"/>
  <c r="AK1375" i="2"/>
  <c r="AK1376" i="2"/>
  <c r="AK1377" i="2"/>
  <c r="AK1378" i="2"/>
  <c r="AK1379" i="2"/>
  <c r="AK1380" i="2"/>
  <c r="AK1381" i="2"/>
  <c r="AK1382" i="2"/>
  <c r="AK1383" i="2"/>
  <c r="AK1384" i="2"/>
  <c r="AK1385" i="2"/>
  <c r="AK1386" i="2"/>
  <c r="AK1387" i="2"/>
  <c r="AK1388" i="2"/>
  <c r="AK1389" i="2"/>
  <c r="AK1390" i="2"/>
  <c r="AK1391" i="2"/>
  <c r="AK1392" i="2"/>
  <c r="AK1393" i="2"/>
  <c r="AK1394" i="2"/>
  <c r="AK1395" i="2"/>
  <c r="AK1396" i="2"/>
  <c r="AK1397" i="2"/>
  <c r="AK1398" i="2"/>
  <c r="AK1399" i="2"/>
  <c r="AK1400" i="2"/>
  <c r="AK1401" i="2"/>
  <c r="AK1402" i="2"/>
  <c r="AK1403" i="2"/>
  <c r="AK1404" i="2"/>
  <c r="AK1405" i="2"/>
  <c r="AK1406" i="2"/>
  <c r="AK1407" i="2"/>
  <c r="AK1408" i="2"/>
  <c r="AK1409" i="2"/>
  <c r="AK1410" i="2"/>
  <c r="AK1411" i="2"/>
  <c r="AK1412" i="2"/>
  <c r="AK1413" i="2"/>
  <c r="AK1414" i="2"/>
  <c r="AK1415" i="2"/>
  <c r="AK1416" i="2"/>
  <c r="AK1417" i="2"/>
  <c r="AK1418" i="2"/>
  <c r="AK1419" i="2"/>
  <c r="AK1420" i="2"/>
  <c r="AK1421" i="2"/>
  <c r="AK1422" i="2"/>
  <c r="AK1423" i="2"/>
  <c r="AK1424" i="2"/>
  <c r="AK1425" i="2"/>
  <c r="AK1426" i="2"/>
  <c r="AK1427" i="2"/>
  <c r="AK1428" i="2"/>
  <c r="AK1429" i="2"/>
  <c r="AK1430" i="2"/>
  <c r="AK1431" i="2"/>
  <c r="AK1432" i="2"/>
  <c r="AK1433" i="2"/>
  <c r="AK1434" i="2"/>
  <c r="AK1435" i="2"/>
  <c r="AK1436" i="2"/>
  <c r="AK1437" i="2"/>
  <c r="AK1438" i="2"/>
  <c r="AK1439" i="2"/>
  <c r="AK1440" i="2"/>
  <c r="AK1441" i="2"/>
  <c r="AK1442" i="2"/>
  <c r="AK1443" i="2"/>
  <c r="AK1444" i="2"/>
  <c r="AK1445" i="2"/>
  <c r="AK1446" i="2"/>
  <c r="AK1447" i="2"/>
  <c r="AK1448" i="2"/>
  <c r="AK1449" i="2"/>
  <c r="AK1450" i="2"/>
  <c r="AK1451" i="2"/>
  <c r="AK1452" i="2"/>
  <c r="AK1453" i="2"/>
  <c r="AK1454" i="2"/>
  <c r="AK1455" i="2"/>
  <c r="AK1456" i="2"/>
  <c r="AK1457" i="2"/>
  <c r="AK1458" i="2"/>
  <c r="AK1459" i="2"/>
  <c r="AK1460" i="2"/>
  <c r="AK1461" i="2"/>
  <c r="AK1462" i="2"/>
  <c r="AK1463" i="2"/>
  <c r="AK1464" i="2"/>
  <c r="AK1465" i="2"/>
  <c r="AK1466" i="2"/>
  <c r="AK1467" i="2"/>
  <c r="AK1468" i="2"/>
  <c r="AK1469" i="2"/>
  <c r="AK1470" i="2"/>
  <c r="AK147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1" i="2"/>
  <c r="AJ902" i="2"/>
  <c r="AJ903" i="2"/>
  <c r="AJ904" i="2"/>
  <c r="AJ905" i="2"/>
  <c r="AJ906" i="2"/>
  <c r="AJ907" i="2"/>
  <c r="AJ908" i="2"/>
  <c r="AJ909" i="2"/>
  <c r="AJ910" i="2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J924" i="2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8" i="2"/>
  <c r="AJ979" i="2"/>
  <c r="AJ980" i="2"/>
  <c r="AJ981" i="2"/>
  <c r="AJ982" i="2"/>
  <c r="AJ983" i="2"/>
  <c r="AJ984" i="2"/>
  <c r="AJ985" i="2"/>
  <c r="AJ986" i="2"/>
  <c r="AJ987" i="2"/>
  <c r="AJ988" i="2"/>
  <c r="AJ989" i="2"/>
  <c r="AJ990" i="2"/>
  <c r="AJ991" i="2"/>
  <c r="AJ992" i="2"/>
  <c r="AJ993" i="2"/>
  <c r="AJ994" i="2"/>
  <c r="AJ995" i="2"/>
  <c r="AJ996" i="2"/>
  <c r="AJ997" i="2"/>
  <c r="AJ998" i="2"/>
  <c r="AJ999" i="2"/>
  <c r="AJ1000" i="2"/>
  <c r="AJ1001" i="2"/>
  <c r="AJ1002" i="2"/>
  <c r="AJ1003" i="2"/>
  <c r="AJ1004" i="2"/>
  <c r="AJ1005" i="2"/>
  <c r="AJ1006" i="2"/>
  <c r="AJ1007" i="2"/>
  <c r="AJ1008" i="2"/>
  <c r="AJ1009" i="2"/>
  <c r="AJ1010" i="2"/>
  <c r="AJ1011" i="2"/>
  <c r="AJ1012" i="2"/>
  <c r="AJ1013" i="2"/>
  <c r="AJ1014" i="2"/>
  <c r="AJ1015" i="2"/>
  <c r="AJ1016" i="2"/>
  <c r="AJ1017" i="2"/>
  <c r="AJ1018" i="2"/>
  <c r="AJ1019" i="2"/>
  <c r="AJ1020" i="2"/>
  <c r="AJ1021" i="2"/>
  <c r="AJ1022" i="2"/>
  <c r="AJ1023" i="2"/>
  <c r="AJ1024" i="2"/>
  <c r="AJ1025" i="2"/>
  <c r="AJ1026" i="2"/>
  <c r="AJ1027" i="2"/>
  <c r="AJ1028" i="2"/>
  <c r="AJ1029" i="2"/>
  <c r="AJ1030" i="2"/>
  <c r="AJ1031" i="2"/>
  <c r="AJ1032" i="2"/>
  <c r="AJ1033" i="2"/>
  <c r="AJ1034" i="2"/>
  <c r="AJ1035" i="2"/>
  <c r="AJ1036" i="2"/>
  <c r="AJ1037" i="2"/>
  <c r="AJ1038" i="2"/>
  <c r="AJ1039" i="2"/>
  <c r="AJ1040" i="2"/>
  <c r="AJ1041" i="2"/>
  <c r="AJ1042" i="2"/>
  <c r="AJ1043" i="2"/>
  <c r="AJ1044" i="2"/>
  <c r="AJ1045" i="2"/>
  <c r="AJ1046" i="2"/>
  <c r="AJ1047" i="2"/>
  <c r="AJ1048" i="2"/>
  <c r="AJ1049" i="2"/>
  <c r="AJ1050" i="2"/>
  <c r="AJ1051" i="2"/>
  <c r="AJ1052" i="2"/>
  <c r="AJ1053" i="2"/>
  <c r="AJ1054" i="2"/>
  <c r="AJ1055" i="2"/>
  <c r="AJ1056" i="2"/>
  <c r="AJ1057" i="2"/>
  <c r="AJ1058" i="2"/>
  <c r="AJ1059" i="2"/>
  <c r="AJ1060" i="2"/>
  <c r="AJ1061" i="2"/>
  <c r="AJ1062" i="2"/>
  <c r="AJ1063" i="2"/>
  <c r="AJ1064" i="2"/>
  <c r="AJ1065" i="2"/>
  <c r="AJ1066" i="2"/>
  <c r="AJ1067" i="2"/>
  <c r="AJ1068" i="2"/>
  <c r="AJ1069" i="2"/>
  <c r="AJ1070" i="2"/>
  <c r="AJ1071" i="2"/>
  <c r="AJ1072" i="2"/>
  <c r="AJ1073" i="2"/>
  <c r="AJ1074" i="2"/>
  <c r="AJ1075" i="2"/>
  <c r="AJ1076" i="2"/>
  <c r="AJ1077" i="2"/>
  <c r="AJ1078" i="2"/>
  <c r="AJ1079" i="2"/>
  <c r="AJ1080" i="2"/>
  <c r="AJ1081" i="2"/>
  <c r="AJ1082" i="2"/>
  <c r="AJ1083" i="2"/>
  <c r="AJ1084" i="2"/>
  <c r="AJ1085" i="2"/>
  <c r="AJ1086" i="2"/>
  <c r="AJ1087" i="2"/>
  <c r="AJ1088" i="2"/>
  <c r="AJ1089" i="2"/>
  <c r="AJ1090" i="2"/>
  <c r="AJ1091" i="2"/>
  <c r="AJ1092" i="2"/>
  <c r="AJ1093" i="2"/>
  <c r="AJ1094" i="2"/>
  <c r="AJ1095" i="2"/>
  <c r="AJ1096" i="2"/>
  <c r="AJ1097" i="2"/>
  <c r="AJ1098" i="2"/>
  <c r="AJ1099" i="2"/>
  <c r="AJ1100" i="2"/>
  <c r="AJ1101" i="2"/>
  <c r="AJ1102" i="2"/>
  <c r="AJ1103" i="2"/>
  <c r="AJ1104" i="2"/>
  <c r="AJ1105" i="2"/>
  <c r="AJ1106" i="2"/>
  <c r="AJ1107" i="2"/>
  <c r="AJ1108" i="2"/>
  <c r="AJ1109" i="2"/>
  <c r="AJ1110" i="2"/>
  <c r="AJ1111" i="2"/>
  <c r="AJ1112" i="2"/>
  <c r="AJ1113" i="2"/>
  <c r="AJ1114" i="2"/>
  <c r="AJ1115" i="2"/>
  <c r="AJ1116" i="2"/>
  <c r="AJ1117" i="2"/>
  <c r="AJ1118" i="2"/>
  <c r="AJ1119" i="2"/>
  <c r="AJ1120" i="2"/>
  <c r="AJ1121" i="2"/>
  <c r="AJ1122" i="2"/>
  <c r="AJ1123" i="2"/>
  <c r="AJ1124" i="2"/>
  <c r="AJ1125" i="2"/>
  <c r="AJ1126" i="2"/>
  <c r="AJ1127" i="2"/>
  <c r="AJ1128" i="2"/>
  <c r="AJ1129" i="2"/>
  <c r="AJ1130" i="2"/>
  <c r="AJ1131" i="2"/>
  <c r="AJ1132" i="2"/>
  <c r="AJ1133" i="2"/>
  <c r="AJ1134" i="2"/>
  <c r="AJ1135" i="2"/>
  <c r="AJ1136" i="2"/>
  <c r="AJ1137" i="2"/>
  <c r="AJ1138" i="2"/>
  <c r="AJ1139" i="2"/>
  <c r="AJ1140" i="2"/>
  <c r="AJ1141" i="2"/>
  <c r="AJ1142" i="2"/>
  <c r="AJ1143" i="2"/>
  <c r="AJ1144" i="2"/>
  <c r="AJ1145" i="2"/>
  <c r="AJ1146" i="2"/>
  <c r="AJ1147" i="2"/>
  <c r="AJ1148" i="2"/>
  <c r="AJ1149" i="2"/>
  <c r="AJ1150" i="2"/>
  <c r="AJ1151" i="2"/>
  <c r="AJ1152" i="2"/>
  <c r="AJ1153" i="2"/>
  <c r="AJ1154" i="2"/>
  <c r="AJ1155" i="2"/>
  <c r="AJ1156" i="2"/>
  <c r="AJ1157" i="2"/>
  <c r="AJ1158" i="2"/>
  <c r="AJ1159" i="2"/>
  <c r="AJ1160" i="2"/>
  <c r="AJ1161" i="2"/>
  <c r="AJ1162" i="2"/>
  <c r="AJ1163" i="2"/>
  <c r="AJ1164" i="2"/>
  <c r="AJ1165" i="2"/>
  <c r="AJ1166" i="2"/>
  <c r="AJ1167" i="2"/>
  <c r="AJ1168" i="2"/>
  <c r="AJ1169" i="2"/>
  <c r="AJ1170" i="2"/>
  <c r="AJ1171" i="2"/>
  <c r="AJ1172" i="2"/>
  <c r="AJ1173" i="2"/>
  <c r="AJ1174" i="2"/>
  <c r="AJ1175" i="2"/>
  <c r="AJ1176" i="2"/>
  <c r="AJ1177" i="2"/>
  <c r="AJ1178" i="2"/>
  <c r="AJ1179" i="2"/>
  <c r="AJ1180" i="2"/>
  <c r="AJ1181" i="2"/>
  <c r="AJ1182" i="2"/>
  <c r="AJ1183" i="2"/>
  <c r="AJ1184" i="2"/>
  <c r="AJ1185" i="2"/>
  <c r="AJ1186" i="2"/>
  <c r="AJ1187" i="2"/>
  <c r="AJ1188" i="2"/>
  <c r="AJ1189" i="2"/>
  <c r="AJ1190" i="2"/>
  <c r="AJ1191" i="2"/>
  <c r="AJ1192" i="2"/>
  <c r="AJ1193" i="2"/>
  <c r="AJ1194" i="2"/>
  <c r="AJ1195" i="2"/>
  <c r="AJ1196" i="2"/>
  <c r="AJ1197" i="2"/>
  <c r="AJ1198" i="2"/>
  <c r="AJ1199" i="2"/>
  <c r="AJ1200" i="2"/>
  <c r="AJ1201" i="2"/>
  <c r="AJ1202" i="2"/>
  <c r="AJ1203" i="2"/>
  <c r="AJ1204" i="2"/>
  <c r="AJ1205" i="2"/>
  <c r="AJ1206" i="2"/>
  <c r="AJ1207" i="2"/>
  <c r="AJ1208" i="2"/>
  <c r="AJ1209" i="2"/>
  <c r="AJ1210" i="2"/>
  <c r="AJ1211" i="2"/>
  <c r="AJ1212" i="2"/>
  <c r="AJ1213" i="2"/>
  <c r="AJ1214" i="2"/>
  <c r="AJ1215" i="2"/>
  <c r="AJ1216" i="2"/>
  <c r="AJ1217" i="2"/>
  <c r="AJ1218" i="2"/>
  <c r="AJ1219" i="2"/>
  <c r="AJ1220" i="2"/>
  <c r="AJ1221" i="2"/>
  <c r="AJ1222" i="2"/>
  <c r="AJ1223" i="2"/>
  <c r="AJ1224" i="2"/>
  <c r="AJ1225" i="2"/>
  <c r="AJ1226" i="2"/>
  <c r="AJ1227" i="2"/>
  <c r="AJ1228" i="2"/>
  <c r="AJ1229" i="2"/>
  <c r="AJ1230" i="2"/>
  <c r="AJ1231" i="2"/>
  <c r="AJ1232" i="2"/>
  <c r="AJ1233" i="2"/>
  <c r="AJ1234" i="2"/>
  <c r="AJ1235" i="2"/>
  <c r="AJ1236" i="2"/>
  <c r="AJ1237" i="2"/>
  <c r="AJ1238" i="2"/>
  <c r="AJ1239" i="2"/>
  <c r="AJ1240" i="2"/>
  <c r="AJ1241" i="2"/>
  <c r="AJ1242" i="2"/>
  <c r="AJ1243" i="2"/>
  <c r="AJ1244" i="2"/>
  <c r="AJ1245" i="2"/>
  <c r="AJ1246" i="2"/>
  <c r="AJ1247" i="2"/>
  <c r="AJ1248" i="2"/>
  <c r="AJ1249" i="2"/>
  <c r="AJ1250" i="2"/>
  <c r="AJ1251" i="2"/>
  <c r="AJ1252" i="2"/>
  <c r="AJ1253" i="2"/>
  <c r="AJ1254" i="2"/>
  <c r="AJ1255" i="2"/>
  <c r="AJ1256" i="2"/>
  <c r="AJ1257" i="2"/>
  <c r="AJ1258" i="2"/>
  <c r="AJ1259" i="2"/>
  <c r="AJ1260" i="2"/>
  <c r="AJ1261" i="2"/>
  <c r="AJ1262" i="2"/>
  <c r="AJ1263" i="2"/>
  <c r="AJ1264" i="2"/>
  <c r="AJ1265" i="2"/>
  <c r="AJ1266" i="2"/>
  <c r="AJ1267" i="2"/>
  <c r="AJ1268" i="2"/>
  <c r="AJ1269" i="2"/>
  <c r="AJ1270" i="2"/>
  <c r="AJ1271" i="2"/>
  <c r="AJ1272" i="2"/>
  <c r="AJ1273" i="2"/>
  <c r="AJ1274" i="2"/>
  <c r="AJ1275" i="2"/>
  <c r="AJ1276" i="2"/>
  <c r="AJ1277" i="2"/>
  <c r="AJ1278" i="2"/>
  <c r="AJ1279" i="2"/>
  <c r="AJ1280" i="2"/>
  <c r="AJ1281" i="2"/>
  <c r="AJ1282" i="2"/>
  <c r="AJ1283" i="2"/>
  <c r="AJ1284" i="2"/>
  <c r="AJ1285" i="2"/>
  <c r="AJ1286" i="2"/>
  <c r="AJ1287" i="2"/>
  <c r="AJ1288" i="2"/>
  <c r="AJ1289" i="2"/>
  <c r="AJ1290" i="2"/>
  <c r="AJ1291" i="2"/>
  <c r="AJ1292" i="2"/>
  <c r="AJ1293" i="2"/>
  <c r="AJ1294" i="2"/>
  <c r="AJ1295" i="2"/>
  <c r="AJ1296" i="2"/>
  <c r="AJ1297" i="2"/>
  <c r="AJ1298" i="2"/>
  <c r="AJ1299" i="2"/>
  <c r="AJ1300" i="2"/>
  <c r="AJ1301" i="2"/>
  <c r="AJ1302" i="2"/>
  <c r="AJ1303" i="2"/>
  <c r="AJ1304" i="2"/>
  <c r="AJ1305" i="2"/>
  <c r="AJ1306" i="2"/>
  <c r="AJ1307" i="2"/>
  <c r="AJ1308" i="2"/>
  <c r="AJ1309" i="2"/>
  <c r="AJ1310" i="2"/>
  <c r="AJ1311" i="2"/>
  <c r="AJ1312" i="2"/>
  <c r="AJ1313" i="2"/>
  <c r="AJ1314" i="2"/>
  <c r="AJ1315" i="2"/>
  <c r="AJ1316" i="2"/>
  <c r="AJ1317" i="2"/>
  <c r="AJ1318" i="2"/>
  <c r="AJ1319" i="2"/>
  <c r="AJ1320" i="2"/>
  <c r="AJ1321" i="2"/>
  <c r="AJ1322" i="2"/>
  <c r="AJ1323" i="2"/>
  <c r="AJ1324" i="2"/>
  <c r="AJ1325" i="2"/>
  <c r="AJ1326" i="2"/>
  <c r="AJ1327" i="2"/>
  <c r="AJ1328" i="2"/>
  <c r="AJ1329" i="2"/>
  <c r="AJ1330" i="2"/>
  <c r="AJ1331" i="2"/>
  <c r="AJ1332" i="2"/>
  <c r="AJ1333" i="2"/>
  <c r="AJ1334" i="2"/>
  <c r="AJ1335" i="2"/>
  <c r="AJ1336" i="2"/>
  <c r="AJ1337" i="2"/>
  <c r="AJ1338" i="2"/>
  <c r="AJ1339" i="2"/>
  <c r="AJ1340" i="2"/>
  <c r="AJ1341" i="2"/>
  <c r="AJ1342" i="2"/>
  <c r="AJ1343" i="2"/>
  <c r="AJ1344" i="2"/>
  <c r="AJ1345" i="2"/>
  <c r="AJ1346" i="2"/>
  <c r="AJ1347" i="2"/>
  <c r="AJ1348" i="2"/>
  <c r="AJ1349" i="2"/>
  <c r="AJ1350" i="2"/>
  <c r="AJ1351" i="2"/>
  <c r="AJ1352" i="2"/>
  <c r="AJ1353" i="2"/>
  <c r="AJ1354" i="2"/>
  <c r="AJ1355" i="2"/>
  <c r="AJ1356" i="2"/>
  <c r="AJ1357" i="2"/>
  <c r="AJ1358" i="2"/>
  <c r="AJ1359" i="2"/>
  <c r="AJ1360" i="2"/>
  <c r="AJ1361" i="2"/>
  <c r="AJ1362" i="2"/>
  <c r="AJ1363" i="2"/>
  <c r="AJ1364" i="2"/>
  <c r="AJ1365" i="2"/>
  <c r="AJ1366" i="2"/>
  <c r="AJ1367" i="2"/>
  <c r="AJ1368" i="2"/>
  <c r="AJ1369" i="2"/>
  <c r="AJ1370" i="2"/>
  <c r="AJ1371" i="2"/>
  <c r="AJ1372" i="2"/>
  <c r="AJ1373" i="2"/>
  <c r="AJ1374" i="2"/>
  <c r="AJ1375" i="2"/>
  <c r="AJ1376" i="2"/>
  <c r="AJ1377" i="2"/>
  <c r="AJ1378" i="2"/>
  <c r="AJ1379" i="2"/>
  <c r="AJ1380" i="2"/>
  <c r="AJ1381" i="2"/>
  <c r="AJ1382" i="2"/>
  <c r="AJ1383" i="2"/>
  <c r="AJ1384" i="2"/>
  <c r="AJ1385" i="2"/>
  <c r="AJ1386" i="2"/>
  <c r="AJ1387" i="2"/>
  <c r="AJ1388" i="2"/>
  <c r="AJ1389" i="2"/>
  <c r="AJ1390" i="2"/>
  <c r="AJ1391" i="2"/>
  <c r="AJ1392" i="2"/>
  <c r="AJ1393" i="2"/>
  <c r="AJ1394" i="2"/>
  <c r="AJ1395" i="2"/>
  <c r="AJ1396" i="2"/>
  <c r="AJ1397" i="2"/>
  <c r="AJ1398" i="2"/>
  <c r="AJ1399" i="2"/>
  <c r="AJ1400" i="2"/>
  <c r="AJ1401" i="2"/>
  <c r="AJ1402" i="2"/>
  <c r="AJ1403" i="2"/>
  <c r="AJ1404" i="2"/>
  <c r="AJ1405" i="2"/>
  <c r="AJ1406" i="2"/>
  <c r="AJ1407" i="2"/>
  <c r="AJ1408" i="2"/>
  <c r="AJ1409" i="2"/>
  <c r="AJ1410" i="2"/>
  <c r="AJ1411" i="2"/>
  <c r="AJ1412" i="2"/>
  <c r="AJ1413" i="2"/>
  <c r="AJ1414" i="2"/>
  <c r="AJ1415" i="2"/>
  <c r="AJ1416" i="2"/>
  <c r="AJ1417" i="2"/>
  <c r="AJ1418" i="2"/>
  <c r="AJ1419" i="2"/>
  <c r="AJ1420" i="2"/>
  <c r="AJ1421" i="2"/>
  <c r="AJ1422" i="2"/>
  <c r="AJ1423" i="2"/>
  <c r="AJ1424" i="2"/>
  <c r="AJ1425" i="2"/>
  <c r="AJ1426" i="2"/>
  <c r="AJ1427" i="2"/>
  <c r="AJ1428" i="2"/>
  <c r="AJ1429" i="2"/>
  <c r="AJ1430" i="2"/>
  <c r="AJ1431" i="2"/>
  <c r="AJ1432" i="2"/>
  <c r="AJ1433" i="2"/>
  <c r="AJ1434" i="2"/>
  <c r="AJ1435" i="2"/>
  <c r="AJ1436" i="2"/>
  <c r="AJ1437" i="2"/>
  <c r="AJ1438" i="2"/>
  <c r="AJ1439" i="2"/>
  <c r="AJ1440" i="2"/>
  <c r="AJ1441" i="2"/>
  <c r="AJ1442" i="2"/>
  <c r="AJ1443" i="2"/>
  <c r="AJ1444" i="2"/>
  <c r="AJ1445" i="2"/>
  <c r="AJ1446" i="2"/>
  <c r="AJ1447" i="2"/>
  <c r="AJ1448" i="2"/>
  <c r="AJ1449" i="2"/>
  <c r="AJ1450" i="2"/>
  <c r="AJ1451" i="2"/>
  <c r="AJ1452" i="2"/>
  <c r="AJ1453" i="2"/>
  <c r="AJ1454" i="2"/>
  <c r="AJ1455" i="2"/>
  <c r="AJ1456" i="2"/>
  <c r="AJ1457" i="2"/>
  <c r="AJ1458" i="2"/>
  <c r="AJ1459" i="2"/>
  <c r="AJ1460" i="2"/>
  <c r="AJ1461" i="2"/>
  <c r="AJ1462" i="2"/>
  <c r="AJ1463" i="2"/>
  <c r="AJ1464" i="2"/>
  <c r="AJ1465" i="2"/>
  <c r="AJ1466" i="2"/>
  <c r="AJ1467" i="2"/>
  <c r="AJ1468" i="2"/>
  <c r="AJ1469" i="2"/>
  <c r="AJ1470" i="2"/>
  <c r="AJ1471" i="2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D75" i="5" l="1"/>
  <c r="D74" i="5"/>
  <c r="D73" i="5"/>
  <c r="D27" i="5"/>
</calcChain>
</file>

<file path=xl/sharedStrings.xml><?xml version="1.0" encoding="utf-8"?>
<sst xmlns="http://schemas.openxmlformats.org/spreadsheetml/2006/main" count="26916" uniqueCount="193">
  <si>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</si>
  <si>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</si>
  <si>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</si>
  <si>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</si>
  <si>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</si>
  <si>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</si>
  <si>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</si>
  <si>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</si>
  <si>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</si>
  <si>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</si>
  <si>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</si>
  <si>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</si>
  <si>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</si>
  <si>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</si>
  <si>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</si>
  <si>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</si>
  <si>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</si>
  <si>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</si>
  <si>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</si>
  <si>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</si>
  <si>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</si>
  <si>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</si>
  <si>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</si>
  <si>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</si>
  <si>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</si>
  <si>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</si>
  <si>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</si>
  <si>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</si>
  <si>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</si>
  <si>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</si>
  <si>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</si>
  <si>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</si>
  <si>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</si>
  <si>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</si>
  <si>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</si>
  <si>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</si>
  <si>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</si>
  <si>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</si>
  <si>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</si>
  <si>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</si>
  <si>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</si>
  <si>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</si>
  <si>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</si>
  <si>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</si>
  <si>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</si>
  <si>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</si>
  <si>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</si>
  <si>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</si>
  <si>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</si>
  <si>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</si>
  <si>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</si>
  <si>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</si>
  <si>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</si>
  <si>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</si>
  <si>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</si>
  <si>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</si>
  <si>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</si>
  <si>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</si>
  <si>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</si>
  <si>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</si>
  <si>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</si>
  <si>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</si>
  <si>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HR Attrition Data Quality Check</t>
  </si>
  <si>
    <t>Check</t>
  </si>
  <si>
    <t>Result</t>
  </si>
  <si>
    <t>Total Employees</t>
  </si>
  <si>
    <t>Total Columns</t>
  </si>
  <si>
    <t>Duplicate Employee Numbers</t>
  </si>
  <si>
    <t>Missing  Employee Numbers</t>
  </si>
  <si>
    <t>Missing  Attrition  Values</t>
  </si>
  <si>
    <t>Missing  Monthly Income</t>
  </si>
  <si>
    <t>Missing  Job Role</t>
  </si>
  <si>
    <t>Missing  Age</t>
  </si>
  <si>
    <t>Missing Department</t>
  </si>
  <si>
    <t>Missing  OverTime</t>
  </si>
  <si>
    <t>Missing Business Travel</t>
  </si>
  <si>
    <t>Missing  Job Level</t>
  </si>
  <si>
    <t>Missing  Gender</t>
  </si>
  <si>
    <t>Missing  Job Satisfaction</t>
  </si>
  <si>
    <t>Missing  Environment Satisfaction</t>
  </si>
  <si>
    <t>Missing  Work-life Balance</t>
  </si>
  <si>
    <t>Missing  Years at Company</t>
  </si>
  <si>
    <t>Missing  Distance From Home</t>
  </si>
  <si>
    <t>Missing Years Since Last Promotion</t>
  </si>
  <si>
    <t>Missing Years With Current Manager</t>
  </si>
  <si>
    <t>Minimum Age</t>
  </si>
  <si>
    <t>Maximum Age</t>
  </si>
  <si>
    <t>Minimum  Monthly Income</t>
  </si>
  <si>
    <t>Maximum  Monthly Income</t>
  </si>
  <si>
    <t>Minimum   Years at Company</t>
  </si>
  <si>
    <t>Maximum  Years at Company</t>
  </si>
  <si>
    <t>Minimum  Monthly Rate</t>
  </si>
  <si>
    <t>Maximum  Monthly Rate</t>
  </si>
  <si>
    <t>Minimum Daily Rate</t>
  </si>
  <si>
    <t>Maximum Daily Rate</t>
  </si>
  <si>
    <t>Minimum Hourly Rate</t>
  </si>
  <si>
    <t>Maximum Hourly Rate</t>
  </si>
  <si>
    <t xml:space="preserve"> Attrition Yes Count</t>
  </si>
  <si>
    <t xml:space="preserve"> Attrition No Count</t>
  </si>
  <si>
    <t>Travel Rarely Count</t>
  </si>
  <si>
    <t>Travel Frequently Count</t>
  </si>
  <si>
    <t>Non Travel Count</t>
  </si>
  <si>
    <t>Age Group</t>
  </si>
  <si>
    <t>Tenure group</t>
  </si>
  <si>
    <t>Income Group</t>
  </si>
  <si>
    <t>Attrition Flag</t>
  </si>
  <si>
    <t>Row Labels</t>
  </si>
  <si>
    <t>Grand Total</t>
  </si>
  <si>
    <t>Column Labels</t>
  </si>
  <si>
    <t>Attrition by Department</t>
  </si>
  <si>
    <t>Attrition by Job Role</t>
  </si>
  <si>
    <t>18-24</t>
  </si>
  <si>
    <t>25-34</t>
  </si>
  <si>
    <t>35-44</t>
  </si>
  <si>
    <t>45-54</t>
  </si>
  <si>
    <t>55+</t>
  </si>
  <si>
    <t>Attrition by Age Group</t>
  </si>
  <si>
    <t>Attrition by Gender</t>
  </si>
  <si>
    <t>Attrition by OverTime</t>
  </si>
  <si>
    <t>Attrition by Job Level</t>
  </si>
  <si>
    <t>Attrition by Business Travel</t>
  </si>
  <si>
    <t>Attrition by Marital Status</t>
  </si>
  <si>
    <t>0-2 Years</t>
  </si>
  <si>
    <t>11+ Years</t>
  </si>
  <si>
    <t>3-5 Years</t>
  </si>
  <si>
    <t>6-10 Years</t>
  </si>
  <si>
    <t>Attrition by Tenure Group</t>
  </si>
  <si>
    <t>3000-4999</t>
  </si>
  <si>
    <t>5000-7999</t>
  </si>
  <si>
    <t>8000+</t>
  </si>
  <si>
    <t>Below 3000</t>
  </si>
  <si>
    <t>Attrition by Income Group</t>
  </si>
  <si>
    <t>HR Employee Attrition Analysis</t>
  </si>
  <si>
    <t>Metric</t>
  </si>
  <si>
    <t>Value</t>
  </si>
  <si>
    <t>Employees Who Left</t>
  </si>
  <si>
    <t>Employees Who Stayed</t>
  </si>
  <si>
    <t>Overall Attrition Rate</t>
  </si>
  <si>
    <t>Attrition Rate</t>
  </si>
  <si>
    <t>Attrition Rate by Department</t>
  </si>
  <si>
    <t xml:space="preserve"> Department</t>
  </si>
  <si>
    <t>Employees</t>
  </si>
  <si>
    <t>Employees Left</t>
  </si>
  <si>
    <t>Attrition Rate by Job Role</t>
  </si>
  <si>
    <t>Job Role</t>
  </si>
  <si>
    <t>laboratory Technician</t>
  </si>
  <si>
    <t>Research  Scientist</t>
  </si>
  <si>
    <t>Attrition Rate by OverTime</t>
  </si>
  <si>
    <t>Attrition Rate by Job Level</t>
  </si>
  <si>
    <t>Job Level</t>
  </si>
  <si>
    <t>Attrition Rate by Business Travel</t>
  </si>
  <si>
    <t>Business Travel</t>
  </si>
  <si>
    <t>Attrition Rate by Marital Status</t>
  </si>
  <si>
    <t>Marital Status</t>
  </si>
  <si>
    <t>Attrition Rate by Tenure Group</t>
  </si>
  <si>
    <t>Tenure Group</t>
  </si>
  <si>
    <t>Attrition Rate by Income Group</t>
  </si>
  <si>
    <t>Employee  Aanalysis</t>
  </si>
  <si>
    <t>Employees Who Travel Frequently</t>
  </si>
  <si>
    <t>Employees Working Overtime</t>
  </si>
  <si>
    <t>Average Distance From Home</t>
  </si>
  <si>
    <t>Average Job Level</t>
  </si>
  <si>
    <t>Average Years at Company</t>
  </si>
  <si>
    <t>Average Monthly Income</t>
  </si>
  <si>
    <t>Average Age</t>
  </si>
  <si>
    <t>Employee Distribution by Gender</t>
  </si>
  <si>
    <t>Employees left</t>
  </si>
  <si>
    <t>Employee Distribution by Department</t>
  </si>
  <si>
    <t>Employee Distribution by Job Role</t>
  </si>
  <si>
    <t>Employee Distribution by OverTime</t>
  </si>
  <si>
    <t xml:space="preserve"> OverTime</t>
  </si>
  <si>
    <t>Employee Distribution by Job Level</t>
  </si>
  <si>
    <t>Employee Distribution by Business Travel</t>
  </si>
  <si>
    <t>Employee Distribution by Marital Status</t>
  </si>
  <si>
    <t>Employee Distribution by Tenure Group</t>
  </si>
  <si>
    <t>Employee Distribution by Income Group</t>
  </si>
  <si>
    <t xml:space="preserve"> Income Group</t>
  </si>
  <si>
    <t>HR Employee Attrition Dashboard</t>
  </si>
  <si>
    <t xml:space="preserve"> Employees Who Left</t>
  </si>
  <si>
    <t xml:space="preserve"> Employees Who Stayed</t>
  </si>
  <si>
    <t>Overall  Attrition Rate</t>
  </si>
  <si>
    <t>HR Employee Attrition-Key Insights</t>
  </si>
  <si>
    <t>Overall Attrition</t>
  </si>
  <si>
    <t>Overall attrition  rate is 16.12%, with 237 employees leaving out of 1,470</t>
  </si>
  <si>
    <t>Sales has the highest attrition rate at  20.63%, followed by Human Resources at 19.05%, Research &amp; Development has the lowest rate at 13.84%.</t>
  </si>
  <si>
    <t>Sales Representatives  have the highest attrition rate at  39.76%, while Research Directors have the lowest at  2.50%, Laboratory Technicians also show relatively high attrition at 23.94%.</t>
  </si>
  <si>
    <t>Employees working overtime have a much higher attrition rate (30.53%) than employees not working overtime (10.44%).</t>
  </si>
  <si>
    <t>Job Level 1 has the highest attrition rate at  26.34%, while  Job Level  4  has the lowest at 4.72%.</t>
  </si>
  <si>
    <t xml:space="preserve">Employees who travel frequently have a higher attrition rate of 24.91%, compared with 14.96% for those who travel rarely and 8.00% for non-travel employees. </t>
  </si>
  <si>
    <t>Single employees have the highest attrition rate at  25.53%, compared with 12.48% for married employees and 10.09% for divorced employees.</t>
  </si>
  <si>
    <t>Tenure</t>
  </si>
  <si>
    <t>Employees with 0-2 years at the company have the highest attrition rate at  29.82%. Attrition decreases to 8.13% among employees with 11+ years of tenure.</t>
  </si>
  <si>
    <t>Employees earning below 3000 have the highest attrition rate at  28.61%, while the 5000-7999 income group has the lowest at 10.00%.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</si>
</sst>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0" fontId="16" fillId="0" borderId="0" xfId="0" applyFon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0" fontId="19" fillId="0" borderId="0" xfId="0" applyNumberFormat="1" applyFont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Attrition 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Dashboard!$A$9</c:f>
              <c:strCache>
                <c:ptCount val="1"/>
                <c:pt idx="0">
                  <c:v> Department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Dashboard!$B$17</c:f>
              <c:strCache>
                <c:ptCount val="1"/>
                <c:pt idx="0">
                  <c:v>Attrition Rate</c:v>
                </c:pt>
              </c:strCache>
            </c:strRef>
          </c:cat>
          <c:val>
            <c:numRef>
              <c:f>Dashboard!$B$9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1-41BB-93CF-54AC1D7F0310}"/>
            </c:ext>
          </c:extLst>
        </c:ser>
        <c:ser>
          <c:idx val="1"/>
          <c:order val="1"/>
          <c:tx>
            <c:strRef>
              <c:f>Dashboard!$A$10</c:f>
              <c:strCache>
                <c:ptCount val="1"/>
                <c:pt idx="0">
                  <c:v>Human Resources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Dashboard!$B$17</c:f>
              <c:strCache>
                <c:ptCount val="1"/>
                <c:pt idx="0">
                  <c:v>Attrition Rate</c:v>
                </c:pt>
              </c:strCache>
            </c:strRef>
          </c:cat>
          <c:val>
            <c:numRef>
              <c:f>Dashboard!$B$10</c:f>
              <c:numCache>
                <c:formatCode>0.00%</c:formatCode>
                <c:ptCount val="1"/>
                <c:pt idx="0">
                  <c:v>0.19047619047619047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B1-41BB-93CF-54AC1D7F0310}"/>
            </c:ext>
          </c:extLst>
        </c:ser>
        <c:ser>
          <c:idx val="2"/>
          <c:order val="2"/>
          <c:tx>
            <c:strRef>
              <c:f>Dashboard!$A$11</c:f>
              <c:strCache>
                <c:ptCount val="1"/>
                <c:pt idx="0">
                  <c:v>Research &amp; Development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Dashboard!$B$17</c:f>
              <c:strCache>
                <c:ptCount val="1"/>
                <c:pt idx="0">
                  <c:v>Attrition Rate</c:v>
                </c:pt>
              </c:strCache>
            </c:strRef>
          </c:cat>
          <c:val>
            <c:numRef>
              <c:f>Dashboard!$B$11</c:f>
              <c:numCache>
                <c:formatCode>0.00%</c:formatCode>
                <c:ptCount val="1"/>
                <c:pt idx="0">
                  <c:v>0.13839750260145681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B1-41BB-93CF-54AC1D7F0310}"/>
            </c:ext>
          </c:extLst>
        </c:ser>
        <c:ser>
          <c:idx val="3"/>
          <c:order val="3"/>
          <c:tx>
            <c:strRef>
              <c:f>Dashboard!$A$12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Dashboard!$B$17</c:f>
              <c:strCache>
                <c:ptCount val="1"/>
                <c:pt idx="0">
                  <c:v>Attrition Rate</c:v>
                </c:pt>
              </c:strCache>
            </c:strRef>
          </c:cat>
          <c:val>
            <c:numRef>
              <c:f>Dashboard!$B$12</c:f>
              <c:numCache>
                <c:formatCode>0.00%</c:formatCode>
                <c:ptCount val="1"/>
                <c:pt idx="0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B1-41BB-93CF-54AC1D7F0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706080"/>
        <c:axId val="1582576832"/>
      </c:barChart>
      <c:catAx>
        <c:axId val="10877060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2576832"/>
        <c:crosses val="autoZero"/>
        <c:auto val="1"/>
        <c:lblAlgn val="ctr"/>
        <c:lblOffset val="100"/>
        <c:noMultiLvlLbl val="0"/>
      </c:catAx>
      <c:valAx>
        <c:axId val="1582576832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7060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Attrition Rate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58442694663168"/>
          <c:y val="0.15319444444444447"/>
          <c:w val="0.80552668416447948"/>
          <c:h val="0.44238116068824729"/>
        </c:manualLayout>
      </c:layout>
      <c:barChart>
        <c:barDir val="col"/>
        <c:grouping val="clustered"/>
        <c:varyColors val="0"/>
        <c:ser>
          <c:idx val="10"/>
          <c:order val="0"/>
          <c:tx>
            <c:v>Attrition Rate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Dashboard!$A$18:$A$26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Dashboard!$B$18:$B$26</c:f>
              <c:numCache>
                <c:formatCode>0.00%</c:formatCode>
                <c:ptCount val="9"/>
                <c:pt idx="0">
                  <c:v>6.8702290076335881E-2</c:v>
                </c:pt>
                <c:pt idx="1">
                  <c:v>0.23076923076923078</c:v>
                </c:pt>
                <c:pt idx="2">
                  <c:v>0.23938223938223938</c:v>
                </c:pt>
                <c:pt idx="3">
                  <c:v>4.9019607843137254E-2</c:v>
                </c:pt>
                <c:pt idx="4">
                  <c:v>6.8965517241379309E-2</c:v>
                </c:pt>
                <c:pt idx="5">
                  <c:v>2.5000000000000001E-2</c:v>
                </c:pt>
                <c:pt idx="6">
                  <c:v>0.16095890410958905</c:v>
                </c:pt>
                <c:pt idx="7">
                  <c:v>0.17484662576687116</c:v>
                </c:pt>
                <c:pt idx="8">
                  <c:v>0.39759036144578314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CCA-43F5-BB16-968BF56F2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3242416"/>
        <c:axId val="1644777504"/>
      </c:barChart>
      <c:catAx>
        <c:axId val="113324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777504"/>
        <c:crosses val="autoZero"/>
        <c:auto val="1"/>
        <c:lblAlgn val="ctr"/>
        <c:lblOffset val="100"/>
        <c:noMultiLvlLbl val="0"/>
      </c:catAx>
      <c:valAx>
        <c:axId val="164477750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24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Attrition Rate</a:t>
            </a:r>
            <a:r>
              <a:rPr lang="en-IN" sz="1200" b="1" baseline="0"/>
              <a:t> by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(Dashboard!$A$32,Dashboard!$A$33)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(Dashboard!$B$32,Dashboard!$B$33)</c:f>
              <c:numCache>
                <c:formatCode>0.00%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9-4721-9D1E-A0CF6044D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5387072"/>
        <c:axId val="1922654240"/>
      </c:barChart>
      <c:catAx>
        <c:axId val="138538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654240"/>
        <c:crosses val="autoZero"/>
        <c:auto val="1"/>
        <c:lblAlgn val="ctr"/>
        <c:lblOffset val="100"/>
        <c:noMultiLvlLbl val="0"/>
      </c:catAx>
      <c:valAx>
        <c:axId val="1922654240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38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Attrition Rate by Job Level</a:t>
            </a:r>
          </a:p>
          <a:p>
            <a:pPr>
              <a:defRPr sz="1200" b="1"/>
            </a:pPr>
            <a:endParaRPr lang="en-IN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Dashboard!$B$38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(Dashboard!$B$39,Dashboard!$B$40,Dashboard!$B$41,Dashboard!$B$42,Dashboard!$B$43)</c:f>
              <c:numCache>
                <c:formatCode>0.00%</c:formatCode>
                <c:ptCount val="5"/>
                <c:pt idx="0">
                  <c:v>0.26335174953959484</c:v>
                </c:pt>
                <c:pt idx="1">
                  <c:v>9.7378277153558054E-2</c:v>
                </c:pt>
                <c:pt idx="2">
                  <c:v>0.14678899082568808</c:v>
                </c:pt>
                <c:pt idx="3">
                  <c:v>4.716981132075472E-2</c:v>
                </c:pt>
                <c:pt idx="4">
                  <c:v>7.2463768115942032E-2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63-4676-8317-381D0797D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5222464"/>
        <c:axId val="1922642720"/>
      </c:barChart>
      <c:catAx>
        <c:axId val="1365222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642720"/>
        <c:crosses val="autoZero"/>
        <c:auto val="1"/>
        <c:lblAlgn val="ctr"/>
        <c:lblOffset val="100"/>
        <c:noMultiLvlLbl val="0"/>
      </c:catAx>
      <c:valAx>
        <c:axId val="1922642720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22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Attrition Rate by</a:t>
            </a:r>
            <a:r>
              <a:rPr lang="en-US" sz="1200" b="1" baseline="0"/>
              <a:t> Business Travel</a:t>
            </a:r>
          </a:p>
          <a:p>
            <a:pPr>
              <a:defRPr sz="1200" b="1"/>
            </a:pP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Attrition Rate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Dashboard!$A$49:$A$51</c:f>
              <c:strCache>
                <c:ptCount val="3"/>
                <c:pt idx="0">
                  <c:v>Non-Travel</c:v>
                </c:pt>
                <c:pt idx="1">
                  <c:v>Travel_Rarely</c:v>
                </c:pt>
                <c:pt idx="2">
                  <c:v>Travel_Frequently</c:v>
                </c:pt>
              </c:strCache>
            </c:strRef>
          </c:cat>
          <c:val>
            <c:numRef>
              <c:f>Dashboard!$B$49:$B$51</c:f>
              <c:numCache>
                <c:formatCode>0.00%</c:formatCode>
                <c:ptCount val="3"/>
                <c:pt idx="0">
                  <c:v>0.08</c:v>
                </c:pt>
                <c:pt idx="1">
                  <c:v>0.14956855225311602</c:v>
                </c:pt>
                <c:pt idx="2">
                  <c:v>0.24909747292418771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F-41F9-A2A4-0ED6BCFCE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0729791"/>
        <c:axId val="1354033247"/>
      </c:barChart>
      <c:catAx>
        <c:axId val="126072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033247"/>
        <c:crosses val="autoZero"/>
        <c:auto val="1"/>
        <c:lblAlgn val="ctr"/>
        <c:lblOffset val="100"/>
        <c:noMultiLvlLbl val="0"/>
      </c:catAx>
      <c:valAx>
        <c:axId val="1354033247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72979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Attrition Rate by Marital Status</a:t>
            </a:r>
          </a:p>
        </c:rich>
      </c:tx>
      <c:layout>
        <c:manualLayout>
          <c:xMode val="edge"/>
          <c:yMode val="edge"/>
          <c:x val="0.34236691970389926"/>
          <c:y val="5.51060320999698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Dashboard!$B$56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Dashboard!$A$57:$A$59</c:f>
              <c:strCache>
                <c:ptCount val="3"/>
                <c:pt idx="0">
                  <c:v>Single</c:v>
                </c:pt>
                <c:pt idx="1">
                  <c:v>Married</c:v>
                </c:pt>
                <c:pt idx="2">
                  <c:v>Divorced</c:v>
                </c:pt>
              </c:strCache>
            </c:strRef>
          </c:cat>
          <c:val>
            <c:numRef>
              <c:f>Dashboard!$B$57:$B$59</c:f>
              <c:numCache>
                <c:formatCode>0.00%</c:formatCode>
                <c:ptCount val="3"/>
                <c:pt idx="0">
                  <c:v>0.25531914893617019</c:v>
                </c:pt>
                <c:pt idx="1">
                  <c:v>0.12481426448736999</c:v>
                </c:pt>
                <c:pt idx="2">
                  <c:v>0.10091743119266056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6-4BD8-A78C-19C66957A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740911"/>
        <c:axId val="1354039007"/>
      </c:barChart>
      <c:catAx>
        <c:axId val="181374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039007"/>
        <c:crosses val="autoZero"/>
        <c:auto val="1"/>
        <c:lblAlgn val="ctr"/>
        <c:lblOffset val="100"/>
        <c:noMultiLvlLbl val="0"/>
      </c:catAx>
      <c:valAx>
        <c:axId val="1354039007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74091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Attrition Rate by Tenure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Dashboard!$B$65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Dashboard!$A$66:$A$69</c:f>
              <c:strCache>
                <c:ptCount val="4"/>
                <c:pt idx="0">
                  <c:v>0-2 Years</c:v>
                </c:pt>
                <c:pt idx="1">
                  <c:v>3-5 Years</c:v>
                </c:pt>
                <c:pt idx="2">
                  <c:v>6-10 Years</c:v>
                </c:pt>
                <c:pt idx="3">
                  <c:v>11+ Years</c:v>
                </c:pt>
              </c:strCache>
            </c:strRef>
          </c:cat>
          <c:val>
            <c:numRef>
              <c:f>Dashboard!$B$66:$B$69</c:f>
              <c:numCache>
                <c:formatCode>0.00%</c:formatCode>
                <c:ptCount val="4"/>
                <c:pt idx="0">
                  <c:v>0.2982456140350877</c:v>
                </c:pt>
                <c:pt idx="1">
                  <c:v>0.13824884792626729</c:v>
                </c:pt>
                <c:pt idx="2">
                  <c:v>0.12276785714285714</c:v>
                </c:pt>
                <c:pt idx="3">
                  <c:v>8.1300813008130079E-2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8-454B-ADD6-0EC27DF92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3343007"/>
        <c:axId val="1354032767"/>
      </c:barChart>
      <c:catAx>
        <c:axId val="182334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032767"/>
        <c:crosses val="autoZero"/>
        <c:auto val="1"/>
        <c:lblAlgn val="ctr"/>
        <c:lblOffset val="100"/>
        <c:noMultiLvlLbl val="0"/>
      </c:catAx>
      <c:valAx>
        <c:axId val="1354032767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343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Attrition Rate by Income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31714785651794"/>
          <c:y val="0.17171296296296298"/>
          <c:w val="0.85212729658792652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Dashboard!$B$74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Dashboard!$A$75:$A$78</c:f>
              <c:strCache>
                <c:ptCount val="4"/>
                <c:pt idx="0">
                  <c:v>Below 3000</c:v>
                </c:pt>
                <c:pt idx="1">
                  <c:v>3000-4999</c:v>
                </c:pt>
                <c:pt idx="2">
                  <c:v>5000-7999</c:v>
                </c:pt>
                <c:pt idx="3">
                  <c:v>8000+</c:v>
                </c:pt>
              </c:strCache>
            </c:strRef>
          </c:cat>
          <c:val>
            <c:numRef>
              <c:f>Dashboard!$B$75:$B$78</c:f>
              <c:numCache>
                <c:formatCode>0.00%</c:formatCode>
                <c:ptCount val="4"/>
                <c:pt idx="0">
                  <c:v>0.28607594936708863</c:v>
                </c:pt>
                <c:pt idx="1">
                  <c:v>0.14124293785310735</c:v>
                </c:pt>
                <c:pt idx="2">
                  <c:v>0.1</c:v>
                </c:pt>
                <c:pt idx="3">
                  <c:v>0.10498687664041995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1-44C2-BCE0-722D41093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3353215"/>
        <c:axId val="1354058207"/>
      </c:barChart>
      <c:catAx>
        <c:axId val="182335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058207"/>
        <c:crosses val="autoZero"/>
        <c:auto val="1"/>
        <c:lblAlgn val="ctr"/>
        <c:lblOffset val="100"/>
        <c:noMultiLvlLbl val="0"/>
      </c:catAx>
      <c:valAx>
        <c:axId val="1354058207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353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9525</xdr:rowOff>
    </xdr:from>
    <xdr:to>
      <xdr:col>10</xdr:col>
      <xdr:colOff>19051</xdr:colOff>
      <xdr:row>13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9766D4-F896-8397-0661-406E8B112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19049</xdr:colOff>
      <xdr:row>14</xdr:row>
      <xdr:rowOff>180975</xdr:rowOff>
    </xdr:from>
    <xdr:to>
      <xdr:col>9</xdr:col>
      <xdr:colOff>609599</xdr:colOff>
      <xdr:row>27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AA7ECC-2969-7B8F-37FB-0337A1D12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9524</xdr:colOff>
      <xdr:row>29</xdr:row>
      <xdr:rowOff>14287</xdr:rowOff>
    </xdr:from>
    <xdr:to>
      <xdr:col>10</xdr:col>
      <xdr:colOff>0</xdr:colOff>
      <xdr:row>37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641DD2-E38F-4B89-B743-D064E3258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1524000</xdr:colOff>
      <xdr:row>39</xdr:row>
      <xdr:rowOff>0</xdr:rowOff>
    </xdr:from>
    <xdr:to>
      <xdr:col>10</xdr:col>
      <xdr:colOff>9525</xdr:colOff>
      <xdr:row>46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E5833B-0C71-FC79-3A42-C79BE44A0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1466850</xdr:colOff>
      <xdr:row>49</xdr:row>
      <xdr:rowOff>9524</xdr:rowOff>
    </xdr:from>
    <xdr:to>
      <xdr:col>10</xdr:col>
      <xdr:colOff>28575</xdr:colOff>
      <xdr:row>55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1C7A5C-8704-9C88-90D4-86224E9FD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1514475</xdr:colOff>
      <xdr:row>58</xdr:row>
      <xdr:rowOff>28575</xdr:rowOff>
    </xdr:from>
    <xdr:to>
      <xdr:col>10</xdr:col>
      <xdr:colOff>0</xdr:colOff>
      <xdr:row>63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D681EA-0E7C-1697-29F5-D4BD7DB54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1533525</xdr:colOff>
      <xdr:row>66</xdr:row>
      <xdr:rowOff>19051</xdr:rowOff>
    </xdr:from>
    <xdr:to>
      <xdr:col>10</xdr:col>
      <xdr:colOff>19050</xdr:colOff>
      <xdr:row>72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2D1B15B-7317-5885-C6F7-5C374EDAC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1504949</xdr:colOff>
      <xdr:row>75</xdr:row>
      <xdr:rowOff>14286</xdr:rowOff>
    </xdr:from>
    <xdr:to>
      <xdr:col>10</xdr:col>
      <xdr:colOff>0</xdr:colOff>
      <xdr:row>83</xdr:row>
      <xdr:rowOff>104775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A911307-811A-190F-1D8D-CE6BF8DE72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eosree Roy" refreshedDate="46272.513876157405" createdVersion="8" refreshedVersion="8" minRefreshableVersion="3" recordCount="1470" xr:uid="{5FFFAF2D-9BEC-488D-B218-0B2564FB8ADA}">
  <cacheSource type="worksheet">
    <worksheetSource name="HR_Cleaned"/>
  </cacheSource>
  <cacheFields count="39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 Group" numFmtId="0">
      <sharedItems count="5">
        <s v="35-44"/>
        <s v="45-54"/>
        <s v="25-34"/>
        <s v="55+"/>
        <s v="18-24"/>
      </sharedItems>
    </cacheField>
    <cacheField name="Tenure group" numFmtId="0">
      <sharedItems count="4">
        <s v="6-10 Years"/>
        <s v="0-2 Years"/>
        <s v="3-5 Years"/>
        <s v="11+ Years"/>
      </sharedItems>
    </cacheField>
    <cacheField name="Income Group" numFmtId="0">
      <sharedItems count="4">
        <s v="5000-7999"/>
        <s v="Below 3000"/>
        <s v="3000-4999"/>
        <s v="8000+"/>
      </sharedItems>
    </cacheField>
    <cacheField name="Attrition 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x v="0"/>
    <n v="1102"/>
    <x v="0"/>
    <n v="1"/>
    <n v="2"/>
    <s v="Life Sciences"/>
    <n v="1"/>
    <n v="1"/>
    <n v="2"/>
    <x v="0"/>
    <n v="94"/>
    <n v="3"/>
    <x v="0"/>
    <x v="0"/>
    <n v="4"/>
    <x v="0"/>
    <n v="5993"/>
    <n v="19479"/>
    <n v="8"/>
    <s v="Y"/>
    <x v="0"/>
    <n v="11"/>
    <n v="3"/>
    <n v="1"/>
    <n v="80"/>
    <n v="0"/>
    <n v="8"/>
    <n v="0"/>
    <n v="1"/>
    <n v="6"/>
    <n v="4"/>
    <n v="0"/>
    <n v="5"/>
    <x v="0"/>
    <x v="0"/>
    <x v="0"/>
    <n v="1"/>
  </r>
  <r>
    <x v="1"/>
    <x v="1"/>
    <x v="1"/>
    <n v="279"/>
    <x v="1"/>
    <n v="8"/>
    <n v="1"/>
    <s v="Life Sciences"/>
    <n v="1"/>
    <n v="2"/>
    <n v="3"/>
    <x v="1"/>
    <n v="61"/>
    <n v="2"/>
    <x v="0"/>
    <x v="1"/>
    <n v="2"/>
    <x v="1"/>
    <n v="5130"/>
    <n v="24907"/>
    <n v="1"/>
    <s v="Y"/>
    <x v="1"/>
    <n v="23"/>
    <n v="4"/>
    <n v="4"/>
    <n v="80"/>
    <n v="1"/>
    <n v="10"/>
    <n v="3"/>
    <n v="3"/>
    <n v="10"/>
    <n v="7"/>
    <n v="1"/>
    <n v="7"/>
    <x v="1"/>
    <x v="0"/>
    <x v="0"/>
    <n v="0"/>
  </r>
  <r>
    <x v="2"/>
    <x v="0"/>
    <x v="0"/>
    <n v="1373"/>
    <x v="1"/>
    <n v="2"/>
    <n v="2"/>
    <s v="Other"/>
    <n v="1"/>
    <n v="4"/>
    <n v="4"/>
    <x v="1"/>
    <n v="92"/>
    <n v="2"/>
    <x v="1"/>
    <x v="2"/>
    <n v="3"/>
    <x v="0"/>
    <n v="2090"/>
    <n v="2396"/>
    <n v="6"/>
    <s v="Y"/>
    <x v="0"/>
    <n v="15"/>
    <n v="3"/>
    <n v="2"/>
    <n v="80"/>
    <n v="0"/>
    <n v="7"/>
    <n v="3"/>
    <n v="3"/>
    <n v="0"/>
    <n v="0"/>
    <n v="0"/>
    <n v="0"/>
    <x v="0"/>
    <x v="1"/>
    <x v="1"/>
    <n v="1"/>
  </r>
  <r>
    <x v="3"/>
    <x v="1"/>
    <x v="1"/>
    <n v="1392"/>
    <x v="1"/>
    <n v="3"/>
    <n v="4"/>
    <s v="Life Sciences"/>
    <n v="1"/>
    <n v="5"/>
    <n v="4"/>
    <x v="0"/>
    <n v="56"/>
    <n v="3"/>
    <x v="1"/>
    <x v="1"/>
    <n v="3"/>
    <x v="1"/>
    <n v="2909"/>
    <n v="23159"/>
    <n v="1"/>
    <s v="Y"/>
    <x v="0"/>
    <n v="11"/>
    <n v="3"/>
    <n v="3"/>
    <n v="80"/>
    <n v="0"/>
    <n v="8"/>
    <n v="3"/>
    <n v="3"/>
    <n v="8"/>
    <n v="7"/>
    <n v="3"/>
    <n v="0"/>
    <x v="2"/>
    <x v="0"/>
    <x v="1"/>
    <n v="0"/>
  </r>
  <r>
    <x v="4"/>
    <x v="1"/>
    <x v="0"/>
    <n v="591"/>
    <x v="1"/>
    <n v="2"/>
    <n v="1"/>
    <s v="Medical"/>
    <n v="1"/>
    <n v="7"/>
    <n v="1"/>
    <x v="1"/>
    <n v="40"/>
    <n v="3"/>
    <x v="1"/>
    <x v="2"/>
    <n v="2"/>
    <x v="1"/>
    <n v="3468"/>
    <n v="16632"/>
    <n v="9"/>
    <s v="Y"/>
    <x v="1"/>
    <n v="12"/>
    <n v="3"/>
    <n v="4"/>
    <n v="80"/>
    <n v="1"/>
    <n v="6"/>
    <n v="3"/>
    <n v="3"/>
    <n v="2"/>
    <n v="2"/>
    <n v="2"/>
    <n v="2"/>
    <x v="2"/>
    <x v="1"/>
    <x v="2"/>
    <n v="0"/>
  </r>
  <r>
    <x v="5"/>
    <x v="1"/>
    <x v="1"/>
    <n v="1005"/>
    <x v="1"/>
    <n v="2"/>
    <n v="2"/>
    <s v="Life Sciences"/>
    <n v="1"/>
    <n v="8"/>
    <n v="4"/>
    <x v="1"/>
    <n v="79"/>
    <n v="3"/>
    <x v="1"/>
    <x v="2"/>
    <n v="4"/>
    <x v="0"/>
    <n v="3068"/>
    <n v="11864"/>
    <n v="0"/>
    <s v="Y"/>
    <x v="1"/>
    <n v="13"/>
    <n v="3"/>
    <n v="3"/>
    <n v="80"/>
    <n v="0"/>
    <n v="8"/>
    <n v="2"/>
    <n v="2"/>
    <n v="7"/>
    <n v="7"/>
    <n v="3"/>
    <n v="6"/>
    <x v="2"/>
    <x v="0"/>
    <x v="2"/>
    <n v="0"/>
  </r>
  <r>
    <x v="6"/>
    <x v="1"/>
    <x v="0"/>
    <n v="1324"/>
    <x v="1"/>
    <n v="3"/>
    <n v="3"/>
    <s v="Medical"/>
    <n v="1"/>
    <n v="10"/>
    <n v="3"/>
    <x v="0"/>
    <n v="81"/>
    <n v="4"/>
    <x v="1"/>
    <x v="2"/>
    <n v="1"/>
    <x v="1"/>
    <n v="2670"/>
    <n v="9964"/>
    <n v="4"/>
    <s v="Y"/>
    <x v="0"/>
    <n v="20"/>
    <n v="4"/>
    <n v="1"/>
    <n v="80"/>
    <n v="3"/>
    <n v="12"/>
    <n v="3"/>
    <n v="2"/>
    <n v="1"/>
    <n v="0"/>
    <n v="0"/>
    <n v="0"/>
    <x v="3"/>
    <x v="1"/>
    <x v="1"/>
    <n v="0"/>
  </r>
  <r>
    <x v="7"/>
    <x v="1"/>
    <x v="0"/>
    <n v="1358"/>
    <x v="1"/>
    <n v="24"/>
    <n v="1"/>
    <s v="Life Sciences"/>
    <n v="1"/>
    <n v="11"/>
    <n v="4"/>
    <x v="1"/>
    <n v="67"/>
    <n v="3"/>
    <x v="1"/>
    <x v="2"/>
    <n v="3"/>
    <x v="2"/>
    <n v="2693"/>
    <n v="13335"/>
    <n v="1"/>
    <s v="Y"/>
    <x v="1"/>
    <n v="22"/>
    <n v="4"/>
    <n v="2"/>
    <n v="80"/>
    <n v="1"/>
    <n v="1"/>
    <n v="2"/>
    <n v="3"/>
    <n v="1"/>
    <n v="0"/>
    <n v="0"/>
    <n v="0"/>
    <x v="2"/>
    <x v="1"/>
    <x v="1"/>
    <n v="0"/>
  </r>
  <r>
    <x v="8"/>
    <x v="1"/>
    <x v="1"/>
    <n v="216"/>
    <x v="1"/>
    <n v="23"/>
    <n v="3"/>
    <s v="Life Sciences"/>
    <n v="1"/>
    <n v="12"/>
    <n v="4"/>
    <x v="1"/>
    <n v="44"/>
    <n v="2"/>
    <x v="2"/>
    <x v="3"/>
    <n v="3"/>
    <x v="0"/>
    <n v="9526"/>
    <n v="8787"/>
    <n v="0"/>
    <s v="Y"/>
    <x v="1"/>
    <n v="21"/>
    <n v="4"/>
    <n v="2"/>
    <n v="80"/>
    <n v="0"/>
    <n v="10"/>
    <n v="2"/>
    <n v="3"/>
    <n v="9"/>
    <n v="7"/>
    <n v="1"/>
    <n v="8"/>
    <x v="0"/>
    <x v="0"/>
    <x v="3"/>
    <n v="0"/>
  </r>
  <r>
    <x v="9"/>
    <x v="1"/>
    <x v="0"/>
    <n v="1299"/>
    <x v="1"/>
    <n v="27"/>
    <n v="3"/>
    <s v="Medical"/>
    <n v="1"/>
    <n v="13"/>
    <n v="3"/>
    <x v="1"/>
    <n v="94"/>
    <n v="3"/>
    <x v="0"/>
    <x v="4"/>
    <n v="3"/>
    <x v="1"/>
    <n v="5237"/>
    <n v="16577"/>
    <n v="6"/>
    <s v="Y"/>
    <x v="1"/>
    <n v="13"/>
    <n v="3"/>
    <n v="2"/>
    <n v="80"/>
    <n v="2"/>
    <n v="17"/>
    <n v="3"/>
    <n v="2"/>
    <n v="7"/>
    <n v="7"/>
    <n v="7"/>
    <n v="7"/>
    <x v="0"/>
    <x v="0"/>
    <x v="0"/>
    <n v="0"/>
  </r>
  <r>
    <x v="10"/>
    <x v="1"/>
    <x v="0"/>
    <n v="809"/>
    <x v="1"/>
    <n v="16"/>
    <n v="3"/>
    <s v="Medical"/>
    <n v="1"/>
    <n v="14"/>
    <n v="1"/>
    <x v="1"/>
    <n v="84"/>
    <n v="4"/>
    <x v="1"/>
    <x v="2"/>
    <n v="2"/>
    <x v="1"/>
    <n v="2426"/>
    <n v="16479"/>
    <n v="0"/>
    <s v="Y"/>
    <x v="1"/>
    <n v="13"/>
    <n v="3"/>
    <n v="3"/>
    <n v="80"/>
    <n v="1"/>
    <n v="6"/>
    <n v="5"/>
    <n v="3"/>
    <n v="5"/>
    <n v="4"/>
    <n v="0"/>
    <n v="3"/>
    <x v="0"/>
    <x v="2"/>
    <x v="1"/>
    <n v="0"/>
  </r>
  <r>
    <x v="11"/>
    <x v="1"/>
    <x v="0"/>
    <n v="153"/>
    <x v="1"/>
    <n v="15"/>
    <n v="2"/>
    <s v="Life Sciences"/>
    <n v="1"/>
    <n v="15"/>
    <n v="4"/>
    <x v="0"/>
    <n v="49"/>
    <n v="2"/>
    <x v="0"/>
    <x v="2"/>
    <n v="3"/>
    <x v="0"/>
    <n v="4193"/>
    <n v="12682"/>
    <n v="0"/>
    <s v="Y"/>
    <x v="0"/>
    <n v="12"/>
    <n v="3"/>
    <n v="4"/>
    <n v="80"/>
    <n v="0"/>
    <n v="10"/>
    <n v="3"/>
    <n v="3"/>
    <n v="9"/>
    <n v="5"/>
    <n v="0"/>
    <n v="8"/>
    <x v="2"/>
    <x v="0"/>
    <x v="2"/>
    <n v="0"/>
  </r>
  <r>
    <x v="12"/>
    <x v="1"/>
    <x v="0"/>
    <n v="670"/>
    <x v="1"/>
    <n v="26"/>
    <n v="1"/>
    <s v="Life Sciences"/>
    <n v="1"/>
    <n v="16"/>
    <n v="1"/>
    <x v="1"/>
    <n v="31"/>
    <n v="3"/>
    <x v="1"/>
    <x v="1"/>
    <n v="3"/>
    <x v="2"/>
    <n v="2911"/>
    <n v="15170"/>
    <n v="1"/>
    <s v="Y"/>
    <x v="1"/>
    <n v="17"/>
    <n v="3"/>
    <n v="4"/>
    <n v="80"/>
    <n v="1"/>
    <n v="5"/>
    <n v="1"/>
    <n v="2"/>
    <n v="5"/>
    <n v="2"/>
    <n v="4"/>
    <n v="3"/>
    <x v="2"/>
    <x v="2"/>
    <x v="1"/>
    <n v="0"/>
  </r>
  <r>
    <x v="13"/>
    <x v="1"/>
    <x v="0"/>
    <n v="1346"/>
    <x v="1"/>
    <n v="19"/>
    <n v="2"/>
    <s v="Medical"/>
    <n v="1"/>
    <n v="18"/>
    <n v="2"/>
    <x v="1"/>
    <n v="93"/>
    <n v="3"/>
    <x v="1"/>
    <x v="2"/>
    <n v="4"/>
    <x v="2"/>
    <n v="2661"/>
    <n v="8758"/>
    <n v="0"/>
    <s v="Y"/>
    <x v="1"/>
    <n v="11"/>
    <n v="3"/>
    <n v="3"/>
    <n v="80"/>
    <n v="1"/>
    <n v="3"/>
    <n v="2"/>
    <n v="3"/>
    <n v="2"/>
    <n v="2"/>
    <n v="1"/>
    <n v="2"/>
    <x v="2"/>
    <x v="1"/>
    <x v="1"/>
    <n v="0"/>
  </r>
  <r>
    <x v="14"/>
    <x v="0"/>
    <x v="0"/>
    <n v="103"/>
    <x v="1"/>
    <n v="24"/>
    <n v="3"/>
    <s v="Life Sciences"/>
    <n v="1"/>
    <n v="19"/>
    <n v="3"/>
    <x v="1"/>
    <n v="50"/>
    <n v="2"/>
    <x v="1"/>
    <x v="2"/>
    <n v="3"/>
    <x v="0"/>
    <n v="2028"/>
    <n v="12947"/>
    <n v="5"/>
    <s v="Y"/>
    <x v="0"/>
    <n v="14"/>
    <n v="3"/>
    <n v="2"/>
    <n v="80"/>
    <n v="0"/>
    <n v="6"/>
    <n v="4"/>
    <n v="3"/>
    <n v="4"/>
    <n v="2"/>
    <n v="0"/>
    <n v="3"/>
    <x v="2"/>
    <x v="2"/>
    <x v="1"/>
    <n v="1"/>
  </r>
  <r>
    <x v="11"/>
    <x v="1"/>
    <x v="0"/>
    <n v="1389"/>
    <x v="1"/>
    <n v="21"/>
    <n v="4"/>
    <s v="Life Sciences"/>
    <n v="1"/>
    <n v="20"/>
    <n v="2"/>
    <x v="0"/>
    <n v="51"/>
    <n v="4"/>
    <x v="2"/>
    <x v="3"/>
    <n v="1"/>
    <x v="2"/>
    <n v="9980"/>
    <n v="10195"/>
    <n v="1"/>
    <s v="Y"/>
    <x v="1"/>
    <n v="11"/>
    <n v="3"/>
    <n v="3"/>
    <n v="80"/>
    <n v="1"/>
    <n v="10"/>
    <n v="1"/>
    <n v="3"/>
    <n v="10"/>
    <n v="9"/>
    <n v="8"/>
    <n v="8"/>
    <x v="2"/>
    <x v="0"/>
    <x v="3"/>
    <n v="0"/>
  </r>
  <r>
    <x v="5"/>
    <x v="1"/>
    <x v="0"/>
    <n v="334"/>
    <x v="1"/>
    <n v="5"/>
    <n v="2"/>
    <s v="Life Sciences"/>
    <n v="1"/>
    <n v="21"/>
    <n v="1"/>
    <x v="1"/>
    <n v="80"/>
    <n v="4"/>
    <x v="1"/>
    <x v="1"/>
    <n v="2"/>
    <x v="2"/>
    <n v="3298"/>
    <n v="15053"/>
    <n v="0"/>
    <s v="Y"/>
    <x v="0"/>
    <n v="12"/>
    <n v="3"/>
    <n v="4"/>
    <n v="80"/>
    <n v="2"/>
    <n v="7"/>
    <n v="5"/>
    <n v="2"/>
    <n v="6"/>
    <n v="2"/>
    <n v="0"/>
    <n v="5"/>
    <x v="2"/>
    <x v="0"/>
    <x v="2"/>
    <n v="0"/>
  </r>
  <r>
    <x v="15"/>
    <x v="1"/>
    <x v="2"/>
    <n v="1123"/>
    <x v="1"/>
    <n v="16"/>
    <n v="2"/>
    <s v="Medical"/>
    <n v="1"/>
    <n v="22"/>
    <n v="4"/>
    <x v="1"/>
    <n v="96"/>
    <n v="4"/>
    <x v="1"/>
    <x v="2"/>
    <n v="4"/>
    <x v="2"/>
    <n v="2935"/>
    <n v="7324"/>
    <n v="1"/>
    <s v="Y"/>
    <x v="0"/>
    <n v="13"/>
    <n v="3"/>
    <n v="2"/>
    <n v="80"/>
    <n v="2"/>
    <n v="1"/>
    <n v="2"/>
    <n v="2"/>
    <n v="1"/>
    <n v="0"/>
    <n v="0"/>
    <n v="0"/>
    <x v="4"/>
    <x v="1"/>
    <x v="1"/>
    <n v="0"/>
  </r>
  <r>
    <x v="16"/>
    <x v="1"/>
    <x v="0"/>
    <n v="1219"/>
    <x v="0"/>
    <n v="2"/>
    <n v="4"/>
    <s v="Life Sciences"/>
    <n v="1"/>
    <n v="23"/>
    <n v="1"/>
    <x v="0"/>
    <n v="78"/>
    <n v="2"/>
    <x v="3"/>
    <x v="5"/>
    <n v="4"/>
    <x v="1"/>
    <n v="15427"/>
    <n v="22021"/>
    <n v="2"/>
    <s v="Y"/>
    <x v="1"/>
    <n v="16"/>
    <n v="3"/>
    <n v="3"/>
    <n v="80"/>
    <n v="0"/>
    <n v="31"/>
    <n v="3"/>
    <n v="3"/>
    <n v="25"/>
    <n v="8"/>
    <n v="3"/>
    <n v="7"/>
    <x v="1"/>
    <x v="3"/>
    <x v="3"/>
    <n v="0"/>
  </r>
  <r>
    <x v="8"/>
    <x v="1"/>
    <x v="0"/>
    <n v="371"/>
    <x v="1"/>
    <n v="2"/>
    <n v="3"/>
    <s v="Life Sciences"/>
    <n v="1"/>
    <n v="24"/>
    <n v="4"/>
    <x v="1"/>
    <n v="45"/>
    <n v="3"/>
    <x v="1"/>
    <x v="1"/>
    <n v="4"/>
    <x v="0"/>
    <n v="3944"/>
    <n v="4306"/>
    <n v="5"/>
    <s v="Y"/>
    <x v="0"/>
    <n v="11"/>
    <n v="3"/>
    <n v="3"/>
    <n v="80"/>
    <n v="0"/>
    <n v="6"/>
    <n v="3"/>
    <n v="3"/>
    <n v="3"/>
    <n v="2"/>
    <n v="1"/>
    <n v="2"/>
    <x v="0"/>
    <x v="2"/>
    <x v="2"/>
    <n v="0"/>
  </r>
  <r>
    <x v="17"/>
    <x v="1"/>
    <x v="2"/>
    <n v="673"/>
    <x v="1"/>
    <n v="11"/>
    <n v="2"/>
    <s v="Other"/>
    <n v="1"/>
    <n v="26"/>
    <n v="1"/>
    <x v="0"/>
    <n v="96"/>
    <n v="4"/>
    <x v="0"/>
    <x v="3"/>
    <n v="3"/>
    <x v="2"/>
    <n v="4011"/>
    <n v="8232"/>
    <n v="0"/>
    <s v="Y"/>
    <x v="1"/>
    <n v="18"/>
    <n v="3"/>
    <n v="4"/>
    <n v="80"/>
    <n v="1"/>
    <n v="5"/>
    <n v="5"/>
    <n v="2"/>
    <n v="4"/>
    <n v="2"/>
    <n v="1"/>
    <n v="3"/>
    <x v="4"/>
    <x v="2"/>
    <x v="2"/>
    <n v="0"/>
  </r>
  <r>
    <x v="9"/>
    <x v="0"/>
    <x v="0"/>
    <n v="1218"/>
    <x v="0"/>
    <n v="9"/>
    <n v="4"/>
    <s v="Life Sciences"/>
    <n v="1"/>
    <n v="27"/>
    <n v="3"/>
    <x v="1"/>
    <n v="82"/>
    <n v="2"/>
    <x v="1"/>
    <x v="6"/>
    <n v="1"/>
    <x v="0"/>
    <n v="3407"/>
    <n v="6986"/>
    <n v="7"/>
    <s v="Y"/>
    <x v="1"/>
    <n v="23"/>
    <n v="4"/>
    <n v="2"/>
    <n v="80"/>
    <n v="0"/>
    <n v="10"/>
    <n v="4"/>
    <n v="3"/>
    <n v="5"/>
    <n v="3"/>
    <n v="0"/>
    <n v="3"/>
    <x v="0"/>
    <x v="2"/>
    <x v="2"/>
    <n v="1"/>
  </r>
  <r>
    <x v="13"/>
    <x v="1"/>
    <x v="0"/>
    <n v="419"/>
    <x v="1"/>
    <n v="7"/>
    <n v="4"/>
    <s v="Life Sciences"/>
    <n v="1"/>
    <n v="28"/>
    <n v="1"/>
    <x v="0"/>
    <n v="53"/>
    <n v="3"/>
    <x v="2"/>
    <x v="7"/>
    <n v="2"/>
    <x v="0"/>
    <n v="11994"/>
    <n v="21293"/>
    <n v="0"/>
    <s v="Y"/>
    <x v="1"/>
    <n v="11"/>
    <n v="3"/>
    <n v="3"/>
    <n v="80"/>
    <n v="0"/>
    <n v="13"/>
    <n v="4"/>
    <n v="3"/>
    <n v="12"/>
    <n v="6"/>
    <n v="2"/>
    <n v="11"/>
    <x v="2"/>
    <x v="3"/>
    <x v="3"/>
    <n v="0"/>
  </r>
  <r>
    <x v="18"/>
    <x v="1"/>
    <x v="0"/>
    <n v="391"/>
    <x v="1"/>
    <n v="15"/>
    <n v="2"/>
    <s v="Life Sciences"/>
    <n v="1"/>
    <n v="30"/>
    <n v="3"/>
    <x v="1"/>
    <n v="96"/>
    <n v="3"/>
    <x v="1"/>
    <x v="1"/>
    <n v="4"/>
    <x v="0"/>
    <n v="1232"/>
    <n v="19281"/>
    <n v="1"/>
    <s v="Y"/>
    <x v="1"/>
    <n v="14"/>
    <n v="3"/>
    <n v="4"/>
    <n v="80"/>
    <n v="0"/>
    <n v="0"/>
    <n v="6"/>
    <n v="3"/>
    <n v="0"/>
    <n v="0"/>
    <n v="0"/>
    <n v="0"/>
    <x v="4"/>
    <x v="1"/>
    <x v="1"/>
    <n v="0"/>
  </r>
  <r>
    <x v="13"/>
    <x v="0"/>
    <x v="0"/>
    <n v="699"/>
    <x v="1"/>
    <n v="6"/>
    <n v="1"/>
    <s v="Medical"/>
    <n v="1"/>
    <n v="31"/>
    <n v="2"/>
    <x v="1"/>
    <n v="83"/>
    <n v="3"/>
    <x v="1"/>
    <x v="1"/>
    <n v="1"/>
    <x v="0"/>
    <n v="2960"/>
    <n v="17102"/>
    <n v="2"/>
    <s v="Y"/>
    <x v="1"/>
    <n v="11"/>
    <n v="3"/>
    <n v="3"/>
    <n v="80"/>
    <n v="0"/>
    <n v="8"/>
    <n v="2"/>
    <n v="3"/>
    <n v="4"/>
    <n v="2"/>
    <n v="1"/>
    <n v="3"/>
    <x v="2"/>
    <x v="2"/>
    <x v="1"/>
    <n v="1"/>
  </r>
  <r>
    <x v="16"/>
    <x v="1"/>
    <x v="0"/>
    <n v="1282"/>
    <x v="1"/>
    <n v="5"/>
    <n v="3"/>
    <s v="Other"/>
    <n v="1"/>
    <n v="32"/>
    <n v="3"/>
    <x v="0"/>
    <n v="58"/>
    <n v="3"/>
    <x v="4"/>
    <x v="5"/>
    <n v="3"/>
    <x v="2"/>
    <n v="19094"/>
    <n v="10735"/>
    <n v="4"/>
    <s v="Y"/>
    <x v="1"/>
    <n v="11"/>
    <n v="3"/>
    <n v="4"/>
    <n v="80"/>
    <n v="1"/>
    <n v="26"/>
    <n v="3"/>
    <n v="2"/>
    <n v="14"/>
    <n v="13"/>
    <n v="4"/>
    <n v="8"/>
    <x v="1"/>
    <x v="3"/>
    <x v="3"/>
    <n v="0"/>
  </r>
  <r>
    <x v="5"/>
    <x v="0"/>
    <x v="1"/>
    <n v="1125"/>
    <x v="1"/>
    <n v="16"/>
    <n v="1"/>
    <s v="Life Sciences"/>
    <n v="1"/>
    <n v="33"/>
    <n v="2"/>
    <x v="0"/>
    <n v="72"/>
    <n v="1"/>
    <x v="1"/>
    <x v="1"/>
    <n v="1"/>
    <x v="0"/>
    <n v="3919"/>
    <n v="4681"/>
    <n v="1"/>
    <s v="Y"/>
    <x v="0"/>
    <n v="22"/>
    <n v="4"/>
    <n v="2"/>
    <n v="80"/>
    <n v="0"/>
    <n v="10"/>
    <n v="5"/>
    <n v="3"/>
    <n v="10"/>
    <n v="2"/>
    <n v="6"/>
    <n v="7"/>
    <x v="2"/>
    <x v="0"/>
    <x v="2"/>
    <n v="1"/>
  </r>
  <r>
    <x v="19"/>
    <x v="1"/>
    <x v="0"/>
    <n v="691"/>
    <x v="0"/>
    <n v="8"/>
    <n v="4"/>
    <s v="Marketing"/>
    <n v="1"/>
    <n v="35"/>
    <n v="3"/>
    <x v="1"/>
    <n v="48"/>
    <n v="3"/>
    <x v="0"/>
    <x v="0"/>
    <n v="2"/>
    <x v="1"/>
    <n v="6825"/>
    <n v="21173"/>
    <n v="0"/>
    <s v="Y"/>
    <x v="1"/>
    <n v="11"/>
    <n v="3"/>
    <n v="4"/>
    <n v="80"/>
    <n v="1"/>
    <n v="10"/>
    <n v="2"/>
    <n v="3"/>
    <n v="9"/>
    <n v="7"/>
    <n v="4"/>
    <n v="2"/>
    <x v="0"/>
    <x v="0"/>
    <x v="0"/>
    <n v="0"/>
  </r>
  <r>
    <x v="20"/>
    <x v="1"/>
    <x v="0"/>
    <n v="477"/>
    <x v="1"/>
    <n v="7"/>
    <n v="4"/>
    <s v="Medical"/>
    <n v="1"/>
    <n v="36"/>
    <n v="1"/>
    <x v="0"/>
    <n v="42"/>
    <n v="2"/>
    <x v="2"/>
    <x v="4"/>
    <n v="4"/>
    <x v="1"/>
    <n v="10248"/>
    <n v="2094"/>
    <n v="3"/>
    <s v="Y"/>
    <x v="1"/>
    <n v="14"/>
    <n v="3"/>
    <n v="4"/>
    <n v="80"/>
    <n v="1"/>
    <n v="24"/>
    <n v="4"/>
    <n v="3"/>
    <n v="22"/>
    <n v="6"/>
    <n v="5"/>
    <n v="17"/>
    <x v="0"/>
    <x v="3"/>
    <x v="3"/>
    <n v="0"/>
  </r>
  <r>
    <x v="21"/>
    <x v="1"/>
    <x v="0"/>
    <n v="705"/>
    <x v="0"/>
    <n v="2"/>
    <n v="4"/>
    <s v="Marketing"/>
    <n v="1"/>
    <n v="38"/>
    <n v="2"/>
    <x v="0"/>
    <n v="83"/>
    <n v="3"/>
    <x v="4"/>
    <x v="5"/>
    <n v="1"/>
    <x v="0"/>
    <n v="18947"/>
    <n v="22822"/>
    <n v="3"/>
    <s v="Y"/>
    <x v="1"/>
    <n v="12"/>
    <n v="3"/>
    <n v="4"/>
    <n v="80"/>
    <n v="0"/>
    <n v="22"/>
    <n v="2"/>
    <n v="2"/>
    <n v="2"/>
    <n v="2"/>
    <n v="2"/>
    <n v="1"/>
    <x v="1"/>
    <x v="1"/>
    <x v="3"/>
    <n v="0"/>
  </r>
  <r>
    <x v="3"/>
    <x v="1"/>
    <x v="0"/>
    <n v="924"/>
    <x v="1"/>
    <n v="2"/>
    <n v="3"/>
    <s v="Medical"/>
    <n v="1"/>
    <n v="39"/>
    <n v="3"/>
    <x v="1"/>
    <n v="78"/>
    <n v="3"/>
    <x v="1"/>
    <x v="2"/>
    <n v="4"/>
    <x v="0"/>
    <n v="2496"/>
    <n v="6670"/>
    <n v="4"/>
    <s v="Y"/>
    <x v="1"/>
    <n v="11"/>
    <n v="3"/>
    <n v="4"/>
    <n v="80"/>
    <n v="0"/>
    <n v="7"/>
    <n v="3"/>
    <n v="3"/>
    <n v="1"/>
    <n v="1"/>
    <n v="0"/>
    <n v="0"/>
    <x v="2"/>
    <x v="1"/>
    <x v="1"/>
    <n v="0"/>
  </r>
  <r>
    <x v="20"/>
    <x v="1"/>
    <x v="0"/>
    <n v="1459"/>
    <x v="1"/>
    <n v="10"/>
    <n v="4"/>
    <s v="Other"/>
    <n v="1"/>
    <n v="40"/>
    <n v="4"/>
    <x v="1"/>
    <n v="41"/>
    <n v="3"/>
    <x v="0"/>
    <x v="4"/>
    <n v="4"/>
    <x v="1"/>
    <n v="6465"/>
    <n v="19121"/>
    <n v="2"/>
    <s v="Y"/>
    <x v="0"/>
    <n v="13"/>
    <n v="3"/>
    <n v="4"/>
    <n v="80"/>
    <n v="0"/>
    <n v="9"/>
    <n v="5"/>
    <n v="4"/>
    <n v="4"/>
    <n v="2"/>
    <n v="1"/>
    <n v="3"/>
    <x v="0"/>
    <x v="2"/>
    <x v="0"/>
    <n v="0"/>
  </r>
  <r>
    <x v="7"/>
    <x v="1"/>
    <x v="0"/>
    <n v="125"/>
    <x v="1"/>
    <n v="9"/>
    <n v="2"/>
    <s v="Medical"/>
    <n v="1"/>
    <n v="41"/>
    <n v="4"/>
    <x v="1"/>
    <n v="83"/>
    <n v="2"/>
    <x v="1"/>
    <x v="2"/>
    <n v="3"/>
    <x v="0"/>
    <n v="2206"/>
    <n v="16117"/>
    <n v="1"/>
    <s v="Y"/>
    <x v="1"/>
    <n v="13"/>
    <n v="3"/>
    <n v="1"/>
    <n v="80"/>
    <n v="0"/>
    <n v="10"/>
    <n v="5"/>
    <n v="3"/>
    <n v="10"/>
    <n v="0"/>
    <n v="1"/>
    <n v="8"/>
    <x v="2"/>
    <x v="0"/>
    <x v="1"/>
    <n v="0"/>
  </r>
  <r>
    <x v="22"/>
    <x v="0"/>
    <x v="0"/>
    <n v="895"/>
    <x v="0"/>
    <n v="5"/>
    <n v="3"/>
    <s v="Technical Degree"/>
    <n v="1"/>
    <n v="42"/>
    <n v="4"/>
    <x v="1"/>
    <n v="56"/>
    <n v="3"/>
    <x v="0"/>
    <x v="6"/>
    <n v="4"/>
    <x v="1"/>
    <n v="2086"/>
    <n v="3335"/>
    <n v="3"/>
    <s v="Y"/>
    <x v="1"/>
    <n v="14"/>
    <n v="3"/>
    <n v="3"/>
    <n v="80"/>
    <n v="1"/>
    <n v="19"/>
    <n v="6"/>
    <n v="4"/>
    <n v="1"/>
    <n v="0"/>
    <n v="0"/>
    <n v="0"/>
    <x v="0"/>
    <x v="1"/>
    <x v="1"/>
    <n v="1"/>
  </r>
  <r>
    <x v="17"/>
    <x v="0"/>
    <x v="0"/>
    <n v="813"/>
    <x v="1"/>
    <n v="1"/>
    <n v="3"/>
    <s v="Medical"/>
    <n v="1"/>
    <n v="45"/>
    <n v="2"/>
    <x v="1"/>
    <n v="61"/>
    <n v="3"/>
    <x v="1"/>
    <x v="1"/>
    <n v="4"/>
    <x v="1"/>
    <n v="2293"/>
    <n v="3020"/>
    <n v="2"/>
    <s v="Y"/>
    <x v="0"/>
    <n v="16"/>
    <n v="3"/>
    <n v="1"/>
    <n v="80"/>
    <n v="1"/>
    <n v="6"/>
    <n v="2"/>
    <n v="2"/>
    <n v="2"/>
    <n v="0"/>
    <n v="2"/>
    <n v="0"/>
    <x v="4"/>
    <x v="1"/>
    <x v="1"/>
    <n v="1"/>
  </r>
  <r>
    <x v="23"/>
    <x v="1"/>
    <x v="0"/>
    <n v="1273"/>
    <x v="1"/>
    <n v="2"/>
    <n v="2"/>
    <s v="Medical"/>
    <n v="1"/>
    <n v="46"/>
    <n v="4"/>
    <x v="0"/>
    <n v="72"/>
    <n v="4"/>
    <x v="1"/>
    <x v="1"/>
    <n v="3"/>
    <x v="2"/>
    <n v="2645"/>
    <n v="21923"/>
    <n v="1"/>
    <s v="Y"/>
    <x v="1"/>
    <n v="12"/>
    <n v="3"/>
    <n v="4"/>
    <n v="80"/>
    <n v="2"/>
    <n v="6"/>
    <n v="3"/>
    <n v="2"/>
    <n v="5"/>
    <n v="3"/>
    <n v="1"/>
    <n v="4"/>
    <x v="0"/>
    <x v="2"/>
    <x v="1"/>
    <n v="0"/>
  </r>
  <r>
    <x v="24"/>
    <x v="0"/>
    <x v="0"/>
    <n v="869"/>
    <x v="0"/>
    <n v="3"/>
    <n v="2"/>
    <s v="Marketing"/>
    <n v="1"/>
    <n v="47"/>
    <n v="1"/>
    <x v="1"/>
    <n v="86"/>
    <n v="2"/>
    <x v="1"/>
    <x v="6"/>
    <n v="3"/>
    <x v="1"/>
    <n v="2683"/>
    <n v="3810"/>
    <n v="1"/>
    <s v="Y"/>
    <x v="0"/>
    <n v="14"/>
    <n v="3"/>
    <n v="3"/>
    <n v="80"/>
    <n v="0"/>
    <n v="3"/>
    <n v="2"/>
    <n v="3"/>
    <n v="3"/>
    <n v="2"/>
    <n v="0"/>
    <n v="2"/>
    <x v="1"/>
    <x v="2"/>
    <x v="1"/>
    <n v="1"/>
  </r>
  <r>
    <x v="10"/>
    <x v="1"/>
    <x v="0"/>
    <n v="890"/>
    <x v="0"/>
    <n v="2"/>
    <n v="3"/>
    <s v="Marketing"/>
    <n v="1"/>
    <n v="49"/>
    <n v="4"/>
    <x v="0"/>
    <n v="97"/>
    <n v="3"/>
    <x v="1"/>
    <x v="6"/>
    <n v="4"/>
    <x v="1"/>
    <n v="2014"/>
    <n v="9687"/>
    <n v="1"/>
    <s v="Y"/>
    <x v="1"/>
    <n v="13"/>
    <n v="3"/>
    <n v="1"/>
    <n v="80"/>
    <n v="0"/>
    <n v="2"/>
    <n v="3"/>
    <n v="3"/>
    <n v="2"/>
    <n v="2"/>
    <n v="2"/>
    <n v="2"/>
    <x v="0"/>
    <x v="1"/>
    <x v="1"/>
    <n v="0"/>
  </r>
  <r>
    <x v="9"/>
    <x v="1"/>
    <x v="0"/>
    <n v="852"/>
    <x v="1"/>
    <n v="5"/>
    <n v="4"/>
    <s v="Life Sciences"/>
    <n v="1"/>
    <n v="51"/>
    <n v="2"/>
    <x v="0"/>
    <n v="82"/>
    <n v="2"/>
    <x v="1"/>
    <x v="1"/>
    <n v="1"/>
    <x v="1"/>
    <n v="3419"/>
    <n v="13072"/>
    <n v="9"/>
    <s v="Y"/>
    <x v="0"/>
    <n v="14"/>
    <n v="3"/>
    <n v="4"/>
    <n v="80"/>
    <n v="1"/>
    <n v="6"/>
    <n v="3"/>
    <n v="4"/>
    <n v="1"/>
    <n v="1"/>
    <n v="0"/>
    <n v="0"/>
    <x v="0"/>
    <x v="1"/>
    <x v="2"/>
    <n v="0"/>
  </r>
  <r>
    <x v="3"/>
    <x v="1"/>
    <x v="1"/>
    <n v="1141"/>
    <x v="0"/>
    <n v="1"/>
    <n v="3"/>
    <s v="Life Sciences"/>
    <n v="1"/>
    <n v="52"/>
    <n v="3"/>
    <x v="0"/>
    <n v="42"/>
    <n v="4"/>
    <x v="0"/>
    <x v="0"/>
    <n v="1"/>
    <x v="1"/>
    <n v="5376"/>
    <n v="3193"/>
    <n v="2"/>
    <s v="Y"/>
    <x v="1"/>
    <n v="19"/>
    <n v="3"/>
    <n v="1"/>
    <n v="80"/>
    <n v="2"/>
    <n v="10"/>
    <n v="3"/>
    <n v="3"/>
    <n v="5"/>
    <n v="3"/>
    <n v="1"/>
    <n v="3"/>
    <x v="2"/>
    <x v="2"/>
    <x v="0"/>
    <n v="0"/>
  </r>
  <r>
    <x v="10"/>
    <x v="1"/>
    <x v="0"/>
    <n v="464"/>
    <x v="1"/>
    <n v="4"/>
    <n v="2"/>
    <s v="Other"/>
    <n v="1"/>
    <n v="53"/>
    <n v="3"/>
    <x v="1"/>
    <n v="75"/>
    <n v="3"/>
    <x v="1"/>
    <x v="2"/>
    <n v="4"/>
    <x v="2"/>
    <n v="1951"/>
    <n v="10910"/>
    <n v="1"/>
    <s v="Y"/>
    <x v="1"/>
    <n v="12"/>
    <n v="3"/>
    <n v="3"/>
    <n v="80"/>
    <n v="1"/>
    <n v="1"/>
    <n v="3"/>
    <n v="3"/>
    <n v="1"/>
    <n v="0"/>
    <n v="0"/>
    <n v="0"/>
    <x v="0"/>
    <x v="1"/>
    <x v="1"/>
    <n v="0"/>
  </r>
  <r>
    <x v="4"/>
    <x v="1"/>
    <x v="0"/>
    <n v="1240"/>
    <x v="1"/>
    <n v="2"/>
    <n v="4"/>
    <s v="Life Sciences"/>
    <n v="1"/>
    <n v="54"/>
    <n v="4"/>
    <x v="0"/>
    <n v="33"/>
    <n v="3"/>
    <x v="1"/>
    <x v="2"/>
    <n v="1"/>
    <x v="2"/>
    <n v="2341"/>
    <n v="19715"/>
    <n v="1"/>
    <s v="Y"/>
    <x v="1"/>
    <n v="13"/>
    <n v="3"/>
    <n v="4"/>
    <n v="80"/>
    <n v="1"/>
    <n v="1"/>
    <n v="6"/>
    <n v="3"/>
    <n v="1"/>
    <n v="0"/>
    <n v="0"/>
    <n v="0"/>
    <x v="2"/>
    <x v="1"/>
    <x v="1"/>
    <n v="0"/>
  </r>
  <r>
    <x v="25"/>
    <x v="0"/>
    <x v="0"/>
    <n v="1357"/>
    <x v="1"/>
    <n v="25"/>
    <n v="3"/>
    <s v="Life Sciences"/>
    <n v="1"/>
    <n v="55"/>
    <n v="1"/>
    <x v="1"/>
    <n v="48"/>
    <n v="1"/>
    <x v="1"/>
    <x v="2"/>
    <n v="3"/>
    <x v="0"/>
    <n v="2293"/>
    <n v="10558"/>
    <n v="1"/>
    <s v="Y"/>
    <x v="1"/>
    <n v="12"/>
    <n v="3"/>
    <n v="3"/>
    <n v="80"/>
    <n v="0"/>
    <n v="1"/>
    <n v="2"/>
    <n v="2"/>
    <n v="1"/>
    <n v="0"/>
    <n v="0"/>
    <n v="1"/>
    <x v="2"/>
    <x v="1"/>
    <x v="1"/>
    <n v="1"/>
  </r>
  <r>
    <x v="4"/>
    <x v="1"/>
    <x v="1"/>
    <n v="994"/>
    <x v="0"/>
    <n v="8"/>
    <n v="3"/>
    <s v="Life Sciences"/>
    <n v="1"/>
    <n v="56"/>
    <n v="4"/>
    <x v="1"/>
    <n v="37"/>
    <n v="3"/>
    <x v="2"/>
    <x v="0"/>
    <n v="3"/>
    <x v="0"/>
    <n v="8726"/>
    <n v="2975"/>
    <n v="1"/>
    <s v="Y"/>
    <x v="1"/>
    <n v="15"/>
    <n v="3"/>
    <n v="4"/>
    <n v="80"/>
    <n v="0"/>
    <n v="9"/>
    <n v="0"/>
    <n v="3"/>
    <n v="9"/>
    <n v="8"/>
    <n v="1"/>
    <n v="7"/>
    <x v="2"/>
    <x v="0"/>
    <x v="3"/>
    <n v="0"/>
  </r>
  <r>
    <x v="7"/>
    <x v="1"/>
    <x v="1"/>
    <n v="721"/>
    <x v="1"/>
    <n v="1"/>
    <n v="2"/>
    <s v="Medical"/>
    <n v="1"/>
    <n v="57"/>
    <n v="3"/>
    <x v="0"/>
    <n v="58"/>
    <n v="3"/>
    <x v="0"/>
    <x v="2"/>
    <n v="4"/>
    <x v="0"/>
    <n v="4011"/>
    <n v="10781"/>
    <n v="1"/>
    <s v="Y"/>
    <x v="1"/>
    <n v="23"/>
    <n v="4"/>
    <n v="4"/>
    <n v="80"/>
    <n v="0"/>
    <n v="12"/>
    <n v="2"/>
    <n v="3"/>
    <n v="12"/>
    <n v="8"/>
    <n v="3"/>
    <n v="7"/>
    <x v="2"/>
    <x v="3"/>
    <x v="2"/>
    <n v="0"/>
  </r>
  <r>
    <x v="0"/>
    <x v="0"/>
    <x v="0"/>
    <n v="1360"/>
    <x v="1"/>
    <n v="12"/>
    <n v="3"/>
    <s v="Technical Degree"/>
    <n v="1"/>
    <n v="58"/>
    <n v="2"/>
    <x v="0"/>
    <n v="49"/>
    <n v="3"/>
    <x v="4"/>
    <x v="7"/>
    <n v="3"/>
    <x v="1"/>
    <n v="19545"/>
    <n v="16280"/>
    <n v="1"/>
    <s v="Y"/>
    <x v="1"/>
    <n v="12"/>
    <n v="3"/>
    <n v="4"/>
    <n v="80"/>
    <n v="0"/>
    <n v="23"/>
    <n v="0"/>
    <n v="3"/>
    <n v="22"/>
    <n v="15"/>
    <n v="15"/>
    <n v="8"/>
    <x v="0"/>
    <x v="3"/>
    <x v="3"/>
    <n v="1"/>
  </r>
  <r>
    <x v="13"/>
    <x v="1"/>
    <x v="2"/>
    <n v="1065"/>
    <x v="0"/>
    <n v="23"/>
    <n v="4"/>
    <s v="Marketing"/>
    <n v="1"/>
    <n v="60"/>
    <n v="2"/>
    <x v="1"/>
    <n v="72"/>
    <n v="3"/>
    <x v="0"/>
    <x v="0"/>
    <n v="3"/>
    <x v="0"/>
    <n v="4568"/>
    <n v="10034"/>
    <n v="0"/>
    <s v="Y"/>
    <x v="1"/>
    <n v="20"/>
    <n v="4"/>
    <n v="3"/>
    <n v="80"/>
    <n v="0"/>
    <n v="10"/>
    <n v="2"/>
    <n v="3"/>
    <n v="9"/>
    <n v="5"/>
    <n v="8"/>
    <n v="7"/>
    <x v="2"/>
    <x v="0"/>
    <x v="2"/>
    <n v="0"/>
  </r>
  <r>
    <x v="2"/>
    <x v="1"/>
    <x v="0"/>
    <n v="408"/>
    <x v="1"/>
    <n v="19"/>
    <n v="2"/>
    <s v="Life Sciences"/>
    <n v="1"/>
    <n v="61"/>
    <n v="2"/>
    <x v="1"/>
    <n v="73"/>
    <n v="3"/>
    <x v="1"/>
    <x v="1"/>
    <n v="2"/>
    <x v="1"/>
    <n v="3022"/>
    <n v="10227"/>
    <n v="4"/>
    <s v="Y"/>
    <x v="1"/>
    <n v="21"/>
    <n v="4"/>
    <n v="1"/>
    <n v="80"/>
    <n v="0"/>
    <n v="8"/>
    <n v="1"/>
    <n v="3"/>
    <n v="1"/>
    <n v="0"/>
    <n v="0"/>
    <n v="0"/>
    <x v="0"/>
    <x v="1"/>
    <x v="2"/>
    <n v="0"/>
  </r>
  <r>
    <x v="21"/>
    <x v="1"/>
    <x v="1"/>
    <n v="1211"/>
    <x v="0"/>
    <n v="5"/>
    <n v="4"/>
    <s v="Marketing"/>
    <n v="1"/>
    <n v="62"/>
    <n v="1"/>
    <x v="1"/>
    <n v="98"/>
    <n v="3"/>
    <x v="0"/>
    <x v="0"/>
    <n v="4"/>
    <x v="0"/>
    <n v="5772"/>
    <n v="20445"/>
    <n v="4"/>
    <s v="Y"/>
    <x v="0"/>
    <n v="21"/>
    <n v="4"/>
    <n v="3"/>
    <n v="80"/>
    <n v="0"/>
    <n v="14"/>
    <n v="4"/>
    <n v="3"/>
    <n v="9"/>
    <n v="6"/>
    <n v="0"/>
    <n v="8"/>
    <x v="1"/>
    <x v="0"/>
    <x v="0"/>
    <n v="0"/>
  </r>
  <r>
    <x v="10"/>
    <x v="1"/>
    <x v="0"/>
    <n v="1229"/>
    <x v="1"/>
    <n v="8"/>
    <n v="1"/>
    <s v="Life Sciences"/>
    <n v="1"/>
    <n v="63"/>
    <n v="4"/>
    <x v="1"/>
    <n v="36"/>
    <n v="4"/>
    <x v="1"/>
    <x v="2"/>
    <n v="4"/>
    <x v="1"/>
    <n v="2269"/>
    <n v="4892"/>
    <n v="1"/>
    <s v="Y"/>
    <x v="1"/>
    <n v="19"/>
    <n v="3"/>
    <n v="4"/>
    <n v="80"/>
    <n v="0"/>
    <n v="1"/>
    <n v="2"/>
    <n v="3"/>
    <n v="1"/>
    <n v="0"/>
    <n v="0"/>
    <n v="1"/>
    <x v="0"/>
    <x v="1"/>
    <x v="1"/>
    <n v="0"/>
  </r>
  <r>
    <x v="26"/>
    <x v="0"/>
    <x v="0"/>
    <n v="626"/>
    <x v="1"/>
    <n v="1"/>
    <n v="2"/>
    <s v="Life Sciences"/>
    <n v="1"/>
    <n v="64"/>
    <n v="1"/>
    <x v="1"/>
    <n v="98"/>
    <n v="2"/>
    <x v="2"/>
    <x v="2"/>
    <n v="3"/>
    <x v="0"/>
    <n v="5381"/>
    <n v="19294"/>
    <n v="9"/>
    <s v="Y"/>
    <x v="0"/>
    <n v="13"/>
    <n v="3"/>
    <n v="4"/>
    <n v="80"/>
    <n v="0"/>
    <n v="23"/>
    <n v="2"/>
    <n v="3"/>
    <n v="1"/>
    <n v="0"/>
    <n v="0"/>
    <n v="0"/>
    <x v="1"/>
    <x v="1"/>
    <x v="0"/>
    <n v="1"/>
  </r>
  <r>
    <x v="14"/>
    <x v="0"/>
    <x v="0"/>
    <n v="1434"/>
    <x v="1"/>
    <n v="5"/>
    <n v="4"/>
    <s v="Technical Degree"/>
    <n v="1"/>
    <n v="65"/>
    <n v="3"/>
    <x v="1"/>
    <n v="50"/>
    <n v="3"/>
    <x v="1"/>
    <x v="2"/>
    <n v="3"/>
    <x v="0"/>
    <n v="3441"/>
    <n v="11179"/>
    <n v="1"/>
    <s v="Y"/>
    <x v="0"/>
    <n v="13"/>
    <n v="3"/>
    <n v="3"/>
    <n v="80"/>
    <n v="0"/>
    <n v="2"/>
    <n v="3"/>
    <n v="2"/>
    <n v="2"/>
    <n v="2"/>
    <n v="2"/>
    <n v="2"/>
    <x v="2"/>
    <x v="1"/>
    <x v="2"/>
    <n v="1"/>
  </r>
  <r>
    <x v="20"/>
    <x v="1"/>
    <x v="0"/>
    <n v="1488"/>
    <x v="0"/>
    <n v="1"/>
    <n v="5"/>
    <s v="Marketing"/>
    <n v="1"/>
    <n v="68"/>
    <n v="2"/>
    <x v="0"/>
    <n v="75"/>
    <n v="3"/>
    <x v="0"/>
    <x v="0"/>
    <n v="1"/>
    <x v="2"/>
    <n v="5454"/>
    <n v="4009"/>
    <n v="5"/>
    <s v="Y"/>
    <x v="0"/>
    <n v="21"/>
    <n v="4"/>
    <n v="3"/>
    <n v="80"/>
    <n v="1"/>
    <n v="9"/>
    <n v="2"/>
    <n v="2"/>
    <n v="4"/>
    <n v="3"/>
    <n v="1"/>
    <n v="3"/>
    <x v="0"/>
    <x v="2"/>
    <x v="0"/>
    <n v="0"/>
  </r>
  <r>
    <x v="10"/>
    <x v="1"/>
    <x v="2"/>
    <n v="1097"/>
    <x v="1"/>
    <n v="11"/>
    <n v="2"/>
    <s v="Medical"/>
    <n v="1"/>
    <n v="70"/>
    <n v="3"/>
    <x v="1"/>
    <n v="79"/>
    <n v="2"/>
    <x v="2"/>
    <x v="4"/>
    <n v="1"/>
    <x v="1"/>
    <n v="9884"/>
    <n v="8302"/>
    <n v="2"/>
    <s v="Y"/>
    <x v="0"/>
    <n v="13"/>
    <n v="3"/>
    <n v="3"/>
    <n v="80"/>
    <n v="1"/>
    <n v="10"/>
    <n v="3"/>
    <n v="3"/>
    <n v="4"/>
    <n v="0"/>
    <n v="2"/>
    <n v="3"/>
    <x v="0"/>
    <x v="2"/>
    <x v="3"/>
    <n v="0"/>
  </r>
  <r>
    <x v="25"/>
    <x v="1"/>
    <x v="0"/>
    <n v="1443"/>
    <x v="0"/>
    <n v="23"/>
    <n v="3"/>
    <s v="Marketing"/>
    <n v="1"/>
    <n v="72"/>
    <n v="3"/>
    <x v="0"/>
    <n v="47"/>
    <n v="2"/>
    <x v="0"/>
    <x v="0"/>
    <n v="4"/>
    <x v="1"/>
    <n v="4157"/>
    <n v="21436"/>
    <n v="7"/>
    <s v="Y"/>
    <x v="0"/>
    <n v="19"/>
    <n v="3"/>
    <n v="3"/>
    <n v="80"/>
    <n v="1"/>
    <n v="5"/>
    <n v="2"/>
    <n v="2"/>
    <n v="2"/>
    <n v="2"/>
    <n v="0"/>
    <n v="0"/>
    <x v="2"/>
    <x v="1"/>
    <x v="2"/>
    <n v="0"/>
  </r>
  <r>
    <x v="3"/>
    <x v="1"/>
    <x v="1"/>
    <n v="515"/>
    <x v="1"/>
    <n v="1"/>
    <n v="2"/>
    <s v="Life Sciences"/>
    <n v="1"/>
    <n v="73"/>
    <n v="1"/>
    <x v="0"/>
    <n v="98"/>
    <n v="3"/>
    <x v="2"/>
    <x v="7"/>
    <n v="4"/>
    <x v="0"/>
    <n v="13458"/>
    <n v="15146"/>
    <n v="1"/>
    <s v="Y"/>
    <x v="0"/>
    <n v="12"/>
    <n v="3"/>
    <n v="3"/>
    <n v="80"/>
    <n v="0"/>
    <n v="15"/>
    <n v="1"/>
    <n v="3"/>
    <n v="15"/>
    <n v="14"/>
    <n v="8"/>
    <n v="12"/>
    <x v="2"/>
    <x v="3"/>
    <x v="3"/>
    <n v="0"/>
  </r>
  <r>
    <x v="10"/>
    <x v="1"/>
    <x v="1"/>
    <n v="853"/>
    <x v="0"/>
    <n v="18"/>
    <n v="5"/>
    <s v="Life Sciences"/>
    <n v="1"/>
    <n v="74"/>
    <n v="2"/>
    <x v="1"/>
    <n v="71"/>
    <n v="3"/>
    <x v="2"/>
    <x v="0"/>
    <n v="1"/>
    <x v="1"/>
    <n v="9069"/>
    <n v="11031"/>
    <n v="1"/>
    <s v="Y"/>
    <x v="1"/>
    <n v="22"/>
    <n v="4"/>
    <n v="4"/>
    <n v="80"/>
    <n v="1"/>
    <n v="9"/>
    <n v="3"/>
    <n v="2"/>
    <n v="9"/>
    <n v="8"/>
    <n v="1"/>
    <n v="8"/>
    <x v="0"/>
    <x v="0"/>
    <x v="3"/>
    <n v="0"/>
  </r>
  <r>
    <x v="10"/>
    <x v="1"/>
    <x v="0"/>
    <n v="1142"/>
    <x v="1"/>
    <n v="23"/>
    <n v="4"/>
    <s v="Medical"/>
    <n v="1"/>
    <n v="75"/>
    <n v="3"/>
    <x v="0"/>
    <n v="30"/>
    <n v="3"/>
    <x v="1"/>
    <x v="2"/>
    <n v="1"/>
    <x v="1"/>
    <n v="4014"/>
    <n v="16002"/>
    <n v="3"/>
    <s v="Y"/>
    <x v="0"/>
    <n v="15"/>
    <n v="3"/>
    <n v="3"/>
    <n v="80"/>
    <n v="1"/>
    <n v="4"/>
    <n v="3"/>
    <n v="3"/>
    <n v="2"/>
    <n v="2"/>
    <n v="2"/>
    <n v="2"/>
    <x v="0"/>
    <x v="1"/>
    <x v="2"/>
    <n v="0"/>
  </r>
  <r>
    <x v="12"/>
    <x v="1"/>
    <x v="0"/>
    <n v="655"/>
    <x v="1"/>
    <n v="7"/>
    <n v="4"/>
    <s v="Life Sciences"/>
    <n v="1"/>
    <n v="76"/>
    <n v="4"/>
    <x v="1"/>
    <n v="48"/>
    <n v="3"/>
    <x v="0"/>
    <x v="2"/>
    <n v="4"/>
    <x v="2"/>
    <n v="5915"/>
    <n v="9528"/>
    <n v="3"/>
    <s v="Y"/>
    <x v="1"/>
    <n v="22"/>
    <n v="4"/>
    <n v="4"/>
    <n v="80"/>
    <n v="1"/>
    <n v="10"/>
    <n v="3"/>
    <n v="2"/>
    <n v="7"/>
    <n v="7"/>
    <n v="1"/>
    <n v="7"/>
    <x v="2"/>
    <x v="0"/>
    <x v="0"/>
    <n v="0"/>
  </r>
  <r>
    <x v="2"/>
    <x v="1"/>
    <x v="0"/>
    <n v="1115"/>
    <x v="1"/>
    <n v="1"/>
    <n v="4"/>
    <s v="Life Sciences"/>
    <n v="1"/>
    <n v="77"/>
    <n v="1"/>
    <x v="1"/>
    <n v="51"/>
    <n v="2"/>
    <x v="0"/>
    <x v="3"/>
    <n v="3"/>
    <x v="2"/>
    <n v="5993"/>
    <n v="2689"/>
    <n v="1"/>
    <s v="Y"/>
    <x v="1"/>
    <n v="18"/>
    <n v="3"/>
    <n v="3"/>
    <n v="80"/>
    <n v="1"/>
    <n v="7"/>
    <n v="2"/>
    <n v="4"/>
    <n v="7"/>
    <n v="5"/>
    <n v="0"/>
    <n v="7"/>
    <x v="0"/>
    <x v="0"/>
    <x v="0"/>
    <n v="0"/>
  </r>
  <r>
    <x v="5"/>
    <x v="1"/>
    <x v="0"/>
    <n v="427"/>
    <x v="1"/>
    <n v="1"/>
    <n v="3"/>
    <s v="Medical"/>
    <n v="1"/>
    <n v="78"/>
    <n v="1"/>
    <x v="1"/>
    <n v="33"/>
    <n v="3"/>
    <x v="0"/>
    <x v="3"/>
    <n v="4"/>
    <x v="1"/>
    <n v="6162"/>
    <n v="10877"/>
    <n v="1"/>
    <s v="Y"/>
    <x v="0"/>
    <n v="22"/>
    <n v="4"/>
    <n v="2"/>
    <n v="80"/>
    <n v="1"/>
    <n v="9"/>
    <n v="3"/>
    <n v="3"/>
    <n v="9"/>
    <n v="8"/>
    <n v="7"/>
    <n v="8"/>
    <x v="2"/>
    <x v="0"/>
    <x v="0"/>
    <n v="0"/>
  </r>
  <r>
    <x v="8"/>
    <x v="1"/>
    <x v="1"/>
    <n v="653"/>
    <x v="1"/>
    <n v="29"/>
    <n v="5"/>
    <s v="Life Sciences"/>
    <n v="1"/>
    <n v="79"/>
    <n v="4"/>
    <x v="0"/>
    <n v="50"/>
    <n v="3"/>
    <x v="0"/>
    <x v="2"/>
    <n v="4"/>
    <x v="0"/>
    <n v="2406"/>
    <n v="5456"/>
    <n v="1"/>
    <s v="Y"/>
    <x v="1"/>
    <n v="11"/>
    <n v="3"/>
    <n v="4"/>
    <n v="80"/>
    <n v="0"/>
    <n v="10"/>
    <n v="2"/>
    <n v="3"/>
    <n v="10"/>
    <n v="3"/>
    <n v="9"/>
    <n v="9"/>
    <x v="0"/>
    <x v="0"/>
    <x v="1"/>
    <n v="0"/>
  </r>
  <r>
    <x v="24"/>
    <x v="1"/>
    <x v="0"/>
    <n v="989"/>
    <x v="1"/>
    <n v="7"/>
    <n v="2"/>
    <s v="Medical"/>
    <n v="1"/>
    <n v="80"/>
    <n v="2"/>
    <x v="0"/>
    <n v="43"/>
    <n v="2"/>
    <x v="4"/>
    <x v="7"/>
    <n v="3"/>
    <x v="2"/>
    <n v="18740"/>
    <n v="16701"/>
    <n v="5"/>
    <s v="Y"/>
    <x v="0"/>
    <n v="12"/>
    <n v="3"/>
    <n v="4"/>
    <n v="80"/>
    <n v="1"/>
    <n v="29"/>
    <n v="2"/>
    <n v="2"/>
    <n v="27"/>
    <n v="3"/>
    <n v="13"/>
    <n v="8"/>
    <x v="1"/>
    <x v="3"/>
    <x v="3"/>
    <n v="0"/>
  </r>
  <r>
    <x v="6"/>
    <x v="1"/>
    <x v="0"/>
    <n v="1435"/>
    <x v="0"/>
    <n v="25"/>
    <n v="3"/>
    <s v="Life Sciences"/>
    <n v="1"/>
    <n v="81"/>
    <n v="1"/>
    <x v="0"/>
    <n v="99"/>
    <n v="3"/>
    <x v="2"/>
    <x v="0"/>
    <n v="1"/>
    <x v="0"/>
    <n v="7637"/>
    <n v="2354"/>
    <n v="7"/>
    <s v="Y"/>
    <x v="1"/>
    <n v="11"/>
    <n v="3"/>
    <n v="4"/>
    <n v="80"/>
    <n v="0"/>
    <n v="28"/>
    <n v="3"/>
    <n v="2"/>
    <n v="21"/>
    <n v="16"/>
    <n v="7"/>
    <n v="9"/>
    <x v="3"/>
    <x v="3"/>
    <x v="0"/>
    <n v="0"/>
  </r>
  <r>
    <x v="9"/>
    <x v="1"/>
    <x v="0"/>
    <n v="1223"/>
    <x v="1"/>
    <n v="8"/>
    <n v="3"/>
    <s v="Technical Degree"/>
    <n v="1"/>
    <n v="83"/>
    <n v="3"/>
    <x v="0"/>
    <n v="59"/>
    <n v="3"/>
    <x v="2"/>
    <x v="4"/>
    <n v="3"/>
    <x v="2"/>
    <n v="10096"/>
    <n v="8202"/>
    <n v="1"/>
    <s v="Y"/>
    <x v="1"/>
    <n v="13"/>
    <n v="3"/>
    <n v="2"/>
    <n v="80"/>
    <n v="3"/>
    <n v="17"/>
    <n v="2"/>
    <n v="3"/>
    <n v="17"/>
    <n v="14"/>
    <n v="12"/>
    <n v="8"/>
    <x v="0"/>
    <x v="3"/>
    <x v="3"/>
    <n v="0"/>
  </r>
  <r>
    <x v="27"/>
    <x v="1"/>
    <x v="0"/>
    <n v="836"/>
    <x v="1"/>
    <n v="8"/>
    <n v="3"/>
    <s v="Medical"/>
    <n v="1"/>
    <n v="84"/>
    <n v="4"/>
    <x v="0"/>
    <n v="33"/>
    <n v="3"/>
    <x v="3"/>
    <x v="5"/>
    <n v="3"/>
    <x v="2"/>
    <n v="14756"/>
    <n v="19730"/>
    <n v="2"/>
    <s v="Y"/>
    <x v="0"/>
    <n v="14"/>
    <n v="3"/>
    <n v="3"/>
    <n v="80"/>
    <n v="3"/>
    <n v="21"/>
    <n v="2"/>
    <n v="3"/>
    <n v="5"/>
    <n v="0"/>
    <n v="0"/>
    <n v="2"/>
    <x v="3"/>
    <x v="2"/>
    <x v="3"/>
    <n v="0"/>
  </r>
  <r>
    <x v="9"/>
    <x v="1"/>
    <x v="1"/>
    <n v="1195"/>
    <x v="1"/>
    <n v="11"/>
    <n v="3"/>
    <s v="Life Sciences"/>
    <n v="1"/>
    <n v="85"/>
    <n v="2"/>
    <x v="1"/>
    <n v="95"/>
    <n v="2"/>
    <x v="0"/>
    <x v="3"/>
    <n v="2"/>
    <x v="0"/>
    <n v="6499"/>
    <n v="22656"/>
    <n v="1"/>
    <s v="Y"/>
    <x v="1"/>
    <n v="13"/>
    <n v="3"/>
    <n v="3"/>
    <n v="80"/>
    <n v="0"/>
    <n v="6"/>
    <n v="3"/>
    <n v="3"/>
    <n v="6"/>
    <n v="5"/>
    <n v="0"/>
    <n v="3"/>
    <x v="0"/>
    <x v="0"/>
    <x v="0"/>
    <n v="0"/>
  </r>
  <r>
    <x v="28"/>
    <x v="1"/>
    <x v="0"/>
    <n v="1339"/>
    <x v="1"/>
    <n v="7"/>
    <n v="3"/>
    <s v="Life Sciences"/>
    <n v="1"/>
    <n v="86"/>
    <n v="2"/>
    <x v="1"/>
    <n v="59"/>
    <n v="3"/>
    <x v="2"/>
    <x v="1"/>
    <n v="1"/>
    <x v="2"/>
    <n v="9724"/>
    <n v="18787"/>
    <n v="2"/>
    <s v="Y"/>
    <x v="1"/>
    <n v="17"/>
    <n v="3"/>
    <n v="3"/>
    <n v="80"/>
    <n v="1"/>
    <n v="25"/>
    <n v="2"/>
    <n v="3"/>
    <n v="1"/>
    <n v="0"/>
    <n v="0"/>
    <n v="0"/>
    <x v="1"/>
    <x v="1"/>
    <x v="3"/>
    <n v="0"/>
  </r>
  <r>
    <x v="10"/>
    <x v="1"/>
    <x v="1"/>
    <n v="664"/>
    <x v="1"/>
    <n v="1"/>
    <n v="3"/>
    <s v="Medical"/>
    <n v="1"/>
    <n v="88"/>
    <n v="2"/>
    <x v="1"/>
    <n v="79"/>
    <n v="3"/>
    <x v="1"/>
    <x v="1"/>
    <n v="1"/>
    <x v="1"/>
    <n v="2194"/>
    <n v="5868"/>
    <n v="4"/>
    <s v="Y"/>
    <x v="1"/>
    <n v="13"/>
    <n v="3"/>
    <n v="4"/>
    <n v="80"/>
    <n v="1"/>
    <n v="5"/>
    <n v="2"/>
    <n v="2"/>
    <n v="3"/>
    <n v="2"/>
    <n v="1"/>
    <n v="2"/>
    <x v="0"/>
    <x v="2"/>
    <x v="1"/>
    <n v="0"/>
  </r>
  <r>
    <x v="9"/>
    <x v="0"/>
    <x v="0"/>
    <n v="318"/>
    <x v="1"/>
    <n v="9"/>
    <n v="3"/>
    <s v="Medical"/>
    <n v="1"/>
    <n v="90"/>
    <n v="4"/>
    <x v="1"/>
    <n v="79"/>
    <n v="2"/>
    <x v="1"/>
    <x v="1"/>
    <n v="3"/>
    <x v="1"/>
    <n v="3388"/>
    <n v="21777"/>
    <n v="0"/>
    <s v="Y"/>
    <x v="0"/>
    <n v="17"/>
    <n v="3"/>
    <n v="1"/>
    <n v="80"/>
    <n v="1"/>
    <n v="2"/>
    <n v="0"/>
    <n v="2"/>
    <n v="1"/>
    <n v="0"/>
    <n v="0"/>
    <n v="0"/>
    <x v="0"/>
    <x v="1"/>
    <x v="2"/>
    <n v="1"/>
  </r>
  <r>
    <x v="6"/>
    <x v="1"/>
    <x v="1"/>
    <n v="1225"/>
    <x v="0"/>
    <n v="1"/>
    <n v="1"/>
    <s v="Life Sciences"/>
    <n v="1"/>
    <n v="91"/>
    <n v="1"/>
    <x v="0"/>
    <n v="57"/>
    <n v="2"/>
    <x v="0"/>
    <x v="0"/>
    <n v="3"/>
    <x v="0"/>
    <n v="5473"/>
    <n v="24668"/>
    <n v="7"/>
    <s v="Y"/>
    <x v="1"/>
    <n v="11"/>
    <n v="3"/>
    <n v="4"/>
    <n v="80"/>
    <n v="0"/>
    <n v="20"/>
    <n v="2"/>
    <n v="2"/>
    <n v="4"/>
    <n v="3"/>
    <n v="1"/>
    <n v="3"/>
    <x v="3"/>
    <x v="2"/>
    <x v="0"/>
    <n v="0"/>
  </r>
  <r>
    <x v="11"/>
    <x v="1"/>
    <x v="0"/>
    <n v="1328"/>
    <x v="1"/>
    <n v="2"/>
    <n v="3"/>
    <s v="Life Sciences"/>
    <n v="1"/>
    <n v="94"/>
    <n v="3"/>
    <x v="1"/>
    <n v="76"/>
    <n v="3"/>
    <x v="1"/>
    <x v="1"/>
    <n v="2"/>
    <x v="1"/>
    <n v="2703"/>
    <n v="4956"/>
    <n v="0"/>
    <s v="Y"/>
    <x v="1"/>
    <n v="23"/>
    <n v="4"/>
    <n v="4"/>
    <n v="80"/>
    <n v="1"/>
    <n v="6"/>
    <n v="3"/>
    <n v="3"/>
    <n v="5"/>
    <n v="4"/>
    <n v="0"/>
    <n v="4"/>
    <x v="2"/>
    <x v="2"/>
    <x v="1"/>
    <n v="0"/>
  </r>
  <r>
    <x v="12"/>
    <x v="1"/>
    <x v="0"/>
    <n v="1082"/>
    <x v="1"/>
    <n v="1"/>
    <n v="4"/>
    <s v="Medical"/>
    <n v="1"/>
    <n v="95"/>
    <n v="3"/>
    <x v="1"/>
    <n v="87"/>
    <n v="3"/>
    <x v="1"/>
    <x v="1"/>
    <n v="2"/>
    <x v="0"/>
    <n v="2501"/>
    <n v="18775"/>
    <n v="1"/>
    <s v="Y"/>
    <x v="1"/>
    <n v="17"/>
    <n v="3"/>
    <n v="2"/>
    <n v="80"/>
    <n v="0"/>
    <n v="1"/>
    <n v="4"/>
    <n v="3"/>
    <n v="1"/>
    <n v="1"/>
    <n v="1"/>
    <n v="0"/>
    <x v="2"/>
    <x v="1"/>
    <x v="1"/>
    <n v="0"/>
  </r>
  <r>
    <x v="5"/>
    <x v="1"/>
    <x v="0"/>
    <n v="548"/>
    <x v="1"/>
    <n v="1"/>
    <n v="3"/>
    <s v="Life Sciences"/>
    <n v="1"/>
    <n v="96"/>
    <n v="2"/>
    <x v="1"/>
    <n v="66"/>
    <n v="3"/>
    <x v="0"/>
    <x v="1"/>
    <n v="2"/>
    <x v="1"/>
    <n v="6220"/>
    <n v="7346"/>
    <n v="1"/>
    <s v="Y"/>
    <x v="1"/>
    <n v="17"/>
    <n v="3"/>
    <n v="2"/>
    <n v="80"/>
    <n v="2"/>
    <n v="10"/>
    <n v="3"/>
    <n v="3"/>
    <n v="10"/>
    <n v="4"/>
    <n v="0"/>
    <n v="9"/>
    <x v="2"/>
    <x v="0"/>
    <x v="0"/>
    <n v="0"/>
  </r>
  <r>
    <x v="9"/>
    <x v="1"/>
    <x v="0"/>
    <n v="132"/>
    <x v="1"/>
    <n v="6"/>
    <n v="3"/>
    <s v="Life Sciences"/>
    <n v="1"/>
    <n v="97"/>
    <n v="2"/>
    <x v="0"/>
    <n v="55"/>
    <n v="4"/>
    <x v="1"/>
    <x v="2"/>
    <n v="4"/>
    <x v="1"/>
    <n v="3038"/>
    <n v="22002"/>
    <n v="3"/>
    <s v="Y"/>
    <x v="1"/>
    <n v="12"/>
    <n v="3"/>
    <n v="2"/>
    <n v="80"/>
    <n v="0"/>
    <n v="5"/>
    <n v="3"/>
    <n v="3"/>
    <n v="1"/>
    <n v="0"/>
    <n v="0"/>
    <n v="0"/>
    <x v="0"/>
    <x v="1"/>
    <x v="2"/>
    <n v="0"/>
  </r>
  <r>
    <x v="12"/>
    <x v="1"/>
    <x v="0"/>
    <n v="746"/>
    <x v="1"/>
    <n v="8"/>
    <n v="4"/>
    <s v="Life Sciences"/>
    <n v="1"/>
    <n v="98"/>
    <n v="3"/>
    <x v="0"/>
    <n v="61"/>
    <n v="3"/>
    <x v="0"/>
    <x v="3"/>
    <n v="4"/>
    <x v="0"/>
    <n v="4424"/>
    <n v="20682"/>
    <n v="1"/>
    <s v="Y"/>
    <x v="1"/>
    <n v="23"/>
    <n v="4"/>
    <n v="4"/>
    <n v="80"/>
    <n v="0"/>
    <n v="11"/>
    <n v="2"/>
    <n v="3"/>
    <n v="11"/>
    <n v="7"/>
    <n v="1"/>
    <n v="8"/>
    <x v="2"/>
    <x v="3"/>
    <x v="2"/>
    <n v="0"/>
  </r>
  <r>
    <x v="10"/>
    <x v="1"/>
    <x v="0"/>
    <n v="776"/>
    <x v="0"/>
    <n v="1"/>
    <n v="4"/>
    <s v="Marketing"/>
    <n v="1"/>
    <n v="100"/>
    <n v="3"/>
    <x v="1"/>
    <n v="32"/>
    <n v="2"/>
    <x v="0"/>
    <x v="0"/>
    <n v="1"/>
    <x v="0"/>
    <n v="4312"/>
    <n v="23016"/>
    <n v="0"/>
    <s v="Y"/>
    <x v="1"/>
    <n v="14"/>
    <n v="3"/>
    <n v="2"/>
    <n v="80"/>
    <n v="0"/>
    <n v="16"/>
    <n v="2"/>
    <n v="3"/>
    <n v="15"/>
    <n v="13"/>
    <n v="2"/>
    <n v="8"/>
    <x v="0"/>
    <x v="3"/>
    <x v="2"/>
    <n v="0"/>
  </r>
  <r>
    <x v="28"/>
    <x v="1"/>
    <x v="0"/>
    <n v="193"/>
    <x v="1"/>
    <n v="6"/>
    <n v="4"/>
    <s v="Other"/>
    <n v="1"/>
    <n v="101"/>
    <n v="4"/>
    <x v="1"/>
    <n v="52"/>
    <n v="3"/>
    <x v="2"/>
    <x v="7"/>
    <n v="1"/>
    <x v="1"/>
    <n v="13245"/>
    <n v="15067"/>
    <n v="4"/>
    <s v="Y"/>
    <x v="0"/>
    <n v="14"/>
    <n v="3"/>
    <n v="2"/>
    <n v="80"/>
    <n v="0"/>
    <n v="17"/>
    <n v="3"/>
    <n v="4"/>
    <n v="0"/>
    <n v="0"/>
    <n v="0"/>
    <n v="0"/>
    <x v="1"/>
    <x v="1"/>
    <x v="3"/>
    <n v="0"/>
  </r>
  <r>
    <x v="2"/>
    <x v="1"/>
    <x v="0"/>
    <n v="397"/>
    <x v="1"/>
    <n v="7"/>
    <n v="4"/>
    <s v="Medical"/>
    <n v="1"/>
    <n v="102"/>
    <n v="1"/>
    <x v="1"/>
    <n v="30"/>
    <n v="3"/>
    <x v="2"/>
    <x v="7"/>
    <n v="3"/>
    <x v="0"/>
    <n v="13664"/>
    <n v="25258"/>
    <n v="4"/>
    <s v="Y"/>
    <x v="1"/>
    <n v="13"/>
    <n v="3"/>
    <n v="1"/>
    <n v="80"/>
    <n v="0"/>
    <n v="16"/>
    <n v="3"/>
    <n v="4"/>
    <n v="5"/>
    <n v="2"/>
    <n v="0"/>
    <n v="2"/>
    <x v="0"/>
    <x v="2"/>
    <x v="3"/>
    <n v="0"/>
  </r>
  <r>
    <x v="21"/>
    <x v="1"/>
    <x v="0"/>
    <n v="945"/>
    <x v="2"/>
    <n v="5"/>
    <n v="2"/>
    <s v="Medical"/>
    <n v="1"/>
    <n v="103"/>
    <n v="2"/>
    <x v="1"/>
    <n v="80"/>
    <n v="3"/>
    <x v="0"/>
    <x v="8"/>
    <n v="2"/>
    <x v="2"/>
    <n v="5021"/>
    <n v="10425"/>
    <n v="8"/>
    <s v="Y"/>
    <x v="0"/>
    <n v="22"/>
    <n v="4"/>
    <n v="4"/>
    <n v="80"/>
    <n v="1"/>
    <n v="16"/>
    <n v="2"/>
    <n v="3"/>
    <n v="4"/>
    <n v="2"/>
    <n v="0"/>
    <n v="2"/>
    <x v="1"/>
    <x v="2"/>
    <x v="0"/>
    <n v="0"/>
  </r>
  <r>
    <x v="7"/>
    <x v="1"/>
    <x v="0"/>
    <n v="852"/>
    <x v="1"/>
    <n v="1"/>
    <n v="1"/>
    <s v="Life Sciences"/>
    <n v="1"/>
    <n v="104"/>
    <n v="4"/>
    <x v="1"/>
    <n v="55"/>
    <n v="2"/>
    <x v="0"/>
    <x v="2"/>
    <n v="4"/>
    <x v="1"/>
    <n v="5126"/>
    <n v="15998"/>
    <n v="1"/>
    <s v="Y"/>
    <x v="0"/>
    <n v="12"/>
    <n v="3"/>
    <n v="3"/>
    <n v="80"/>
    <n v="2"/>
    <n v="10"/>
    <n v="1"/>
    <n v="2"/>
    <n v="10"/>
    <n v="8"/>
    <n v="3"/>
    <n v="0"/>
    <x v="2"/>
    <x v="0"/>
    <x v="0"/>
    <n v="0"/>
  </r>
  <r>
    <x v="10"/>
    <x v="1"/>
    <x v="0"/>
    <n v="1214"/>
    <x v="1"/>
    <n v="1"/>
    <n v="3"/>
    <s v="Medical"/>
    <n v="1"/>
    <n v="105"/>
    <n v="2"/>
    <x v="1"/>
    <n v="30"/>
    <n v="2"/>
    <x v="1"/>
    <x v="1"/>
    <n v="3"/>
    <x v="0"/>
    <n v="2859"/>
    <n v="26278"/>
    <n v="1"/>
    <s v="Y"/>
    <x v="1"/>
    <n v="18"/>
    <n v="3"/>
    <n v="1"/>
    <n v="80"/>
    <n v="0"/>
    <n v="6"/>
    <n v="3"/>
    <n v="3"/>
    <n v="6"/>
    <n v="4"/>
    <n v="0"/>
    <n v="4"/>
    <x v="0"/>
    <x v="0"/>
    <x v="1"/>
    <n v="0"/>
  </r>
  <r>
    <x v="27"/>
    <x v="1"/>
    <x v="0"/>
    <n v="111"/>
    <x v="0"/>
    <n v="1"/>
    <n v="2"/>
    <s v="Life Sciences"/>
    <n v="1"/>
    <n v="106"/>
    <n v="1"/>
    <x v="1"/>
    <n v="70"/>
    <n v="3"/>
    <x v="2"/>
    <x v="0"/>
    <n v="4"/>
    <x v="1"/>
    <n v="10239"/>
    <n v="18092"/>
    <n v="3"/>
    <s v="Y"/>
    <x v="1"/>
    <n v="14"/>
    <n v="3"/>
    <n v="4"/>
    <n v="80"/>
    <n v="1"/>
    <n v="24"/>
    <n v="4"/>
    <n v="3"/>
    <n v="1"/>
    <n v="0"/>
    <n v="1"/>
    <n v="0"/>
    <x v="3"/>
    <x v="1"/>
    <x v="3"/>
    <n v="0"/>
  </r>
  <r>
    <x v="8"/>
    <x v="1"/>
    <x v="2"/>
    <n v="573"/>
    <x v="1"/>
    <n v="6"/>
    <n v="3"/>
    <s v="Medical"/>
    <n v="1"/>
    <n v="107"/>
    <n v="2"/>
    <x v="0"/>
    <n v="79"/>
    <n v="1"/>
    <x v="0"/>
    <x v="1"/>
    <n v="4"/>
    <x v="2"/>
    <n v="5329"/>
    <n v="15717"/>
    <n v="7"/>
    <s v="Y"/>
    <x v="0"/>
    <n v="12"/>
    <n v="3"/>
    <n v="4"/>
    <n v="80"/>
    <n v="3"/>
    <n v="17"/>
    <n v="3"/>
    <n v="3"/>
    <n v="13"/>
    <n v="11"/>
    <n v="1"/>
    <n v="9"/>
    <x v="0"/>
    <x v="3"/>
    <x v="0"/>
    <n v="0"/>
  </r>
  <r>
    <x v="13"/>
    <x v="1"/>
    <x v="0"/>
    <n v="1153"/>
    <x v="1"/>
    <n v="1"/>
    <n v="2"/>
    <s v="Medical"/>
    <n v="1"/>
    <n v="110"/>
    <n v="1"/>
    <x v="1"/>
    <n v="94"/>
    <n v="3"/>
    <x v="0"/>
    <x v="3"/>
    <n v="2"/>
    <x v="1"/>
    <n v="4325"/>
    <n v="17736"/>
    <n v="1"/>
    <s v="Y"/>
    <x v="1"/>
    <n v="15"/>
    <n v="3"/>
    <n v="3"/>
    <n v="80"/>
    <n v="0"/>
    <n v="5"/>
    <n v="2"/>
    <n v="3"/>
    <n v="5"/>
    <n v="2"/>
    <n v="1"/>
    <n v="3"/>
    <x v="2"/>
    <x v="2"/>
    <x v="2"/>
    <n v="0"/>
  </r>
  <r>
    <x v="29"/>
    <x v="1"/>
    <x v="0"/>
    <n v="1400"/>
    <x v="1"/>
    <n v="7"/>
    <n v="3"/>
    <s v="Life Sciences"/>
    <n v="1"/>
    <n v="112"/>
    <n v="4"/>
    <x v="1"/>
    <n v="49"/>
    <n v="1"/>
    <x v="2"/>
    <x v="3"/>
    <n v="4"/>
    <x v="0"/>
    <n v="7260"/>
    <n v="21698"/>
    <n v="4"/>
    <s v="Y"/>
    <x v="1"/>
    <n v="11"/>
    <n v="3"/>
    <n v="1"/>
    <n v="80"/>
    <n v="0"/>
    <n v="37"/>
    <n v="3"/>
    <n v="2"/>
    <n v="6"/>
    <n v="4"/>
    <n v="0"/>
    <n v="2"/>
    <x v="3"/>
    <x v="0"/>
    <x v="0"/>
    <n v="0"/>
  </r>
  <r>
    <x v="30"/>
    <x v="1"/>
    <x v="0"/>
    <n v="541"/>
    <x v="0"/>
    <n v="2"/>
    <n v="1"/>
    <s v="Technical Degree"/>
    <n v="1"/>
    <n v="113"/>
    <n v="3"/>
    <x v="1"/>
    <n v="62"/>
    <n v="3"/>
    <x v="1"/>
    <x v="6"/>
    <n v="1"/>
    <x v="2"/>
    <n v="2322"/>
    <n v="9518"/>
    <n v="3"/>
    <s v="Y"/>
    <x v="1"/>
    <n v="13"/>
    <n v="3"/>
    <n v="3"/>
    <n v="80"/>
    <n v="1"/>
    <n v="3"/>
    <n v="3"/>
    <n v="3"/>
    <n v="0"/>
    <n v="0"/>
    <n v="0"/>
    <n v="0"/>
    <x v="4"/>
    <x v="1"/>
    <x v="1"/>
    <n v="0"/>
  </r>
  <r>
    <x v="31"/>
    <x v="1"/>
    <x v="0"/>
    <n v="432"/>
    <x v="1"/>
    <n v="9"/>
    <n v="4"/>
    <s v="Life Sciences"/>
    <n v="1"/>
    <n v="116"/>
    <n v="4"/>
    <x v="1"/>
    <n v="96"/>
    <n v="3"/>
    <x v="1"/>
    <x v="2"/>
    <n v="4"/>
    <x v="1"/>
    <n v="2075"/>
    <n v="18725"/>
    <n v="3"/>
    <s v="Y"/>
    <x v="1"/>
    <n v="23"/>
    <n v="4"/>
    <n v="2"/>
    <n v="80"/>
    <n v="2"/>
    <n v="10"/>
    <n v="4"/>
    <n v="3"/>
    <n v="4"/>
    <n v="2"/>
    <n v="0"/>
    <n v="3"/>
    <x v="1"/>
    <x v="2"/>
    <x v="1"/>
    <n v="0"/>
  </r>
  <r>
    <x v="7"/>
    <x v="1"/>
    <x v="0"/>
    <n v="288"/>
    <x v="1"/>
    <n v="2"/>
    <n v="3"/>
    <s v="Life Sciences"/>
    <n v="1"/>
    <n v="117"/>
    <n v="3"/>
    <x v="1"/>
    <n v="99"/>
    <n v="2"/>
    <x v="0"/>
    <x v="4"/>
    <n v="4"/>
    <x v="1"/>
    <n v="4152"/>
    <n v="15830"/>
    <n v="1"/>
    <s v="Y"/>
    <x v="1"/>
    <n v="19"/>
    <n v="3"/>
    <n v="1"/>
    <n v="80"/>
    <n v="3"/>
    <n v="11"/>
    <n v="3"/>
    <n v="3"/>
    <n v="11"/>
    <n v="10"/>
    <n v="10"/>
    <n v="8"/>
    <x v="2"/>
    <x v="3"/>
    <x v="2"/>
    <n v="0"/>
  </r>
  <r>
    <x v="21"/>
    <x v="0"/>
    <x v="0"/>
    <n v="669"/>
    <x v="0"/>
    <n v="9"/>
    <n v="2"/>
    <s v="Medical"/>
    <n v="1"/>
    <n v="118"/>
    <n v="3"/>
    <x v="1"/>
    <n v="64"/>
    <n v="2"/>
    <x v="2"/>
    <x v="0"/>
    <n v="4"/>
    <x v="0"/>
    <n v="9619"/>
    <n v="13596"/>
    <n v="1"/>
    <s v="Y"/>
    <x v="1"/>
    <n v="16"/>
    <n v="3"/>
    <n v="4"/>
    <n v="80"/>
    <n v="0"/>
    <n v="9"/>
    <n v="3"/>
    <n v="3"/>
    <n v="9"/>
    <n v="8"/>
    <n v="4"/>
    <n v="7"/>
    <x v="1"/>
    <x v="0"/>
    <x v="3"/>
    <n v="1"/>
  </r>
  <r>
    <x v="32"/>
    <x v="1"/>
    <x v="1"/>
    <n v="530"/>
    <x v="1"/>
    <n v="1"/>
    <n v="4"/>
    <s v="Life Sciences"/>
    <n v="1"/>
    <n v="119"/>
    <n v="3"/>
    <x v="1"/>
    <n v="78"/>
    <n v="2"/>
    <x v="3"/>
    <x v="4"/>
    <n v="2"/>
    <x v="1"/>
    <n v="13503"/>
    <n v="14115"/>
    <n v="1"/>
    <s v="Y"/>
    <x v="1"/>
    <n v="22"/>
    <n v="4"/>
    <n v="4"/>
    <n v="80"/>
    <n v="1"/>
    <n v="22"/>
    <n v="3"/>
    <n v="2"/>
    <n v="22"/>
    <n v="3"/>
    <n v="11"/>
    <n v="11"/>
    <x v="0"/>
    <x v="3"/>
    <x v="3"/>
    <n v="0"/>
  </r>
  <r>
    <x v="31"/>
    <x v="1"/>
    <x v="0"/>
    <n v="632"/>
    <x v="0"/>
    <n v="21"/>
    <n v="4"/>
    <s v="Marketing"/>
    <n v="1"/>
    <n v="120"/>
    <n v="3"/>
    <x v="1"/>
    <n v="71"/>
    <n v="3"/>
    <x v="0"/>
    <x v="0"/>
    <n v="4"/>
    <x v="0"/>
    <n v="5441"/>
    <n v="8423"/>
    <n v="0"/>
    <s v="Y"/>
    <x v="0"/>
    <n v="22"/>
    <n v="4"/>
    <n v="4"/>
    <n v="80"/>
    <n v="0"/>
    <n v="11"/>
    <n v="2"/>
    <n v="1"/>
    <n v="10"/>
    <n v="7"/>
    <n v="1"/>
    <n v="0"/>
    <x v="1"/>
    <x v="0"/>
    <x v="0"/>
    <n v="0"/>
  </r>
  <r>
    <x v="7"/>
    <x v="1"/>
    <x v="0"/>
    <n v="1334"/>
    <x v="0"/>
    <n v="4"/>
    <n v="2"/>
    <s v="Medical"/>
    <n v="1"/>
    <n v="121"/>
    <n v="3"/>
    <x v="0"/>
    <n v="63"/>
    <n v="2"/>
    <x v="0"/>
    <x v="0"/>
    <n v="2"/>
    <x v="2"/>
    <n v="5209"/>
    <n v="19760"/>
    <n v="1"/>
    <s v="Y"/>
    <x v="0"/>
    <n v="12"/>
    <n v="3"/>
    <n v="2"/>
    <n v="80"/>
    <n v="3"/>
    <n v="11"/>
    <n v="4"/>
    <n v="2"/>
    <n v="11"/>
    <n v="8"/>
    <n v="2"/>
    <n v="7"/>
    <x v="2"/>
    <x v="3"/>
    <x v="0"/>
    <n v="0"/>
  </r>
  <r>
    <x v="21"/>
    <x v="1"/>
    <x v="1"/>
    <n v="638"/>
    <x v="1"/>
    <n v="1"/>
    <n v="3"/>
    <s v="Medical"/>
    <n v="1"/>
    <n v="124"/>
    <n v="3"/>
    <x v="1"/>
    <n v="40"/>
    <n v="2"/>
    <x v="2"/>
    <x v="4"/>
    <n v="1"/>
    <x v="1"/>
    <n v="10673"/>
    <n v="3142"/>
    <n v="2"/>
    <s v="Y"/>
    <x v="0"/>
    <n v="13"/>
    <n v="3"/>
    <n v="3"/>
    <n v="80"/>
    <n v="1"/>
    <n v="21"/>
    <n v="5"/>
    <n v="2"/>
    <n v="10"/>
    <n v="9"/>
    <n v="9"/>
    <n v="5"/>
    <x v="1"/>
    <x v="0"/>
    <x v="3"/>
    <n v="0"/>
  </r>
  <r>
    <x v="5"/>
    <x v="1"/>
    <x v="0"/>
    <n v="1093"/>
    <x v="0"/>
    <n v="6"/>
    <n v="4"/>
    <s v="Medical"/>
    <n v="1"/>
    <n v="125"/>
    <n v="2"/>
    <x v="1"/>
    <n v="87"/>
    <n v="3"/>
    <x v="0"/>
    <x v="0"/>
    <n v="3"/>
    <x v="0"/>
    <n v="5010"/>
    <n v="24301"/>
    <n v="1"/>
    <s v="Y"/>
    <x v="1"/>
    <n v="16"/>
    <n v="3"/>
    <n v="1"/>
    <n v="80"/>
    <n v="0"/>
    <n v="12"/>
    <n v="0"/>
    <n v="3"/>
    <n v="11"/>
    <n v="8"/>
    <n v="5"/>
    <n v="7"/>
    <x v="2"/>
    <x v="3"/>
    <x v="0"/>
    <n v="0"/>
  </r>
  <r>
    <x v="33"/>
    <x v="1"/>
    <x v="0"/>
    <n v="1217"/>
    <x v="1"/>
    <n v="2"/>
    <n v="4"/>
    <s v="Technical Degree"/>
    <n v="1"/>
    <n v="126"/>
    <n v="1"/>
    <x v="0"/>
    <n v="60"/>
    <n v="3"/>
    <x v="2"/>
    <x v="7"/>
    <n v="3"/>
    <x v="1"/>
    <n v="13549"/>
    <n v="24001"/>
    <n v="9"/>
    <s v="Y"/>
    <x v="1"/>
    <n v="12"/>
    <n v="3"/>
    <n v="1"/>
    <n v="80"/>
    <n v="1"/>
    <n v="16"/>
    <n v="5"/>
    <n v="1"/>
    <n v="4"/>
    <n v="3"/>
    <n v="0"/>
    <n v="3"/>
    <x v="1"/>
    <x v="2"/>
    <x v="3"/>
    <n v="0"/>
  </r>
  <r>
    <x v="17"/>
    <x v="1"/>
    <x v="0"/>
    <n v="1353"/>
    <x v="0"/>
    <n v="3"/>
    <n v="2"/>
    <s v="Other"/>
    <n v="1"/>
    <n v="128"/>
    <n v="1"/>
    <x v="0"/>
    <n v="33"/>
    <n v="3"/>
    <x v="0"/>
    <x v="0"/>
    <n v="3"/>
    <x v="1"/>
    <n v="4999"/>
    <n v="17519"/>
    <n v="0"/>
    <s v="Y"/>
    <x v="1"/>
    <n v="21"/>
    <n v="4"/>
    <n v="1"/>
    <n v="80"/>
    <n v="1"/>
    <n v="4"/>
    <n v="2"/>
    <n v="2"/>
    <n v="3"/>
    <n v="2"/>
    <n v="0"/>
    <n v="2"/>
    <x v="4"/>
    <x v="2"/>
    <x v="2"/>
    <n v="0"/>
  </r>
  <r>
    <x v="14"/>
    <x v="1"/>
    <x v="2"/>
    <n v="120"/>
    <x v="0"/>
    <n v="4"/>
    <n v="3"/>
    <s v="Medical"/>
    <n v="1"/>
    <n v="129"/>
    <n v="2"/>
    <x v="1"/>
    <n v="43"/>
    <n v="3"/>
    <x v="0"/>
    <x v="0"/>
    <n v="3"/>
    <x v="1"/>
    <n v="4221"/>
    <n v="8863"/>
    <n v="1"/>
    <s v="Y"/>
    <x v="1"/>
    <n v="15"/>
    <n v="3"/>
    <n v="2"/>
    <n v="80"/>
    <n v="0"/>
    <n v="5"/>
    <n v="3"/>
    <n v="4"/>
    <n v="5"/>
    <n v="4"/>
    <n v="0"/>
    <n v="4"/>
    <x v="2"/>
    <x v="2"/>
    <x v="2"/>
    <n v="0"/>
  </r>
  <r>
    <x v="34"/>
    <x v="1"/>
    <x v="0"/>
    <n v="682"/>
    <x v="0"/>
    <n v="10"/>
    <n v="4"/>
    <s v="Medical"/>
    <n v="1"/>
    <n v="131"/>
    <n v="4"/>
    <x v="1"/>
    <n v="37"/>
    <n v="3"/>
    <x v="3"/>
    <x v="0"/>
    <n v="3"/>
    <x v="0"/>
    <n v="13872"/>
    <n v="24409"/>
    <n v="0"/>
    <s v="Y"/>
    <x v="1"/>
    <n v="13"/>
    <n v="3"/>
    <n v="3"/>
    <n v="80"/>
    <n v="0"/>
    <n v="38"/>
    <n v="1"/>
    <n v="2"/>
    <n v="37"/>
    <n v="10"/>
    <n v="1"/>
    <n v="8"/>
    <x v="3"/>
    <x v="3"/>
    <x v="3"/>
    <n v="0"/>
  </r>
  <r>
    <x v="20"/>
    <x v="1"/>
    <x v="2"/>
    <n v="489"/>
    <x v="1"/>
    <n v="23"/>
    <n v="3"/>
    <s v="Medical"/>
    <n v="1"/>
    <n v="132"/>
    <n v="2"/>
    <x v="1"/>
    <n v="67"/>
    <n v="3"/>
    <x v="0"/>
    <x v="2"/>
    <n v="2"/>
    <x v="1"/>
    <n v="2042"/>
    <n v="25043"/>
    <n v="4"/>
    <s v="Y"/>
    <x v="1"/>
    <n v="12"/>
    <n v="3"/>
    <n v="3"/>
    <n v="80"/>
    <n v="1"/>
    <n v="17"/>
    <n v="3"/>
    <n v="4"/>
    <n v="3"/>
    <n v="2"/>
    <n v="1"/>
    <n v="2"/>
    <x v="0"/>
    <x v="2"/>
    <x v="1"/>
    <n v="0"/>
  </r>
  <r>
    <x v="2"/>
    <x v="0"/>
    <x v="0"/>
    <n v="807"/>
    <x v="2"/>
    <n v="6"/>
    <n v="4"/>
    <s v="Human Resources"/>
    <n v="1"/>
    <n v="133"/>
    <n v="3"/>
    <x v="1"/>
    <n v="63"/>
    <n v="3"/>
    <x v="1"/>
    <x v="8"/>
    <n v="1"/>
    <x v="2"/>
    <n v="2073"/>
    <n v="23648"/>
    <n v="4"/>
    <s v="Y"/>
    <x v="0"/>
    <n v="22"/>
    <n v="4"/>
    <n v="4"/>
    <n v="80"/>
    <n v="0"/>
    <n v="7"/>
    <n v="3"/>
    <n v="3"/>
    <n v="3"/>
    <n v="2"/>
    <n v="0"/>
    <n v="2"/>
    <x v="0"/>
    <x v="2"/>
    <x v="1"/>
    <n v="1"/>
  </r>
  <r>
    <x v="5"/>
    <x v="1"/>
    <x v="0"/>
    <n v="827"/>
    <x v="1"/>
    <n v="1"/>
    <n v="1"/>
    <s v="Life Sciences"/>
    <n v="1"/>
    <n v="134"/>
    <n v="4"/>
    <x v="1"/>
    <n v="71"/>
    <n v="3"/>
    <x v="1"/>
    <x v="1"/>
    <n v="1"/>
    <x v="0"/>
    <n v="2956"/>
    <n v="15178"/>
    <n v="1"/>
    <s v="Y"/>
    <x v="1"/>
    <n v="13"/>
    <n v="3"/>
    <n v="4"/>
    <n v="80"/>
    <n v="0"/>
    <n v="1"/>
    <n v="2"/>
    <n v="3"/>
    <n v="1"/>
    <n v="0"/>
    <n v="0"/>
    <n v="0"/>
    <x v="2"/>
    <x v="1"/>
    <x v="1"/>
    <n v="0"/>
  </r>
  <r>
    <x v="35"/>
    <x v="0"/>
    <x v="1"/>
    <n v="871"/>
    <x v="1"/>
    <n v="6"/>
    <n v="3"/>
    <s v="Life Sciences"/>
    <n v="1"/>
    <n v="137"/>
    <n v="4"/>
    <x v="0"/>
    <n v="66"/>
    <n v="2"/>
    <x v="1"/>
    <x v="2"/>
    <n v="4"/>
    <x v="0"/>
    <n v="2926"/>
    <n v="19783"/>
    <n v="1"/>
    <s v="Y"/>
    <x v="0"/>
    <n v="18"/>
    <n v="3"/>
    <n v="2"/>
    <n v="80"/>
    <n v="0"/>
    <n v="1"/>
    <n v="5"/>
    <n v="3"/>
    <n v="1"/>
    <n v="0"/>
    <n v="1"/>
    <n v="0"/>
    <x v="4"/>
    <x v="1"/>
    <x v="1"/>
    <n v="1"/>
  </r>
  <r>
    <x v="13"/>
    <x v="1"/>
    <x v="0"/>
    <n v="665"/>
    <x v="1"/>
    <n v="6"/>
    <n v="4"/>
    <s v="Other"/>
    <n v="1"/>
    <n v="138"/>
    <n v="1"/>
    <x v="0"/>
    <n v="41"/>
    <n v="3"/>
    <x v="0"/>
    <x v="1"/>
    <n v="3"/>
    <x v="0"/>
    <n v="4809"/>
    <n v="12482"/>
    <n v="1"/>
    <s v="Y"/>
    <x v="1"/>
    <n v="14"/>
    <n v="3"/>
    <n v="3"/>
    <n v="80"/>
    <n v="0"/>
    <n v="16"/>
    <n v="3"/>
    <n v="3"/>
    <n v="16"/>
    <n v="13"/>
    <n v="2"/>
    <n v="10"/>
    <x v="2"/>
    <x v="3"/>
    <x v="2"/>
    <n v="0"/>
  </r>
  <r>
    <x v="2"/>
    <x v="1"/>
    <x v="2"/>
    <n v="1040"/>
    <x v="1"/>
    <n v="2"/>
    <n v="2"/>
    <s v="Life Sciences"/>
    <n v="1"/>
    <n v="139"/>
    <n v="3"/>
    <x v="1"/>
    <n v="100"/>
    <n v="2"/>
    <x v="0"/>
    <x v="4"/>
    <n v="4"/>
    <x v="2"/>
    <n v="5163"/>
    <n v="15850"/>
    <n v="5"/>
    <s v="Y"/>
    <x v="1"/>
    <n v="14"/>
    <n v="3"/>
    <n v="4"/>
    <n v="80"/>
    <n v="1"/>
    <n v="17"/>
    <n v="2"/>
    <n v="4"/>
    <n v="1"/>
    <n v="0"/>
    <n v="0"/>
    <n v="0"/>
    <x v="0"/>
    <x v="1"/>
    <x v="0"/>
    <n v="0"/>
  </r>
  <r>
    <x v="6"/>
    <x v="1"/>
    <x v="2"/>
    <n v="1420"/>
    <x v="2"/>
    <n v="2"/>
    <n v="4"/>
    <s v="Human Resources"/>
    <n v="1"/>
    <n v="140"/>
    <n v="3"/>
    <x v="0"/>
    <n v="32"/>
    <n v="2"/>
    <x v="4"/>
    <x v="5"/>
    <n v="4"/>
    <x v="1"/>
    <n v="18844"/>
    <n v="21922"/>
    <n v="9"/>
    <s v="Y"/>
    <x v="1"/>
    <n v="21"/>
    <n v="4"/>
    <n v="4"/>
    <n v="80"/>
    <n v="1"/>
    <n v="30"/>
    <n v="3"/>
    <n v="3"/>
    <n v="3"/>
    <n v="2"/>
    <n v="2"/>
    <n v="2"/>
    <x v="3"/>
    <x v="2"/>
    <x v="3"/>
    <n v="0"/>
  </r>
  <r>
    <x v="24"/>
    <x v="1"/>
    <x v="1"/>
    <n v="1115"/>
    <x v="1"/>
    <n v="1"/>
    <n v="3"/>
    <s v="Life Sciences"/>
    <n v="1"/>
    <n v="141"/>
    <n v="1"/>
    <x v="0"/>
    <n v="73"/>
    <n v="3"/>
    <x v="4"/>
    <x v="7"/>
    <n v="2"/>
    <x v="1"/>
    <n v="18172"/>
    <n v="9755"/>
    <n v="3"/>
    <s v="Y"/>
    <x v="0"/>
    <n v="19"/>
    <n v="3"/>
    <n v="1"/>
    <n v="80"/>
    <n v="0"/>
    <n v="28"/>
    <n v="1"/>
    <n v="2"/>
    <n v="8"/>
    <n v="3"/>
    <n v="0"/>
    <n v="7"/>
    <x v="1"/>
    <x v="0"/>
    <x v="3"/>
    <n v="0"/>
  </r>
  <r>
    <x v="36"/>
    <x v="0"/>
    <x v="0"/>
    <n v="240"/>
    <x v="0"/>
    <n v="5"/>
    <n v="3"/>
    <s v="Marketing"/>
    <n v="1"/>
    <n v="142"/>
    <n v="3"/>
    <x v="1"/>
    <n v="46"/>
    <n v="2"/>
    <x v="0"/>
    <x v="0"/>
    <n v="3"/>
    <x v="0"/>
    <n v="5744"/>
    <n v="26959"/>
    <n v="1"/>
    <s v="Y"/>
    <x v="0"/>
    <n v="11"/>
    <n v="3"/>
    <n v="4"/>
    <n v="80"/>
    <n v="0"/>
    <n v="6"/>
    <n v="1"/>
    <n v="3"/>
    <n v="6"/>
    <n v="4"/>
    <n v="0"/>
    <n v="3"/>
    <x v="2"/>
    <x v="0"/>
    <x v="0"/>
    <n v="1"/>
  </r>
  <r>
    <x v="36"/>
    <x v="1"/>
    <x v="0"/>
    <n v="1280"/>
    <x v="1"/>
    <n v="7"/>
    <n v="1"/>
    <s v="Medical"/>
    <n v="1"/>
    <n v="143"/>
    <n v="4"/>
    <x v="1"/>
    <n v="64"/>
    <n v="2"/>
    <x v="1"/>
    <x v="1"/>
    <n v="4"/>
    <x v="1"/>
    <n v="2889"/>
    <n v="26897"/>
    <n v="1"/>
    <s v="Y"/>
    <x v="1"/>
    <n v="11"/>
    <n v="3"/>
    <n v="3"/>
    <n v="80"/>
    <n v="2"/>
    <n v="2"/>
    <n v="2"/>
    <n v="3"/>
    <n v="2"/>
    <n v="2"/>
    <n v="2"/>
    <n v="1"/>
    <x v="2"/>
    <x v="1"/>
    <x v="1"/>
    <n v="0"/>
  </r>
  <r>
    <x v="15"/>
    <x v="1"/>
    <x v="0"/>
    <n v="534"/>
    <x v="1"/>
    <n v="15"/>
    <n v="3"/>
    <s v="Medical"/>
    <n v="1"/>
    <n v="144"/>
    <n v="2"/>
    <x v="0"/>
    <n v="59"/>
    <n v="3"/>
    <x v="1"/>
    <x v="2"/>
    <n v="4"/>
    <x v="0"/>
    <n v="2871"/>
    <n v="23785"/>
    <n v="1"/>
    <s v="Y"/>
    <x v="1"/>
    <n v="15"/>
    <n v="3"/>
    <n v="3"/>
    <n v="80"/>
    <n v="0"/>
    <n v="1"/>
    <n v="5"/>
    <n v="3"/>
    <n v="0"/>
    <n v="0"/>
    <n v="0"/>
    <n v="0"/>
    <x v="4"/>
    <x v="1"/>
    <x v="1"/>
    <n v="0"/>
  </r>
  <r>
    <x v="31"/>
    <x v="1"/>
    <x v="1"/>
    <n v="1456"/>
    <x v="1"/>
    <n v="1"/>
    <n v="4"/>
    <s v="Medical"/>
    <n v="1"/>
    <n v="145"/>
    <n v="1"/>
    <x v="0"/>
    <n v="30"/>
    <n v="2"/>
    <x v="2"/>
    <x v="4"/>
    <n v="1"/>
    <x v="0"/>
    <n v="7484"/>
    <n v="25796"/>
    <n v="3"/>
    <s v="Y"/>
    <x v="1"/>
    <n v="20"/>
    <n v="4"/>
    <n v="3"/>
    <n v="80"/>
    <n v="0"/>
    <n v="23"/>
    <n v="1"/>
    <n v="2"/>
    <n v="13"/>
    <n v="12"/>
    <n v="12"/>
    <n v="8"/>
    <x v="1"/>
    <x v="3"/>
    <x v="0"/>
    <n v="0"/>
  </r>
  <r>
    <x v="13"/>
    <x v="0"/>
    <x v="1"/>
    <n v="658"/>
    <x v="1"/>
    <n v="7"/>
    <n v="3"/>
    <s v="Life Sciences"/>
    <n v="1"/>
    <n v="147"/>
    <n v="1"/>
    <x v="1"/>
    <n v="66"/>
    <n v="1"/>
    <x v="0"/>
    <x v="2"/>
    <n v="3"/>
    <x v="0"/>
    <n v="6074"/>
    <n v="22887"/>
    <n v="1"/>
    <s v="Y"/>
    <x v="0"/>
    <n v="24"/>
    <n v="4"/>
    <n v="4"/>
    <n v="80"/>
    <n v="0"/>
    <n v="9"/>
    <n v="3"/>
    <n v="3"/>
    <n v="9"/>
    <n v="7"/>
    <n v="0"/>
    <n v="6"/>
    <x v="2"/>
    <x v="0"/>
    <x v="0"/>
    <n v="1"/>
  </r>
  <r>
    <x v="33"/>
    <x v="1"/>
    <x v="2"/>
    <n v="142"/>
    <x v="2"/>
    <n v="26"/>
    <n v="3"/>
    <s v="Human Resources"/>
    <n v="1"/>
    <n v="148"/>
    <n v="4"/>
    <x v="0"/>
    <n v="30"/>
    <n v="4"/>
    <x v="3"/>
    <x v="5"/>
    <n v="4"/>
    <x v="0"/>
    <n v="17328"/>
    <n v="13871"/>
    <n v="2"/>
    <s v="Y"/>
    <x v="0"/>
    <n v="12"/>
    <n v="3"/>
    <n v="3"/>
    <n v="80"/>
    <n v="0"/>
    <n v="23"/>
    <n v="3"/>
    <n v="3"/>
    <n v="5"/>
    <n v="3"/>
    <n v="4"/>
    <n v="4"/>
    <x v="1"/>
    <x v="2"/>
    <x v="3"/>
    <n v="0"/>
  </r>
  <r>
    <x v="17"/>
    <x v="1"/>
    <x v="0"/>
    <n v="1127"/>
    <x v="1"/>
    <n v="18"/>
    <n v="1"/>
    <s v="Life Sciences"/>
    <n v="1"/>
    <n v="150"/>
    <n v="2"/>
    <x v="1"/>
    <n v="52"/>
    <n v="3"/>
    <x v="1"/>
    <x v="2"/>
    <n v="3"/>
    <x v="1"/>
    <n v="2774"/>
    <n v="13257"/>
    <n v="0"/>
    <s v="Y"/>
    <x v="1"/>
    <n v="12"/>
    <n v="3"/>
    <n v="3"/>
    <n v="80"/>
    <n v="1"/>
    <n v="6"/>
    <n v="2"/>
    <n v="3"/>
    <n v="5"/>
    <n v="3"/>
    <n v="1"/>
    <n v="2"/>
    <x v="4"/>
    <x v="2"/>
    <x v="1"/>
    <n v="0"/>
  </r>
  <r>
    <x v="13"/>
    <x v="1"/>
    <x v="0"/>
    <n v="1031"/>
    <x v="1"/>
    <n v="6"/>
    <n v="4"/>
    <s v="Life Sciences"/>
    <n v="1"/>
    <n v="151"/>
    <n v="3"/>
    <x v="0"/>
    <n v="45"/>
    <n v="2"/>
    <x v="0"/>
    <x v="1"/>
    <n v="2"/>
    <x v="2"/>
    <n v="4505"/>
    <n v="15000"/>
    <n v="6"/>
    <s v="Y"/>
    <x v="1"/>
    <n v="15"/>
    <n v="3"/>
    <n v="3"/>
    <n v="80"/>
    <n v="1"/>
    <n v="12"/>
    <n v="3"/>
    <n v="3"/>
    <n v="1"/>
    <n v="0"/>
    <n v="0"/>
    <n v="0"/>
    <x v="2"/>
    <x v="1"/>
    <x v="2"/>
    <n v="0"/>
  </r>
  <r>
    <x v="2"/>
    <x v="1"/>
    <x v="0"/>
    <n v="1189"/>
    <x v="0"/>
    <n v="3"/>
    <n v="3"/>
    <s v="Life Sciences"/>
    <n v="1"/>
    <n v="152"/>
    <n v="3"/>
    <x v="1"/>
    <n v="87"/>
    <n v="3"/>
    <x v="2"/>
    <x v="0"/>
    <n v="4"/>
    <x v="0"/>
    <n v="7428"/>
    <n v="14506"/>
    <n v="2"/>
    <s v="Y"/>
    <x v="1"/>
    <n v="12"/>
    <n v="3"/>
    <n v="1"/>
    <n v="80"/>
    <n v="0"/>
    <n v="12"/>
    <n v="3"/>
    <n v="3"/>
    <n v="5"/>
    <n v="3"/>
    <n v="1"/>
    <n v="3"/>
    <x v="0"/>
    <x v="2"/>
    <x v="0"/>
    <n v="0"/>
  </r>
  <r>
    <x v="13"/>
    <x v="1"/>
    <x v="0"/>
    <n v="1354"/>
    <x v="1"/>
    <n v="5"/>
    <n v="3"/>
    <s v="Medical"/>
    <n v="1"/>
    <n v="153"/>
    <n v="3"/>
    <x v="0"/>
    <n v="45"/>
    <n v="2"/>
    <x v="2"/>
    <x v="5"/>
    <n v="1"/>
    <x v="0"/>
    <n v="11631"/>
    <n v="5615"/>
    <n v="2"/>
    <s v="Y"/>
    <x v="1"/>
    <n v="12"/>
    <n v="3"/>
    <n v="4"/>
    <n v="80"/>
    <n v="0"/>
    <n v="14"/>
    <n v="6"/>
    <n v="3"/>
    <n v="11"/>
    <n v="10"/>
    <n v="5"/>
    <n v="8"/>
    <x v="2"/>
    <x v="3"/>
    <x v="3"/>
    <n v="0"/>
  </r>
  <r>
    <x v="9"/>
    <x v="1"/>
    <x v="1"/>
    <n v="1467"/>
    <x v="0"/>
    <n v="11"/>
    <n v="2"/>
    <s v="Technical Degree"/>
    <n v="1"/>
    <n v="154"/>
    <n v="2"/>
    <x v="0"/>
    <n v="92"/>
    <n v="3"/>
    <x v="2"/>
    <x v="0"/>
    <n v="4"/>
    <x v="1"/>
    <n v="9738"/>
    <n v="22952"/>
    <n v="0"/>
    <s v="Y"/>
    <x v="1"/>
    <n v="14"/>
    <n v="3"/>
    <n v="3"/>
    <n v="80"/>
    <n v="1"/>
    <n v="10"/>
    <n v="6"/>
    <n v="3"/>
    <n v="9"/>
    <n v="7"/>
    <n v="2"/>
    <n v="8"/>
    <x v="0"/>
    <x v="0"/>
    <x v="3"/>
    <n v="0"/>
  </r>
  <r>
    <x v="9"/>
    <x v="1"/>
    <x v="0"/>
    <n v="922"/>
    <x v="1"/>
    <n v="3"/>
    <n v="2"/>
    <s v="Life Sciences"/>
    <n v="1"/>
    <n v="155"/>
    <n v="1"/>
    <x v="0"/>
    <n v="39"/>
    <n v="3"/>
    <x v="1"/>
    <x v="2"/>
    <n v="4"/>
    <x v="2"/>
    <n v="2835"/>
    <n v="2561"/>
    <n v="5"/>
    <s v="Y"/>
    <x v="1"/>
    <n v="22"/>
    <n v="4"/>
    <n v="1"/>
    <n v="80"/>
    <n v="1"/>
    <n v="7"/>
    <n v="2"/>
    <n v="3"/>
    <n v="1"/>
    <n v="0"/>
    <n v="0"/>
    <n v="0"/>
    <x v="0"/>
    <x v="1"/>
    <x v="1"/>
    <n v="0"/>
  </r>
  <r>
    <x v="23"/>
    <x v="1"/>
    <x v="1"/>
    <n v="394"/>
    <x v="0"/>
    <n v="26"/>
    <n v="2"/>
    <s v="Life Sciences"/>
    <n v="1"/>
    <n v="158"/>
    <n v="3"/>
    <x v="1"/>
    <n v="92"/>
    <n v="3"/>
    <x v="3"/>
    <x v="5"/>
    <n v="4"/>
    <x v="1"/>
    <n v="16959"/>
    <n v="19494"/>
    <n v="1"/>
    <s v="Y"/>
    <x v="0"/>
    <n v="12"/>
    <n v="3"/>
    <n v="4"/>
    <n v="80"/>
    <n v="2"/>
    <n v="25"/>
    <n v="3"/>
    <n v="4"/>
    <n v="25"/>
    <n v="12"/>
    <n v="4"/>
    <n v="12"/>
    <x v="0"/>
    <x v="3"/>
    <x v="3"/>
    <n v="0"/>
  </r>
  <r>
    <x v="7"/>
    <x v="1"/>
    <x v="1"/>
    <n v="1312"/>
    <x v="1"/>
    <n v="23"/>
    <n v="3"/>
    <s v="Life Sciences"/>
    <n v="1"/>
    <n v="159"/>
    <n v="1"/>
    <x v="1"/>
    <n v="96"/>
    <n v="1"/>
    <x v="1"/>
    <x v="1"/>
    <n v="3"/>
    <x v="2"/>
    <n v="2613"/>
    <n v="22310"/>
    <n v="1"/>
    <s v="Y"/>
    <x v="1"/>
    <n v="25"/>
    <n v="4"/>
    <n v="3"/>
    <n v="80"/>
    <n v="3"/>
    <n v="10"/>
    <n v="2"/>
    <n v="2"/>
    <n v="10"/>
    <n v="7"/>
    <n v="0"/>
    <n v="9"/>
    <x v="2"/>
    <x v="0"/>
    <x v="1"/>
    <n v="0"/>
  </r>
  <r>
    <x v="3"/>
    <x v="1"/>
    <x v="2"/>
    <n v="750"/>
    <x v="0"/>
    <n v="22"/>
    <n v="2"/>
    <s v="Marketing"/>
    <n v="1"/>
    <n v="160"/>
    <n v="3"/>
    <x v="1"/>
    <n v="95"/>
    <n v="3"/>
    <x v="0"/>
    <x v="0"/>
    <n v="2"/>
    <x v="1"/>
    <n v="6146"/>
    <n v="15480"/>
    <n v="0"/>
    <s v="Y"/>
    <x v="1"/>
    <n v="13"/>
    <n v="3"/>
    <n v="1"/>
    <n v="80"/>
    <n v="1"/>
    <n v="8"/>
    <n v="2"/>
    <n v="4"/>
    <n v="7"/>
    <n v="7"/>
    <n v="0"/>
    <n v="7"/>
    <x v="2"/>
    <x v="0"/>
    <x v="0"/>
    <n v="0"/>
  </r>
  <r>
    <x v="29"/>
    <x v="0"/>
    <x v="0"/>
    <n v="441"/>
    <x v="1"/>
    <n v="14"/>
    <n v="4"/>
    <s v="Life Sciences"/>
    <n v="1"/>
    <n v="161"/>
    <n v="2"/>
    <x v="0"/>
    <n v="72"/>
    <n v="3"/>
    <x v="1"/>
    <x v="1"/>
    <n v="2"/>
    <x v="1"/>
    <n v="4963"/>
    <n v="4510"/>
    <n v="9"/>
    <s v="Y"/>
    <x v="0"/>
    <n v="18"/>
    <n v="3"/>
    <n v="1"/>
    <n v="80"/>
    <n v="3"/>
    <n v="7"/>
    <n v="2"/>
    <n v="3"/>
    <n v="5"/>
    <n v="4"/>
    <n v="4"/>
    <n v="3"/>
    <x v="3"/>
    <x v="2"/>
    <x v="2"/>
    <n v="1"/>
  </r>
  <r>
    <x v="31"/>
    <x v="1"/>
    <x v="0"/>
    <n v="684"/>
    <x v="1"/>
    <n v="6"/>
    <n v="3"/>
    <s v="Life Sciences"/>
    <n v="1"/>
    <n v="162"/>
    <n v="1"/>
    <x v="1"/>
    <n v="51"/>
    <n v="3"/>
    <x v="4"/>
    <x v="7"/>
    <n v="3"/>
    <x v="0"/>
    <n v="19537"/>
    <n v="6462"/>
    <n v="7"/>
    <s v="Y"/>
    <x v="1"/>
    <n v="13"/>
    <n v="3"/>
    <n v="3"/>
    <n v="80"/>
    <n v="0"/>
    <n v="23"/>
    <n v="5"/>
    <n v="3"/>
    <n v="20"/>
    <n v="18"/>
    <n v="15"/>
    <n v="15"/>
    <x v="1"/>
    <x v="3"/>
    <x v="3"/>
    <n v="0"/>
  </r>
  <r>
    <x v="12"/>
    <x v="0"/>
    <x v="0"/>
    <n v="249"/>
    <x v="0"/>
    <n v="6"/>
    <n v="4"/>
    <s v="Life Sciences"/>
    <n v="1"/>
    <n v="163"/>
    <n v="2"/>
    <x v="1"/>
    <n v="76"/>
    <n v="1"/>
    <x v="0"/>
    <x v="0"/>
    <n v="3"/>
    <x v="1"/>
    <n v="6172"/>
    <n v="20739"/>
    <n v="4"/>
    <s v="Y"/>
    <x v="0"/>
    <n v="18"/>
    <n v="3"/>
    <n v="2"/>
    <n v="80"/>
    <n v="0"/>
    <n v="12"/>
    <n v="3"/>
    <n v="2"/>
    <n v="7"/>
    <n v="7"/>
    <n v="7"/>
    <n v="7"/>
    <x v="2"/>
    <x v="0"/>
    <x v="0"/>
    <n v="1"/>
  </r>
  <r>
    <x v="25"/>
    <x v="1"/>
    <x v="0"/>
    <n v="841"/>
    <x v="1"/>
    <n v="6"/>
    <n v="3"/>
    <s v="Other"/>
    <n v="1"/>
    <n v="164"/>
    <n v="3"/>
    <x v="0"/>
    <n v="46"/>
    <n v="2"/>
    <x v="1"/>
    <x v="1"/>
    <n v="2"/>
    <x v="1"/>
    <n v="2368"/>
    <n v="23300"/>
    <n v="1"/>
    <s v="Y"/>
    <x v="1"/>
    <n v="19"/>
    <n v="3"/>
    <n v="3"/>
    <n v="80"/>
    <n v="0"/>
    <n v="5"/>
    <n v="3"/>
    <n v="2"/>
    <n v="5"/>
    <n v="4"/>
    <n v="4"/>
    <n v="3"/>
    <x v="2"/>
    <x v="2"/>
    <x v="1"/>
    <n v="0"/>
  </r>
  <r>
    <x v="34"/>
    <x v="0"/>
    <x v="0"/>
    <n v="147"/>
    <x v="1"/>
    <n v="23"/>
    <n v="4"/>
    <s v="Medical"/>
    <n v="1"/>
    <n v="165"/>
    <n v="4"/>
    <x v="0"/>
    <n v="94"/>
    <n v="3"/>
    <x v="2"/>
    <x v="4"/>
    <n v="4"/>
    <x v="1"/>
    <n v="10312"/>
    <n v="3465"/>
    <n v="1"/>
    <s v="Y"/>
    <x v="1"/>
    <n v="12"/>
    <n v="3"/>
    <n v="4"/>
    <n v="80"/>
    <n v="1"/>
    <n v="40"/>
    <n v="3"/>
    <n v="2"/>
    <n v="40"/>
    <n v="10"/>
    <n v="15"/>
    <n v="6"/>
    <x v="3"/>
    <x v="3"/>
    <x v="3"/>
    <n v="1"/>
  </r>
  <r>
    <x v="37"/>
    <x v="0"/>
    <x v="0"/>
    <n v="528"/>
    <x v="0"/>
    <n v="22"/>
    <n v="1"/>
    <s v="Marketing"/>
    <n v="1"/>
    <n v="167"/>
    <n v="4"/>
    <x v="1"/>
    <n v="50"/>
    <n v="3"/>
    <x v="1"/>
    <x v="6"/>
    <n v="3"/>
    <x v="0"/>
    <n v="1675"/>
    <n v="26820"/>
    <n v="1"/>
    <s v="Y"/>
    <x v="0"/>
    <n v="19"/>
    <n v="3"/>
    <n v="4"/>
    <n v="80"/>
    <n v="0"/>
    <n v="0"/>
    <n v="2"/>
    <n v="2"/>
    <n v="0"/>
    <n v="0"/>
    <n v="0"/>
    <n v="0"/>
    <x v="4"/>
    <x v="1"/>
    <x v="1"/>
    <n v="1"/>
  </r>
  <r>
    <x v="15"/>
    <x v="1"/>
    <x v="0"/>
    <n v="594"/>
    <x v="1"/>
    <n v="2"/>
    <n v="1"/>
    <s v="Technical Degree"/>
    <n v="1"/>
    <n v="169"/>
    <n v="3"/>
    <x v="1"/>
    <n v="100"/>
    <n v="3"/>
    <x v="1"/>
    <x v="2"/>
    <n v="4"/>
    <x v="1"/>
    <n v="2523"/>
    <n v="19299"/>
    <n v="0"/>
    <s v="Y"/>
    <x v="1"/>
    <n v="14"/>
    <n v="3"/>
    <n v="3"/>
    <n v="80"/>
    <n v="1"/>
    <n v="3"/>
    <n v="2"/>
    <n v="3"/>
    <n v="2"/>
    <n v="1"/>
    <n v="2"/>
    <n v="1"/>
    <x v="4"/>
    <x v="1"/>
    <x v="1"/>
    <n v="0"/>
  </r>
  <r>
    <x v="1"/>
    <x v="1"/>
    <x v="0"/>
    <n v="470"/>
    <x v="1"/>
    <n v="20"/>
    <n v="4"/>
    <s v="Medical"/>
    <n v="1"/>
    <n v="170"/>
    <n v="3"/>
    <x v="0"/>
    <n v="96"/>
    <n v="3"/>
    <x v="0"/>
    <x v="3"/>
    <n v="1"/>
    <x v="1"/>
    <n v="6567"/>
    <n v="5549"/>
    <n v="1"/>
    <s v="Y"/>
    <x v="1"/>
    <n v="14"/>
    <n v="3"/>
    <n v="3"/>
    <n v="80"/>
    <n v="0"/>
    <n v="16"/>
    <n v="2"/>
    <n v="2"/>
    <n v="15"/>
    <n v="11"/>
    <n v="5"/>
    <n v="11"/>
    <x v="1"/>
    <x v="3"/>
    <x v="0"/>
    <n v="0"/>
  </r>
  <r>
    <x v="23"/>
    <x v="1"/>
    <x v="1"/>
    <n v="957"/>
    <x v="1"/>
    <n v="28"/>
    <n v="3"/>
    <s v="Medical"/>
    <n v="1"/>
    <n v="171"/>
    <n v="2"/>
    <x v="0"/>
    <n v="72"/>
    <n v="4"/>
    <x v="1"/>
    <x v="1"/>
    <n v="3"/>
    <x v="0"/>
    <n v="4739"/>
    <n v="16090"/>
    <n v="4"/>
    <s v="Y"/>
    <x v="1"/>
    <n v="12"/>
    <n v="3"/>
    <n v="4"/>
    <n v="80"/>
    <n v="0"/>
    <n v="18"/>
    <n v="2"/>
    <n v="3"/>
    <n v="3"/>
    <n v="2"/>
    <n v="1"/>
    <n v="2"/>
    <x v="0"/>
    <x v="2"/>
    <x v="2"/>
    <n v="0"/>
  </r>
  <r>
    <x v="24"/>
    <x v="1"/>
    <x v="1"/>
    <n v="809"/>
    <x v="0"/>
    <n v="12"/>
    <n v="3"/>
    <s v="Marketing"/>
    <n v="1"/>
    <n v="174"/>
    <n v="3"/>
    <x v="0"/>
    <n v="77"/>
    <n v="3"/>
    <x v="2"/>
    <x v="0"/>
    <n v="4"/>
    <x v="0"/>
    <n v="9208"/>
    <n v="6645"/>
    <n v="4"/>
    <s v="Y"/>
    <x v="1"/>
    <n v="11"/>
    <n v="3"/>
    <n v="4"/>
    <n v="80"/>
    <n v="0"/>
    <n v="16"/>
    <n v="3"/>
    <n v="3"/>
    <n v="2"/>
    <n v="2"/>
    <n v="2"/>
    <n v="1"/>
    <x v="1"/>
    <x v="1"/>
    <x v="3"/>
    <n v="0"/>
  </r>
  <r>
    <x v="12"/>
    <x v="0"/>
    <x v="0"/>
    <n v="542"/>
    <x v="0"/>
    <n v="20"/>
    <n v="3"/>
    <s v="Life Sciences"/>
    <n v="1"/>
    <n v="175"/>
    <n v="2"/>
    <x v="0"/>
    <n v="71"/>
    <n v="1"/>
    <x v="0"/>
    <x v="0"/>
    <n v="3"/>
    <x v="1"/>
    <n v="4559"/>
    <n v="24788"/>
    <n v="3"/>
    <s v="Y"/>
    <x v="0"/>
    <n v="11"/>
    <n v="3"/>
    <n v="3"/>
    <n v="80"/>
    <n v="1"/>
    <n v="4"/>
    <n v="2"/>
    <n v="3"/>
    <n v="2"/>
    <n v="2"/>
    <n v="2"/>
    <n v="2"/>
    <x v="2"/>
    <x v="1"/>
    <x v="2"/>
    <n v="1"/>
  </r>
  <r>
    <x v="0"/>
    <x v="1"/>
    <x v="0"/>
    <n v="802"/>
    <x v="0"/>
    <n v="9"/>
    <n v="1"/>
    <s v="Life Sciences"/>
    <n v="1"/>
    <n v="176"/>
    <n v="3"/>
    <x v="1"/>
    <n v="96"/>
    <n v="3"/>
    <x v="2"/>
    <x v="0"/>
    <n v="3"/>
    <x v="2"/>
    <n v="8189"/>
    <n v="21196"/>
    <n v="3"/>
    <s v="Y"/>
    <x v="0"/>
    <n v="13"/>
    <n v="3"/>
    <n v="3"/>
    <n v="80"/>
    <n v="1"/>
    <n v="12"/>
    <n v="2"/>
    <n v="3"/>
    <n v="9"/>
    <n v="7"/>
    <n v="0"/>
    <n v="7"/>
    <x v="0"/>
    <x v="0"/>
    <x v="3"/>
    <n v="0"/>
  </r>
  <r>
    <x v="25"/>
    <x v="1"/>
    <x v="0"/>
    <n v="1355"/>
    <x v="2"/>
    <n v="25"/>
    <n v="1"/>
    <s v="Life Sciences"/>
    <n v="1"/>
    <n v="177"/>
    <n v="3"/>
    <x v="0"/>
    <n v="61"/>
    <n v="3"/>
    <x v="1"/>
    <x v="8"/>
    <n v="3"/>
    <x v="1"/>
    <n v="2942"/>
    <n v="8916"/>
    <n v="1"/>
    <s v="Y"/>
    <x v="1"/>
    <n v="23"/>
    <n v="4"/>
    <n v="4"/>
    <n v="80"/>
    <n v="1"/>
    <n v="8"/>
    <n v="3"/>
    <n v="3"/>
    <n v="8"/>
    <n v="7"/>
    <n v="5"/>
    <n v="7"/>
    <x v="2"/>
    <x v="0"/>
    <x v="1"/>
    <n v="0"/>
  </r>
  <r>
    <x v="9"/>
    <x v="1"/>
    <x v="0"/>
    <n v="216"/>
    <x v="1"/>
    <n v="6"/>
    <n v="2"/>
    <s v="Medical"/>
    <n v="1"/>
    <n v="178"/>
    <n v="2"/>
    <x v="1"/>
    <n v="84"/>
    <n v="3"/>
    <x v="0"/>
    <x v="3"/>
    <n v="2"/>
    <x v="2"/>
    <n v="4941"/>
    <n v="2819"/>
    <n v="6"/>
    <s v="Y"/>
    <x v="1"/>
    <n v="20"/>
    <n v="4"/>
    <n v="4"/>
    <n v="80"/>
    <n v="2"/>
    <n v="7"/>
    <n v="0"/>
    <n v="3"/>
    <n v="3"/>
    <n v="2"/>
    <n v="0"/>
    <n v="1"/>
    <x v="0"/>
    <x v="2"/>
    <x v="2"/>
    <n v="0"/>
  </r>
  <r>
    <x v="31"/>
    <x v="0"/>
    <x v="1"/>
    <n v="1150"/>
    <x v="1"/>
    <n v="8"/>
    <n v="4"/>
    <s v="Life Sciences"/>
    <n v="1"/>
    <n v="179"/>
    <n v="1"/>
    <x v="1"/>
    <n v="53"/>
    <n v="1"/>
    <x v="2"/>
    <x v="3"/>
    <n v="4"/>
    <x v="0"/>
    <n v="10650"/>
    <n v="25150"/>
    <n v="2"/>
    <s v="Y"/>
    <x v="1"/>
    <n v="15"/>
    <n v="3"/>
    <n v="4"/>
    <n v="80"/>
    <n v="0"/>
    <n v="18"/>
    <n v="2"/>
    <n v="3"/>
    <n v="4"/>
    <n v="2"/>
    <n v="0"/>
    <n v="3"/>
    <x v="1"/>
    <x v="2"/>
    <x v="3"/>
    <n v="1"/>
  </r>
  <r>
    <x v="22"/>
    <x v="1"/>
    <x v="0"/>
    <n v="1329"/>
    <x v="0"/>
    <n v="4"/>
    <n v="4"/>
    <s v="Life Sciences"/>
    <n v="1"/>
    <n v="182"/>
    <n v="4"/>
    <x v="0"/>
    <n v="47"/>
    <n v="2"/>
    <x v="0"/>
    <x v="0"/>
    <n v="3"/>
    <x v="1"/>
    <n v="5902"/>
    <n v="14590"/>
    <n v="4"/>
    <s v="Y"/>
    <x v="1"/>
    <n v="14"/>
    <n v="3"/>
    <n v="3"/>
    <n v="80"/>
    <n v="1"/>
    <n v="17"/>
    <n v="1"/>
    <n v="4"/>
    <n v="15"/>
    <n v="11"/>
    <n v="5"/>
    <n v="9"/>
    <x v="0"/>
    <x v="3"/>
    <x v="0"/>
    <n v="0"/>
  </r>
  <r>
    <x v="36"/>
    <x v="1"/>
    <x v="0"/>
    <n v="959"/>
    <x v="0"/>
    <n v="28"/>
    <n v="3"/>
    <s v="Life Sciences"/>
    <n v="1"/>
    <n v="183"/>
    <n v="1"/>
    <x v="1"/>
    <n v="41"/>
    <n v="2"/>
    <x v="0"/>
    <x v="0"/>
    <n v="3"/>
    <x v="1"/>
    <n v="8639"/>
    <n v="24835"/>
    <n v="2"/>
    <s v="Y"/>
    <x v="1"/>
    <n v="18"/>
    <n v="3"/>
    <n v="4"/>
    <n v="80"/>
    <n v="0"/>
    <n v="6"/>
    <n v="3"/>
    <n v="3"/>
    <n v="2"/>
    <n v="2"/>
    <n v="2"/>
    <n v="2"/>
    <x v="2"/>
    <x v="1"/>
    <x v="3"/>
    <n v="0"/>
  </r>
  <r>
    <x v="7"/>
    <x v="1"/>
    <x v="0"/>
    <n v="1240"/>
    <x v="2"/>
    <n v="9"/>
    <n v="3"/>
    <s v="Human Resources"/>
    <n v="1"/>
    <n v="184"/>
    <n v="3"/>
    <x v="1"/>
    <n v="48"/>
    <n v="3"/>
    <x v="0"/>
    <x v="8"/>
    <n v="4"/>
    <x v="1"/>
    <n v="6347"/>
    <n v="13982"/>
    <n v="0"/>
    <s v="Y"/>
    <x v="0"/>
    <n v="19"/>
    <n v="3"/>
    <n v="4"/>
    <n v="80"/>
    <n v="0"/>
    <n v="12"/>
    <n v="2"/>
    <n v="1"/>
    <n v="11"/>
    <n v="9"/>
    <n v="4"/>
    <n v="7"/>
    <x v="2"/>
    <x v="3"/>
    <x v="0"/>
    <n v="0"/>
  </r>
  <r>
    <x v="5"/>
    <x v="0"/>
    <x v="0"/>
    <n v="1033"/>
    <x v="1"/>
    <n v="9"/>
    <n v="3"/>
    <s v="Medical"/>
    <n v="1"/>
    <n v="190"/>
    <n v="1"/>
    <x v="0"/>
    <n v="41"/>
    <n v="3"/>
    <x v="1"/>
    <x v="2"/>
    <n v="1"/>
    <x v="0"/>
    <n v="4200"/>
    <n v="10224"/>
    <n v="7"/>
    <s v="Y"/>
    <x v="1"/>
    <n v="22"/>
    <n v="4"/>
    <n v="1"/>
    <n v="80"/>
    <n v="0"/>
    <n v="10"/>
    <n v="2"/>
    <n v="4"/>
    <n v="5"/>
    <n v="4"/>
    <n v="0"/>
    <n v="4"/>
    <x v="2"/>
    <x v="2"/>
    <x v="2"/>
    <n v="1"/>
  </r>
  <r>
    <x v="28"/>
    <x v="1"/>
    <x v="0"/>
    <n v="1316"/>
    <x v="1"/>
    <n v="29"/>
    <n v="3"/>
    <s v="Medical"/>
    <n v="1"/>
    <n v="192"/>
    <n v="3"/>
    <x v="1"/>
    <n v="83"/>
    <n v="3"/>
    <x v="1"/>
    <x v="1"/>
    <n v="4"/>
    <x v="0"/>
    <n v="3452"/>
    <n v="9752"/>
    <n v="5"/>
    <s v="Y"/>
    <x v="1"/>
    <n v="13"/>
    <n v="3"/>
    <n v="2"/>
    <n v="80"/>
    <n v="0"/>
    <n v="9"/>
    <n v="2"/>
    <n v="2"/>
    <n v="6"/>
    <n v="5"/>
    <n v="0"/>
    <n v="3"/>
    <x v="1"/>
    <x v="0"/>
    <x v="2"/>
    <n v="0"/>
  </r>
  <r>
    <x v="8"/>
    <x v="1"/>
    <x v="0"/>
    <n v="364"/>
    <x v="1"/>
    <n v="3"/>
    <n v="5"/>
    <s v="Technical Degree"/>
    <n v="1"/>
    <n v="193"/>
    <n v="4"/>
    <x v="0"/>
    <n v="32"/>
    <n v="3"/>
    <x v="0"/>
    <x v="1"/>
    <n v="3"/>
    <x v="0"/>
    <n v="4317"/>
    <n v="2302"/>
    <n v="3"/>
    <s v="Y"/>
    <x v="0"/>
    <n v="20"/>
    <n v="4"/>
    <n v="2"/>
    <n v="80"/>
    <n v="0"/>
    <n v="19"/>
    <n v="2"/>
    <n v="3"/>
    <n v="3"/>
    <n v="2"/>
    <n v="2"/>
    <n v="2"/>
    <x v="0"/>
    <x v="2"/>
    <x v="2"/>
    <n v="0"/>
  </r>
  <r>
    <x v="7"/>
    <x v="1"/>
    <x v="0"/>
    <n v="438"/>
    <x v="1"/>
    <n v="18"/>
    <n v="3"/>
    <s v="Life Sciences"/>
    <n v="1"/>
    <n v="194"/>
    <n v="1"/>
    <x v="0"/>
    <n v="75"/>
    <n v="3"/>
    <x v="1"/>
    <x v="1"/>
    <n v="3"/>
    <x v="0"/>
    <n v="2632"/>
    <n v="23910"/>
    <n v="1"/>
    <s v="Y"/>
    <x v="1"/>
    <n v="14"/>
    <n v="3"/>
    <n v="3"/>
    <n v="80"/>
    <n v="0"/>
    <n v="5"/>
    <n v="4"/>
    <n v="2"/>
    <n v="5"/>
    <n v="4"/>
    <n v="0"/>
    <n v="4"/>
    <x v="2"/>
    <x v="2"/>
    <x v="1"/>
    <n v="0"/>
  </r>
  <r>
    <x v="5"/>
    <x v="1"/>
    <x v="1"/>
    <n v="689"/>
    <x v="0"/>
    <n v="9"/>
    <n v="2"/>
    <s v="Medical"/>
    <n v="1"/>
    <n v="195"/>
    <n v="4"/>
    <x v="1"/>
    <n v="35"/>
    <n v="1"/>
    <x v="0"/>
    <x v="0"/>
    <n v="4"/>
    <x v="2"/>
    <n v="4668"/>
    <n v="22812"/>
    <n v="0"/>
    <s v="Y"/>
    <x v="1"/>
    <n v="17"/>
    <n v="3"/>
    <n v="4"/>
    <n v="80"/>
    <n v="3"/>
    <n v="9"/>
    <n v="2"/>
    <n v="4"/>
    <n v="8"/>
    <n v="7"/>
    <n v="0"/>
    <n v="7"/>
    <x v="2"/>
    <x v="0"/>
    <x v="2"/>
    <n v="0"/>
  </r>
  <r>
    <x v="7"/>
    <x v="1"/>
    <x v="0"/>
    <n v="201"/>
    <x v="1"/>
    <n v="5"/>
    <n v="3"/>
    <s v="Technical Degree"/>
    <n v="1"/>
    <n v="197"/>
    <n v="4"/>
    <x v="0"/>
    <n v="84"/>
    <n v="3"/>
    <x v="1"/>
    <x v="1"/>
    <n v="1"/>
    <x v="2"/>
    <n v="3204"/>
    <n v="10415"/>
    <n v="5"/>
    <s v="Y"/>
    <x v="1"/>
    <n v="14"/>
    <n v="3"/>
    <n v="4"/>
    <n v="80"/>
    <n v="1"/>
    <n v="8"/>
    <n v="3"/>
    <n v="3"/>
    <n v="3"/>
    <n v="2"/>
    <n v="2"/>
    <n v="2"/>
    <x v="2"/>
    <x v="2"/>
    <x v="2"/>
    <n v="0"/>
  </r>
  <r>
    <x v="7"/>
    <x v="1"/>
    <x v="0"/>
    <n v="1427"/>
    <x v="1"/>
    <n v="2"/>
    <n v="1"/>
    <s v="Medical"/>
    <n v="1"/>
    <n v="198"/>
    <n v="2"/>
    <x v="1"/>
    <n v="35"/>
    <n v="2"/>
    <x v="1"/>
    <x v="2"/>
    <n v="4"/>
    <x v="0"/>
    <n v="2720"/>
    <n v="11162"/>
    <n v="0"/>
    <s v="Y"/>
    <x v="1"/>
    <n v="13"/>
    <n v="3"/>
    <n v="4"/>
    <n v="80"/>
    <n v="0"/>
    <n v="6"/>
    <n v="3"/>
    <n v="3"/>
    <n v="5"/>
    <n v="3"/>
    <n v="1"/>
    <n v="2"/>
    <x v="2"/>
    <x v="2"/>
    <x v="1"/>
    <n v="0"/>
  </r>
  <r>
    <x v="0"/>
    <x v="1"/>
    <x v="1"/>
    <n v="857"/>
    <x v="1"/>
    <n v="10"/>
    <n v="3"/>
    <s v="Life Sciences"/>
    <n v="1"/>
    <n v="199"/>
    <n v="4"/>
    <x v="1"/>
    <n v="91"/>
    <n v="2"/>
    <x v="3"/>
    <x v="5"/>
    <n v="1"/>
    <x v="2"/>
    <n v="17181"/>
    <n v="12888"/>
    <n v="4"/>
    <s v="Y"/>
    <x v="1"/>
    <n v="13"/>
    <n v="3"/>
    <n v="2"/>
    <n v="80"/>
    <n v="1"/>
    <n v="21"/>
    <n v="2"/>
    <n v="2"/>
    <n v="7"/>
    <n v="6"/>
    <n v="7"/>
    <n v="7"/>
    <x v="0"/>
    <x v="0"/>
    <x v="3"/>
    <n v="0"/>
  </r>
  <r>
    <x v="0"/>
    <x v="1"/>
    <x v="0"/>
    <n v="933"/>
    <x v="1"/>
    <n v="9"/>
    <n v="4"/>
    <s v="Life Sciences"/>
    <n v="1"/>
    <n v="200"/>
    <n v="3"/>
    <x v="1"/>
    <n v="94"/>
    <n v="3"/>
    <x v="1"/>
    <x v="2"/>
    <n v="1"/>
    <x v="1"/>
    <n v="2238"/>
    <n v="6961"/>
    <n v="2"/>
    <s v="Y"/>
    <x v="1"/>
    <n v="21"/>
    <n v="4"/>
    <n v="4"/>
    <n v="80"/>
    <n v="1"/>
    <n v="7"/>
    <n v="2"/>
    <n v="3"/>
    <n v="5"/>
    <n v="0"/>
    <n v="1"/>
    <n v="4"/>
    <x v="0"/>
    <x v="2"/>
    <x v="1"/>
    <n v="0"/>
  </r>
  <r>
    <x v="37"/>
    <x v="1"/>
    <x v="0"/>
    <n v="1181"/>
    <x v="1"/>
    <n v="3"/>
    <n v="1"/>
    <s v="Medical"/>
    <n v="1"/>
    <n v="201"/>
    <n v="2"/>
    <x v="0"/>
    <n v="79"/>
    <n v="3"/>
    <x v="1"/>
    <x v="2"/>
    <n v="2"/>
    <x v="0"/>
    <n v="1483"/>
    <n v="16102"/>
    <n v="1"/>
    <s v="Y"/>
    <x v="1"/>
    <n v="14"/>
    <n v="3"/>
    <n v="4"/>
    <n v="80"/>
    <n v="0"/>
    <n v="1"/>
    <n v="3"/>
    <n v="3"/>
    <n v="1"/>
    <n v="0"/>
    <n v="0"/>
    <n v="0"/>
    <x v="4"/>
    <x v="1"/>
    <x v="1"/>
    <n v="0"/>
  </r>
  <r>
    <x v="32"/>
    <x v="1"/>
    <x v="1"/>
    <n v="1395"/>
    <x v="1"/>
    <n v="26"/>
    <n v="3"/>
    <s v="Medical"/>
    <n v="1"/>
    <n v="202"/>
    <n v="2"/>
    <x v="0"/>
    <n v="54"/>
    <n v="3"/>
    <x v="0"/>
    <x v="1"/>
    <n v="2"/>
    <x v="2"/>
    <n v="5605"/>
    <n v="8504"/>
    <n v="1"/>
    <s v="Y"/>
    <x v="1"/>
    <n v="11"/>
    <n v="3"/>
    <n v="1"/>
    <n v="80"/>
    <n v="1"/>
    <n v="20"/>
    <n v="2"/>
    <n v="3"/>
    <n v="20"/>
    <n v="7"/>
    <n v="2"/>
    <n v="13"/>
    <x v="0"/>
    <x v="3"/>
    <x v="0"/>
    <n v="0"/>
  </r>
  <r>
    <x v="10"/>
    <x v="1"/>
    <x v="0"/>
    <n v="662"/>
    <x v="0"/>
    <n v="1"/>
    <n v="5"/>
    <s v="Marketing"/>
    <n v="1"/>
    <n v="204"/>
    <n v="3"/>
    <x v="1"/>
    <n v="94"/>
    <n v="3"/>
    <x v="2"/>
    <x v="0"/>
    <n v="2"/>
    <x v="1"/>
    <n v="7295"/>
    <n v="11439"/>
    <n v="1"/>
    <s v="Y"/>
    <x v="1"/>
    <n v="13"/>
    <n v="3"/>
    <n v="1"/>
    <n v="80"/>
    <n v="2"/>
    <n v="10"/>
    <n v="3"/>
    <n v="3"/>
    <n v="10"/>
    <n v="8"/>
    <n v="0"/>
    <n v="6"/>
    <x v="0"/>
    <x v="0"/>
    <x v="0"/>
    <n v="0"/>
  </r>
  <r>
    <x v="16"/>
    <x v="1"/>
    <x v="0"/>
    <n v="1436"/>
    <x v="0"/>
    <n v="6"/>
    <n v="2"/>
    <s v="Marketing"/>
    <n v="1"/>
    <n v="205"/>
    <n v="2"/>
    <x v="1"/>
    <n v="34"/>
    <n v="3"/>
    <x v="0"/>
    <x v="6"/>
    <n v="3"/>
    <x v="1"/>
    <n v="2306"/>
    <n v="16047"/>
    <n v="2"/>
    <s v="Y"/>
    <x v="0"/>
    <n v="20"/>
    <n v="4"/>
    <n v="4"/>
    <n v="80"/>
    <n v="1"/>
    <n v="13"/>
    <n v="3"/>
    <n v="1"/>
    <n v="7"/>
    <n v="7"/>
    <n v="4"/>
    <n v="5"/>
    <x v="1"/>
    <x v="0"/>
    <x v="1"/>
    <n v="0"/>
  </r>
  <r>
    <x v="28"/>
    <x v="1"/>
    <x v="0"/>
    <n v="194"/>
    <x v="1"/>
    <n v="9"/>
    <n v="3"/>
    <s v="Life Sciences"/>
    <n v="1"/>
    <n v="206"/>
    <n v="2"/>
    <x v="1"/>
    <n v="60"/>
    <n v="3"/>
    <x v="0"/>
    <x v="2"/>
    <n v="2"/>
    <x v="2"/>
    <n v="2348"/>
    <n v="10901"/>
    <n v="8"/>
    <s v="Y"/>
    <x v="1"/>
    <n v="18"/>
    <n v="3"/>
    <n v="3"/>
    <n v="80"/>
    <n v="1"/>
    <n v="20"/>
    <n v="2"/>
    <n v="1"/>
    <n v="17"/>
    <n v="9"/>
    <n v="0"/>
    <n v="15"/>
    <x v="1"/>
    <x v="3"/>
    <x v="1"/>
    <n v="0"/>
  </r>
  <r>
    <x v="5"/>
    <x v="1"/>
    <x v="1"/>
    <n v="967"/>
    <x v="0"/>
    <n v="8"/>
    <n v="3"/>
    <s v="Marketing"/>
    <n v="1"/>
    <n v="207"/>
    <n v="2"/>
    <x v="0"/>
    <n v="43"/>
    <n v="3"/>
    <x v="2"/>
    <x v="0"/>
    <n v="4"/>
    <x v="0"/>
    <n v="8998"/>
    <n v="15589"/>
    <n v="1"/>
    <s v="Y"/>
    <x v="1"/>
    <n v="14"/>
    <n v="3"/>
    <n v="4"/>
    <n v="80"/>
    <n v="0"/>
    <n v="9"/>
    <n v="2"/>
    <n v="3"/>
    <n v="9"/>
    <n v="8"/>
    <n v="3"/>
    <n v="7"/>
    <x v="2"/>
    <x v="0"/>
    <x v="3"/>
    <n v="0"/>
  </r>
  <r>
    <x v="11"/>
    <x v="1"/>
    <x v="2"/>
    <n v="1496"/>
    <x v="1"/>
    <n v="1"/>
    <n v="1"/>
    <s v="Technical Degree"/>
    <n v="1"/>
    <n v="208"/>
    <n v="4"/>
    <x v="1"/>
    <n v="41"/>
    <n v="3"/>
    <x v="0"/>
    <x v="3"/>
    <n v="3"/>
    <x v="1"/>
    <n v="4319"/>
    <n v="26283"/>
    <n v="1"/>
    <s v="Y"/>
    <x v="1"/>
    <n v="13"/>
    <n v="3"/>
    <n v="1"/>
    <n v="80"/>
    <n v="1"/>
    <n v="10"/>
    <n v="1"/>
    <n v="3"/>
    <n v="10"/>
    <n v="7"/>
    <n v="0"/>
    <n v="9"/>
    <x v="2"/>
    <x v="0"/>
    <x v="2"/>
    <n v="0"/>
  </r>
  <r>
    <x v="31"/>
    <x v="1"/>
    <x v="0"/>
    <n v="1169"/>
    <x v="1"/>
    <n v="7"/>
    <n v="4"/>
    <s v="Medical"/>
    <n v="1"/>
    <n v="211"/>
    <n v="2"/>
    <x v="1"/>
    <n v="34"/>
    <n v="2"/>
    <x v="0"/>
    <x v="3"/>
    <n v="3"/>
    <x v="1"/>
    <n v="6132"/>
    <n v="13983"/>
    <n v="2"/>
    <s v="Y"/>
    <x v="1"/>
    <n v="17"/>
    <n v="3"/>
    <n v="3"/>
    <n v="80"/>
    <n v="0"/>
    <n v="10"/>
    <n v="2"/>
    <n v="3"/>
    <n v="1"/>
    <n v="0"/>
    <n v="0"/>
    <n v="0"/>
    <x v="1"/>
    <x v="1"/>
    <x v="0"/>
    <n v="0"/>
  </r>
  <r>
    <x v="34"/>
    <x v="1"/>
    <x v="0"/>
    <n v="1145"/>
    <x v="1"/>
    <n v="9"/>
    <n v="3"/>
    <s v="Medical"/>
    <n v="1"/>
    <n v="214"/>
    <n v="2"/>
    <x v="0"/>
    <n v="75"/>
    <n v="2"/>
    <x v="1"/>
    <x v="1"/>
    <n v="2"/>
    <x v="1"/>
    <n v="3346"/>
    <n v="11873"/>
    <n v="4"/>
    <s v="Y"/>
    <x v="0"/>
    <n v="20"/>
    <n v="4"/>
    <n v="2"/>
    <n v="80"/>
    <n v="1"/>
    <n v="9"/>
    <n v="3"/>
    <n v="2"/>
    <n v="1"/>
    <n v="0"/>
    <n v="0"/>
    <n v="0"/>
    <x v="3"/>
    <x v="1"/>
    <x v="2"/>
    <n v="0"/>
  </r>
  <r>
    <x v="32"/>
    <x v="1"/>
    <x v="0"/>
    <n v="630"/>
    <x v="0"/>
    <n v="4"/>
    <n v="4"/>
    <s v="Marketing"/>
    <n v="1"/>
    <n v="215"/>
    <n v="3"/>
    <x v="1"/>
    <n v="67"/>
    <n v="2"/>
    <x v="2"/>
    <x v="0"/>
    <n v="4"/>
    <x v="1"/>
    <n v="10855"/>
    <n v="8552"/>
    <n v="7"/>
    <s v="Y"/>
    <x v="1"/>
    <n v="11"/>
    <n v="3"/>
    <n v="1"/>
    <n v="80"/>
    <n v="1"/>
    <n v="15"/>
    <n v="2"/>
    <n v="2"/>
    <n v="12"/>
    <n v="11"/>
    <n v="2"/>
    <n v="11"/>
    <x v="0"/>
    <x v="3"/>
    <x v="3"/>
    <n v="0"/>
  </r>
  <r>
    <x v="13"/>
    <x v="1"/>
    <x v="1"/>
    <n v="303"/>
    <x v="0"/>
    <n v="2"/>
    <n v="4"/>
    <s v="Marketing"/>
    <n v="1"/>
    <n v="216"/>
    <n v="3"/>
    <x v="0"/>
    <n v="75"/>
    <n v="3"/>
    <x v="1"/>
    <x v="6"/>
    <n v="3"/>
    <x v="1"/>
    <n v="2231"/>
    <n v="11314"/>
    <n v="6"/>
    <s v="Y"/>
    <x v="1"/>
    <n v="18"/>
    <n v="3"/>
    <n v="4"/>
    <n v="80"/>
    <n v="1"/>
    <n v="6"/>
    <n v="3"/>
    <n v="3"/>
    <n v="4"/>
    <n v="3"/>
    <n v="1"/>
    <n v="2"/>
    <x v="2"/>
    <x v="2"/>
    <x v="1"/>
    <n v="0"/>
  </r>
  <r>
    <x v="15"/>
    <x v="1"/>
    <x v="0"/>
    <n v="1256"/>
    <x v="1"/>
    <n v="19"/>
    <n v="1"/>
    <s v="Medical"/>
    <n v="1"/>
    <n v="217"/>
    <n v="3"/>
    <x v="1"/>
    <n v="80"/>
    <n v="3"/>
    <x v="1"/>
    <x v="1"/>
    <n v="4"/>
    <x v="1"/>
    <n v="2323"/>
    <n v="11992"/>
    <n v="1"/>
    <s v="Y"/>
    <x v="1"/>
    <n v="24"/>
    <n v="4"/>
    <n v="1"/>
    <n v="80"/>
    <n v="2"/>
    <n v="2"/>
    <n v="6"/>
    <n v="3"/>
    <n v="2"/>
    <n v="2"/>
    <n v="2"/>
    <n v="2"/>
    <x v="4"/>
    <x v="1"/>
    <x v="1"/>
    <n v="0"/>
  </r>
  <r>
    <x v="4"/>
    <x v="1"/>
    <x v="2"/>
    <n v="691"/>
    <x v="1"/>
    <n v="9"/>
    <n v="3"/>
    <s v="Medical"/>
    <n v="1"/>
    <n v="218"/>
    <n v="4"/>
    <x v="1"/>
    <n v="57"/>
    <n v="3"/>
    <x v="1"/>
    <x v="1"/>
    <n v="2"/>
    <x v="2"/>
    <n v="2024"/>
    <n v="5970"/>
    <n v="6"/>
    <s v="Y"/>
    <x v="1"/>
    <n v="18"/>
    <n v="3"/>
    <n v="4"/>
    <n v="80"/>
    <n v="1"/>
    <n v="6"/>
    <n v="1"/>
    <n v="1"/>
    <n v="2"/>
    <n v="2"/>
    <n v="2"/>
    <n v="2"/>
    <x v="2"/>
    <x v="1"/>
    <x v="1"/>
    <n v="0"/>
  </r>
  <r>
    <x v="14"/>
    <x v="1"/>
    <x v="0"/>
    <n v="440"/>
    <x v="1"/>
    <n v="21"/>
    <n v="3"/>
    <s v="Medical"/>
    <n v="1"/>
    <n v="221"/>
    <n v="3"/>
    <x v="1"/>
    <n v="42"/>
    <n v="3"/>
    <x v="1"/>
    <x v="1"/>
    <n v="4"/>
    <x v="1"/>
    <n v="2713"/>
    <n v="6672"/>
    <n v="1"/>
    <s v="Y"/>
    <x v="1"/>
    <n v="11"/>
    <n v="3"/>
    <n v="3"/>
    <n v="80"/>
    <n v="1"/>
    <n v="5"/>
    <n v="2"/>
    <n v="1"/>
    <n v="5"/>
    <n v="2"/>
    <n v="0"/>
    <n v="2"/>
    <x v="2"/>
    <x v="2"/>
    <x v="1"/>
    <n v="0"/>
  </r>
  <r>
    <x v="38"/>
    <x v="1"/>
    <x v="0"/>
    <n v="334"/>
    <x v="1"/>
    <n v="24"/>
    <n v="2"/>
    <s v="Life Sciences"/>
    <n v="1"/>
    <n v="223"/>
    <n v="3"/>
    <x v="1"/>
    <n v="83"/>
    <n v="4"/>
    <x v="2"/>
    <x v="4"/>
    <n v="4"/>
    <x v="2"/>
    <n v="9439"/>
    <n v="23402"/>
    <n v="3"/>
    <s v="Y"/>
    <x v="0"/>
    <n v="16"/>
    <n v="3"/>
    <n v="2"/>
    <n v="80"/>
    <n v="1"/>
    <n v="12"/>
    <n v="2"/>
    <n v="1"/>
    <n v="5"/>
    <n v="3"/>
    <n v="1"/>
    <n v="4"/>
    <x v="3"/>
    <x v="2"/>
    <x v="3"/>
    <n v="0"/>
  </r>
  <r>
    <x v="4"/>
    <x v="1"/>
    <x v="2"/>
    <n v="1450"/>
    <x v="1"/>
    <n v="3"/>
    <n v="3"/>
    <s v="Medical"/>
    <n v="1"/>
    <n v="224"/>
    <n v="3"/>
    <x v="1"/>
    <n v="79"/>
    <n v="2"/>
    <x v="1"/>
    <x v="1"/>
    <n v="3"/>
    <x v="2"/>
    <n v="2566"/>
    <n v="25326"/>
    <n v="1"/>
    <s v="Y"/>
    <x v="0"/>
    <n v="15"/>
    <n v="3"/>
    <n v="4"/>
    <n v="80"/>
    <n v="1"/>
    <n v="1"/>
    <n v="2"/>
    <n v="2"/>
    <n v="1"/>
    <n v="1"/>
    <n v="0"/>
    <n v="1"/>
    <x v="2"/>
    <x v="1"/>
    <x v="1"/>
    <n v="0"/>
  </r>
  <r>
    <x v="24"/>
    <x v="1"/>
    <x v="0"/>
    <n v="1452"/>
    <x v="1"/>
    <n v="11"/>
    <n v="3"/>
    <s v="Life Sciences"/>
    <n v="1"/>
    <n v="226"/>
    <n v="3"/>
    <x v="0"/>
    <n v="53"/>
    <n v="3"/>
    <x v="4"/>
    <x v="5"/>
    <n v="2"/>
    <x v="0"/>
    <n v="19926"/>
    <n v="17053"/>
    <n v="3"/>
    <s v="Y"/>
    <x v="1"/>
    <n v="15"/>
    <n v="3"/>
    <n v="2"/>
    <n v="80"/>
    <n v="0"/>
    <n v="21"/>
    <n v="5"/>
    <n v="3"/>
    <n v="5"/>
    <n v="4"/>
    <n v="4"/>
    <n v="4"/>
    <x v="1"/>
    <x v="2"/>
    <x v="3"/>
    <n v="0"/>
  </r>
  <r>
    <x v="0"/>
    <x v="1"/>
    <x v="0"/>
    <n v="465"/>
    <x v="1"/>
    <n v="14"/>
    <n v="3"/>
    <s v="Life Sciences"/>
    <n v="1"/>
    <n v="227"/>
    <n v="1"/>
    <x v="1"/>
    <n v="56"/>
    <n v="3"/>
    <x v="1"/>
    <x v="1"/>
    <n v="3"/>
    <x v="2"/>
    <n v="2451"/>
    <n v="4609"/>
    <n v="4"/>
    <s v="Y"/>
    <x v="1"/>
    <n v="12"/>
    <n v="3"/>
    <n v="1"/>
    <n v="80"/>
    <n v="1"/>
    <n v="13"/>
    <n v="2"/>
    <n v="3"/>
    <n v="9"/>
    <n v="8"/>
    <n v="1"/>
    <n v="8"/>
    <x v="0"/>
    <x v="0"/>
    <x v="1"/>
    <n v="0"/>
  </r>
  <r>
    <x v="7"/>
    <x v="1"/>
    <x v="0"/>
    <n v="1339"/>
    <x v="0"/>
    <n v="5"/>
    <n v="3"/>
    <s v="Life Sciences"/>
    <n v="1"/>
    <n v="228"/>
    <n v="2"/>
    <x v="0"/>
    <n v="41"/>
    <n v="3"/>
    <x v="2"/>
    <x v="0"/>
    <n v="4"/>
    <x v="1"/>
    <n v="9419"/>
    <n v="8053"/>
    <n v="2"/>
    <s v="Y"/>
    <x v="1"/>
    <n v="12"/>
    <n v="3"/>
    <n v="3"/>
    <n v="80"/>
    <n v="1"/>
    <n v="12"/>
    <n v="2"/>
    <n v="3"/>
    <n v="10"/>
    <n v="9"/>
    <n v="7"/>
    <n v="4"/>
    <x v="2"/>
    <x v="0"/>
    <x v="3"/>
    <n v="0"/>
  </r>
  <r>
    <x v="8"/>
    <x v="1"/>
    <x v="0"/>
    <n v="702"/>
    <x v="0"/>
    <n v="1"/>
    <n v="4"/>
    <s v="Life Sciences"/>
    <n v="1"/>
    <n v="230"/>
    <n v="1"/>
    <x v="0"/>
    <n v="59"/>
    <n v="2"/>
    <x v="0"/>
    <x v="0"/>
    <n v="4"/>
    <x v="0"/>
    <n v="8686"/>
    <n v="12930"/>
    <n v="4"/>
    <s v="Y"/>
    <x v="1"/>
    <n v="22"/>
    <n v="4"/>
    <n v="3"/>
    <n v="80"/>
    <n v="0"/>
    <n v="12"/>
    <n v="2"/>
    <n v="4"/>
    <n v="8"/>
    <n v="3"/>
    <n v="0"/>
    <n v="7"/>
    <x v="0"/>
    <x v="0"/>
    <x v="3"/>
    <n v="0"/>
  </r>
  <r>
    <x v="5"/>
    <x v="1"/>
    <x v="0"/>
    <n v="120"/>
    <x v="1"/>
    <n v="6"/>
    <n v="5"/>
    <s v="Life Sciences"/>
    <n v="1"/>
    <n v="231"/>
    <n v="3"/>
    <x v="1"/>
    <n v="43"/>
    <n v="3"/>
    <x v="1"/>
    <x v="1"/>
    <n v="3"/>
    <x v="0"/>
    <n v="3038"/>
    <n v="12430"/>
    <n v="3"/>
    <s v="Y"/>
    <x v="1"/>
    <n v="20"/>
    <n v="4"/>
    <n v="1"/>
    <n v="80"/>
    <n v="0"/>
    <n v="8"/>
    <n v="2"/>
    <n v="3"/>
    <n v="5"/>
    <n v="4"/>
    <n v="1"/>
    <n v="4"/>
    <x v="2"/>
    <x v="2"/>
    <x v="2"/>
    <n v="0"/>
  </r>
  <r>
    <x v="4"/>
    <x v="1"/>
    <x v="0"/>
    <n v="1157"/>
    <x v="1"/>
    <n v="17"/>
    <n v="3"/>
    <s v="Technical Degree"/>
    <n v="1"/>
    <n v="233"/>
    <n v="3"/>
    <x v="1"/>
    <n v="51"/>
    <n v="3"/>
    <x v="1"/>
    <x v="1"/>
    <n v="2"/>
    <x v="1"/>
    <n v="3058"/>
    <n v="13364"/>
    <n v="0"/>
    <s v="Y"/>
    <x v="0"/>
    <n v="16"/>
    <n v="3"/>
    <n v="4"/>
    <n v="80"/>
    <n v="1"/>
    <n v="6"/>
    <n v="3"/>
    <n v="2"/>
    <n v="5"/>
    <n v="2"/>
    <n v="1"/>
    <n v="1"/>
    <x v="2"/>
    <x v="2"/>
    <x v="2"/>
    <n v="0"/>
  </r>
  <r>
    <x v="37"/>
    <x v="0"/>
    <x v="1"/>
    <n v="602"/>
    <x v="0"/>
    <n v="1"/>
    <n v="1"/>
    <s v="Technical Degree"/>
    <n v="1"/>
    <n v="235"/>
    <n v="3"/>
    <x v="0"/>
    <n v="100"/>
    <n v="1"/>
    <x v="1"/>
    <x v="6"/>
    <n v="1"/>
    <x v="0"/>
    <n v="2325"/>
    <n v="20989"/>
    <n v="0"/>
    <s v="Y"/>
    <x v="1"/>
    <n v="21"/>
    <n v="4"/>
    <n v="1"/>
    <n v="80"/>
    <n v="0"/>
    <n v="1"/>
    <n v="5"/>
    <n v="4"/>
    <n v="0"/>
    <n v="0"/>
    <n v="0"/>
    <n v="0"/>
    <x v="4"/>
    <x v="1"/>
    <x v="1"/>
    <n v="1"/>
  </r>
  <r>
    <x v="9"/>
    <x v="1"/>
    <x v="1"/>
    <n v="1480"/>
    <x v="1"/>
    <n v="3"/>
    <n v="2"/>
    <s v="Medical"/>
    <n v="1"/>
    <n v="238"/>
    <n v="4"/>
    <x v="1"/>
    <n v="30"/>
    <n v="3"/>
    <x v="1"/>
    <x v="2"/>
    <n v="2"/>
    <x v="0"/>
    <n v="2088"/>
    <n v="15062"/>
    <n v="4"/>
    <s v="Y"/>
    <x v="1"/>
    <n v="12"/>
    <n v="3"/>
    <n v="3"/>
    <n v="80"/>
    <n v="0"/>
    <n v="13"/>
    <n v="3"/>
    <n v="2"/>
    <n v="8"/>
    <n v="7"/>
    <n v="7"/>
    <n v="2"/>
    <x v="0"/>
    <x v="0"/>
    <x v="1"/>
    <n v="0"/>
  </r>
  <r>
    <x v="7"/>
    <x v="1"/>
    <x v="2"/>
    <n v="111"/>
    <x v="1"/>
    <n v="9"/>
    <n v="3"/>
    <s v="Medical"/>
    <n v="1"/>
    <n v="239"/>
    <n v="3"/>
    <x v="1"/>
    <n v="66"/>
    <n v="3"/>
    <x v="0"/>
    <x v="2"/>
    <n v="1"/>
    <x v="2"/>
    <n v="3072"/>
    <n v="11012"/>
    <n v="1"/>
    <s v="Y"/>
    <x v="1"/>
    <n v="11"/>
    <n v="3"/>
    <n v="3"/>
    <n v="80"/>
    <n v="2"/>
    <n v="12"/>
    <n v="4"/>
    <n v="3"/>
    <n v="12"/>
    <n v="9"/>
    <n v="6"/>
    <n v="10"/>
    <x v="2"/>
    <x v="3"/>
    <x v="2"/>
    <n v="0"/>
  </r>
  <r>
    <x v="28"/>
    <x v="1"/>
    <x v="0"/>
    <n v="1268"/>
    <x v="0"/>
    <n v="4"/>
    <n v="2"/>
    <s v="Life Sciences"/>
    <n v="1"/>
    <n v="240"/>
    <n v="3"/>
    <x v="0"/>
    <n v="30"/>
    <n v="3"/>
    <x v="0"/>
    <x v="0"/>
    <n v="1"/>
    <x v="2"/>
    <n v="5006"/>
    <n v="6319"/>
    <n v="4"/>
    <s v="Y"/>
    <x v="0"/>
    <n v="11"/>
    <n v="3"/>
    <n v="1"/>
    <n v="80"/>
    <n v="1"/>
    <n v="9"/>
    <n v="3"/>
    <n v="4"/>
    <n v="5"/>
    <n v="4"/>
    <n v="0"/>
    <n v="3"/>
    <x v="1"/>
    <x v="2"/>
    <x v="0"/>
    <n v="0"/>
  </r>
  <r>
    <x v="29"/>
    <x v="1"/>
    <x v="0"/>
    <n v="713"/>
    <x v="1"/>
    <n v="8"/>
    <n v="3"/>
    <s v="Life Sciences"/>
    <n v="1"/>
    <n v="241"/>
    <n v="3"/>
    <x v="0"/>
    <n v="67"/>
    <n v="3"/>
    <x v="1"/>
    <x v="1"/>
    <n v="1"/>
    <x v="2"/>
    <n v="4257"/>
    <n v="13939"/>
    <n v="4"/>
    <s v="Y"/>
    <x v="0"/>
    <n v="18"/>
    <n v="3"/>
    <n v="3"/>
    <n v="80"/>
    <n v="1"/>
    <n v="19"/>
    <n v="3"/>
    <n v="3"/>
    <n v="2"/>
    <n v="2"/>
    <n v="2"/>
    <n v="2"/>
    <x v="3"/>
    <x v="1"/>
    <x v="2"/>
    <n v="0"/>
  </r>
  <r>
    <x v="3"/>
    <x v="1"/>
    <x v="0"/>
    <n v="134"/>
    <x v="1"/>
    <n v="2"/>
    <n v="3"/>
    <s v="Life Sciences"/>
    <n v="1"/>
    <n v="242"/>
    <n v="3"/>
    <x v="1"/>
    <n v="90"/>
    <n v="3"/>
    <x v="1"/>
    <x v="1"/>
    <n v="4"/>
    <x v="0"/>
    <n v="2500"/>
    <n v="10515"/>
    <n v="0"/>
    <s v="Y"/>
    <x v="1"/>
    <n v="14"/>
    <n v="3"/>
    <n v="1"/>
    <n v="80"/>
    <n v="0"/>
    <n v="4"/>
    <n v="2"/>
    <n v="4"/>
    <n v="3"/>
    <n v="1"/>
    <n v="0"/>
    <n v="2"/>
    <x v="2"/>
    <x v="2"/>
    <x v="1"/>
    <n v="0"/>
  </r>
  <r>
    <x v="37"/>
    <x v="0"/>
    <x v="0"/>
    <n v="303"/>
    <x v="1"/>
    <n v="2"/>
    <n v="3"/>
    <s v="Life Sciences"/>
    <n v="1"/>
    <n v="243"/>
    <n v="2"/>
    <x v="1"/>
    <n v="47"/>
    <n v="2"/>
    <x v="1"/>
    <x v="2"/>
    <n v="4"/>
    <x v="0"/>
    <n v="1102"/>
    <n v="9241"/>
    <n v="1"/>
    <s v="Y"/>
    <x v="1"/>
    <n v="22"/>
    <n v="4"/>
    <n v="3"/>
    <n v="80"/>
    <n v="0"/>
    <n v="1"/>
    <n v="3"/>
    <n v="2"/>
    <n v="1"/>
    <n v="0"/>
    <n v="1"/>
    <n v="0"/>
    <x v="4"/>
    <x v="1"/>
    <x v="1"/>
    <n v="1"/>
  </r>
  <r>
    <x v="21"/>
    <x v="1"/>
    <x v="0"/>
    <n v="526"/>
    <x v="0"/>
    <n v="1"/>
    <n v="2"/>
    <s v="Marketing"/>
    <n v="1"/>
    <n v="244"/>
    <n v="2"/>
    <x v="0"/>
    <n v="92"/>
    <n v="3"/>
    <x v="2"/>
    <x v="0"/>
    <n v="1"/>
    <x v="2"/>
    <n v="10453"/>
    <n v="2137"/>
    <n v="1"/>
    <s v="Y"/>
    <x v="1"/>
    <n v="25"/>
    <n v="4"/>
    <n v="3"/>
    <n v="80"/>
    <n v="3"/>
    <n v="24"/>
    <n v="2"/>
    <n v="3"/>
    <n v="24"/>
    <n v="13"/>
    <n v="15"/>
    <n v="7"/>
    <x v="1"/>
    <x v="3"/>
    <x v="3"/>
    <n v="0"/>
  </r>
  <r>
    <x v="8"/>
    <x v="1"/>
    <x v="0"/>
    <n v="1380"/>
    <x v="1"/>
    <n v="9"/>
    <n v="2"/>
    <s v="Life Sciences"/>
    <n v="1"/>
    <n v="245"/>
    <n v="3"/>
    <x v="0"/>
    <n v="75"/>
    <n v="3"/>
    <x v="1"/>
    <x v="2"/>
    <n v="4"/>
    <x v="0"/>
    <n v="2288"/>
    <n v="6319"/>
    <n v="1"/>
    <s v="Y"/>
    <x v="1"/>
    <n v="12"/>
    <n v="3"/>
    <n v="3"/>
    <n v="80"/>
    <n v="0"/>
    <n v="2"/>
    <n v="3"/>
    <n v="3"/>
    <n v="2"/>
    <n v="2"/>
    <n v="2"/>
    <n v="1"/>
    <x v="0"/>
    <x v="1"/>
    <x v="1"/>
    <n v="0"/>
  </r>
  <r>
    <x v="12"/>
    <x v="1"/>
    <x v="0"/>
    <n v="140"/>
    <x v="1"/>
    <n v="12"/>
    <n v="1"/>
    <s v="Medical"/>
    <n v="1"/>
    <n v="246"/>
    <n v="3"/>
    <x v="0"/>
    <n v="95"/>
    <n v="3"/>
    <x v="1"/>
    <x v="1"/>
    <n v="4"/>
    <x v="1"/>
    <n v="3929"/>
    <n v="6984"/>
    <n v="8"/>
    <s v="Y"/>
    <x v="0"/>
    <n v="23"/>
    <n v="4"/>
    <n v="3"/>
    <n v="80"/>
    <n v="1"/>
    <n v="7"/>
    <n v="0"/>
    <n v="3"/>
    <n v="4"/>
    <n v="2"/>
    <n v="0"/>
    <n v="2"/>
    <x v="2"/>
    <x v="2"/>
    <x v="2"/>
    <n v="0"/>
  </r>
  <r>
    <x v="13"/>
    <x v="1"/>
    <x v="0"/>
    <n v="629"/>
    <x v="1"/>
    <n v="27"/>
    <n v="2"/>
    <s v="Medical"/>
    <n v="1"/>
    <n v="247"/>
    <n v="4"/>
    <x v="0"/>
    <n v="95"/>
    <n v="3"/>
    <x v="1"/>
    <x v="1"/>
    <n v="2"/>
    <x v="0"/>
    <n v="2311"/>
    <n v="5711"/>
    <n v="2"/>
    <s v="Y"/>
    <x v="1"/>
    <n v="15"/>
    <n v="3"/>
    <n v="4"/>
    <n v="80"/>
    <n v="0"/>
    <n v="9"/>
    <n v="3"/>
    <n v="3"/>
    <n v="3"/>
    <n v="2"/>
    <n v="1"/>
    <n v="2"/>
    <x v="2"/>
    <x v="2"/>
    <x v="1"/>
    <n v="0"/>
  </r>
  <r>
    <x v="0"/>
    <x v="0"/>
    <x v="0"/>
    <n v="1356"/>
    <x v="0"/>
    <n v="20"/>
    <n v="2"/>
    <s v="Marketing"/>
    <n v="1"/>
    <n v="248"/>
    <n v="2"/>
    <x v="0"/>
    <n v="70"/>
    <n v="3"/>
    <x v="1"/>
    <x v="6"/>
    <n v="2"/>
    <x v="0"/>
    <n v="3140"/>
    <n v="21728"/>
    <n v="1"/>
    <s v="Y"/>
    <x v="0"/>
    <n v="22"/>
    <n v="4"/>
    <n v="4"/>
    <n v="80"/>
    <n v="0"/>
    <n v="4"/>
    <n v="5"/>
    <n v="2"/>
    <n v="4"/>
    <n v="3"/>
    <n v="0"/>
    <n v="2"/>
    <x v="0"/>
    <x v="2"/>
    <x v="2"/>
    <n v="1"/>
  </r>
  <r>
    <x v="24"/>
    <x v="1"/>
    <x v="0"/>
    <n v="328"/>
    <x v="1"/>
    <n v="1"/>
    <n v="3"/>
    <s v="Medical"/>
    <n v="1"/>
    <n v="249"/>
    <n v="3"/>
    <x v="1"/>
    <n v="86"/>
    <n v="2"/>
    <x v="1"/>
    <x v="2"/>
    <n v="3"/>
    <x v="1"/>
    <n v="3690"/>
    <n v="3425"/>
    <n v="2"/>
    <s v="Y"/>
    <x v="1"/>
    <n v="15"/>
    <n v="3"/>
    <n v="4"/>
    <n v="80"/>
    <n v="1"/>
    <n v="5"/>
    <n v="2"/>
    <n v="2"/>
    <n v="3"/>
    <n v="2"/>
    <n v="0"/>
    <n v="2"/>
    <x v="1"/>
    <x v="2"/>
    <x v="2"/>
    <n v="0"/>
  </r>
  <r>
    <x v="16"/>
    <x v="1"/>
    <x v="0"/>
    <n v="1084"/>
    <x v="1"/>
    <n v="13"/>
    <n v="2"/>
    <s v="Medical"/>
    <n v="1"/>
    <n v="250"/>
    <n v="4"/>
    <x v="0"/>
    <n v="57"/>
    <n v="4"/>
    <x v="0"/>
    <x v="3"/>
    <n v="1"/>
    <x v="2"/>
    <n v="4450"/>
    <n v="26250"/>
    <n v="1"/>
    <s v="Y"/>
    <x v="1"/>
    <n v="11"/>
    <n v="3"/>
    <n v="3"/>
    <n v="80"/>
    <n v="2"/>
    <n v="5"/>
    <n v="3"/>
    <n v="3"/>
    <n v="4"/>
    <n v="2"/>
    <n v="1"/>
    <n v="3"/>
    <x v="1"/>
    <x v="2"/>
    <x v="2"/>
    <n v="0"/>
  </r>
  <r>
    <x v="3"/>
    <x v="1"/>
    <x v="0"/>
    <n v="931"/>
    <x v="1"/>
    <n v="14"/>
    <n v="3"/>
    <s v="Medical"/>
    <n v="1"/>
    <n v="252"/>
    <n v="4"/>
    <x v="0"/>
    <n v="72"/>
    <n v="3"/>
    <x v="1"/>
    <x v="1"/>
    <n v="2"/>
    <x v="1"/>
    <n v="2756"/>
    <n v="4673"/>
    <n v="1"/>
    <s v="Y"/>
    <x v="1"/>
    <n v="13"/>
    <n v="3"/>
    <n v="4"/>
    <n v="80"/>
    <n v="1"/>
    <n v="8"/>
    <n v="5"/>
    <n v="3"/>
    <n v="8"/>
    <n v="7"/>
    <n v="1"/>
    <n v="6"/>
    <x v="2"/>
    <x v="0"/>
    <x v="1"/>
    <n v="0"/>
  </r>
  <r>
    <x v="32"/>
    <x v="1"/>
    <x v="0"/>
    <n v="989"/>
    <x v="1"/>
    <n v="4"/>
    <n v="1"/>
    <s v="Medical"/>
    <n v="1"/>
    <n v="253"/>
    <n v="4"/>
    <x v="0"/>
    <n v="46"/>
    <n v="3"/>
    <x v="4"/>
    <x v="5"/>
    <n v="3"/>
    <x v="1"/>
    <n v="19033"/>
    <n v="6499"/>
    <n v="1"/>
    <s v="Y"/>
    <x v="1"/>
    <n v="14"/>
    <n v="3"/>
    <n v="2"/>
    <n v="80"/>
    <n v="1"/>
    <n v="21"/>
    <n v="2"/>
    <n v="3"/>
    <n v="20"/>
    <n v="8"/>
    <n v="9"/>
    <n v="9"/>
    <x v="0"/>
    <x v="3"/>
    <x v="3"/>
    <n v="0"/>
  </r>
  <r>
    <x v="27"/>
    <x v="1"/>
    <x v="0"/>
    <n v="692"/>
    <x v="1"/>
    <n v="14"/>
    <n v="4"/>
    <s v="Medical"/>
    <n v="1"/>
    <n v="254"/>
    <n v="3"/>
    <x v="1"/>
    <n v="61"/>
    <n v="4"/>
    <x v="4"/>
    <x v="7"/>
    <n v="2"/>
    <x v="0"/>
    <n v="18722"/>
    <n v="13339"/>
    <n v="8"/>
    <s v="Y"/>
    <x v="1"/>
    <n v="11"/>
    <n v="3"/>
    <n v="4"/>
    <n v="80"/>
    <n v="0"/>
    <n v="36"/>
    <n v="3"/>
    <n v="3"/>
    <n v="24"/>
    <n v="15"/>
    <n v="2"/>
    <n v="15"/>
    <x v="3"/>
    <x v="3"/>
    <x v="3"/>
    <n v="0"/>
  </r>
  <r>
    <x v="13"/>
    <x v="1"/>
    <x v="1"/>
    <n v="1069"/>
    <x v="1"/>
    <n v="2"/>
    <n v="1"/>
    <s v="Life Sciences"/>
    <n v="1"/>
    <n v="256"/>
    <n v="4"/>
    <x v="1"/>
    <n v="45"/>
    <n v="2"/>
    <x v="0"/>
    <x v="3"/>
    <n v="3"/>
    <x v="1"/>
    <n v="9547"/>
    <n v="14074"/>
    <n v="1"/>
    <s v="Y"/>
    <x v="1"/>
    <n v="17"/>
    <n v="3"/>
    <n v="3"/>
    <n v="80"/>
    <n v="0"/>
    <n v="10"/>
    <n v="2"/>
    <n v="2"/>
    <n v="10"/>
    <n v="9"/>
    <n v="1"/>
    <n v="9"/>
    <x v="2"/>
    <x v="0"/>
    <x v="3"/>
    <n v="0"/>
  </r>
  <r>
    <x v="31"/>
    <x v="1"/>
    <x v="0"/>
    <n v="313"/>
    <x v="1"/>
    <n v="3"/>
    <n v="3"/>
    <s v="Medical"/>
    <n v="1"/>
    <n v="258"/>
    <n v="4"/>
    <x v="0"/>
    <n v="98"/>
    <n v="3"/>
    <x v="3"/>
    <x v="4"/>
    <n v="2"/>
    <x v="0"/>
    <n v="13734"/>
    <n v="7192"/>
    <n v="3"/>
    <s v="Y"/>
    <x v="1"/>
    <n v="18"/>
    <n v="3"/>
    <n v="3"/>
    <n v="80"/>
    <n v="0"/>
    <n v="21"/>
    <n v="6"/>
    <n v="3"/>
    <n v="7"/>
    <n v="7"/>
    <n v="1"/>
    <n v="0"/>
    <x v="1"/>
    <x v="0"/>
    <x v="3"/>
    <n v="0"/>
  </r>
  <r>
    <x v="39"/>
    <x v="1"/>
    <x v="0"/>
    <n v="699"/>
    <x v="1"/>
    <n v="1"/>
    <n v="4"/>
    <s v="Life Sciences"/>
    <n v="1"/>
    <n v="259"/>
    <n v="3"/>
    <x v="1"/>
    <n v="65"/>
    <n v="2"/>
    <x v="4"/>
    <x v="5"/>
    <n v="3"/>
    <x v="1"/>
    <n v="19999"/>
    <n v="5678"/>
    <n v="0"/>
    <s v="Y"/>
    <x v="1"/>
    <n v="14"/>
    <n v="3"/>
    <n v="1"/>
    <n v="80"/>
    <n v="1"/>
    <n v="34"/>
    <n v="5"/>
    <n v="3"/>
    <n v="33"/>
    <n v="18"/>
    <n v="11"/>
    <n v="9"/>
    <x v="1"/>
    <x v="3"/>
    <x v="3"/>
    <n v="0"/>
  </r>
  <r>
    <x v="4"/>
    <x v="1"/>
    <x v="0"/>
    <n v="894"/>
    <x v="1"/>
    <n v="9"/>
    <n v="3"/>
    <s v="Medical"/>
    <n v="1"/>
    <n v="260"/>
    <n v="4"/>
    <x v="0"/>
    <n v="99"/>
    <n v="3"/>
    <x v="1"/>
    <x v="1"/>
    <n v="2"/>
    <x v="0"/>
    <n v="2279"/>
    <n v="11781"/>
    <n v="1"/>
    <s v="Y"/>
    <x v="1"/>
    <n v="16"/>
    <n v="3"/>
    <n v="4"/>
    <n v="80"/>
    <n v="0"/>
    <n v="7"/>
    <n v="2"/>
    <n v="2"/>
    <n v="7"/>
    <n v="7"/>
    <n v="0"/>
    <n v="3"/>
    <x v="2"/>
    <x v="0"/>
    <x v="1"/>
    <n v="0"/>
  </r>
  <r>
    <x v="10"/>
    <x v="0"/>
    <x v="0"/>
    <n v="556"/>
    <x v="1"/>
    <n v="23"/>
    <n v="2"/>
    <s v="Life Sciences"/>
    <n v="1"/>
    <n v="261"/>
    <n v="2"/>
    <x v="1"/>
    <n v="50"/>
    <n v="2"/>
    <x v="0"/>
    <x v="3"/>
    <n v="3"/>
    <x v="1"/>
    <n v="5916"/>
    <n v="15497"/>
    <n v="3"/>
    <s v="Y"/>
    <x v="0"/>
    <n v="13"/>
    <n v="3"/>
    <n v="1"/>
    <n v="80"/>
    <n v="0"/>
    <n v="8"/>
    <n v="1"/>
    <n v="3"/>
    <n v="1"/>
    <n v="0"/>
    <n v="0"/>
    <n v="1"/>
    <x v="0"/>
    <x v="1"/>
    <x v="0"/>
    <n v="1"/>
  </r>
  <r>
    <x v="23"/>
    <x v="1"/>
    <x v="2"/>
    <n v="1344"/>
    <x v="1"/>
    <n v="7"/>
    <n v="3"/>
    <s v="Medical"/>
    <n v="1"/>
    <n v="262"/>
    <n v="4"/>
    <x v="1"/>
    <n v="37"/>
    <n v="4"/>
    <x v="1"/>
    <x v="1"/>
    <n v="4"/>
    <x v="2"/>
    <n v="2089"/>
    <n v="5228"/>
    <n v="4"/>
    <s v="Y"/>
    <x v="1"/>
    <n v="14"/>
    <n v="3"/>
    <n v="4"/>
    <n v="80"/>
    <n v="3"/>
    <n v="7"/>
    <n v="3"/>
    <n v="4"/>
    <n v="5"/>
    <n v="4"/>
    <n v="2"/>
    <n v="2"/>
    <x v="0"/>
    <x v="2"/>
    <x v="1"/>
    <n v="0"/>
  </r>
  <r>
    <x v="28"/>
    <x v="1"/>
    <x v="2"/>
    <n v="1195"/>
    <x v="1"/>
    <n v="2"/>
    <n v="2"/>
    <s v="Medical"/>
    <n v="1"/>
    <n v="264"/>
    <n v="1"/>
    <x v="1"/>
    <n v="65"/>
    <n v="2"/>
    <x v="3"/>
    <x v="5"/>
    <n v="4"/>
    <x v="1"/>
    <n v="16792"/>
    <n v="20462"/>
    <n v="9"/>
    <s v="Y"/>
    <x v="1"/>
    <n v="23"/>
    <n v="4"/>
    <n v="4"/>
    <n v="80"/>
    <n v="1"/>
    <n v="22"/>
    <n v="1"/>
    <n v="3"/>
    <n v="20"/>
    <n v="8"/>
    <n v="11"/>
    <n v="8"/>
    <x v="1"/>
    <x v="3"/>
    <x v="3"/>
    <n v="0"/>
  </r>
  <r>
    <x v="2"/>
    <x v="1"/>
    <x v="0"/>
    <n v="290"/>
    <x v="1"/>
    <n v="21"/>
    <n v="3"/>
    <s v="Life Sciences"/>
    <n v="1"/>
    <n v="267"/>
    <n v="2"/>
    <x v="1"/>
    <n v="65"/>
    <n v="4"/>
    <x v="1"/>
    <x v="1"/>
    <n v="1"/>
    <x v="1"/>
    <n v="3564"/>
    <n v="22977"/>
    <n v="1"/>
    <s v="Y"/>
    <x v="0"/>
    <n v="12"/>
    <n v="3"/>
    <n v="1"/>
    <n v="80"/>
    <n v="1"/>
    <n v="8"/>
    <n v="3"/>
    <n v="2"/>
    <n v="8"/>
    <n v="7"/>
    <n v="1"/>
    <n v="7"/>
    <x v="0"/>
    <x v="0"/>
    <x v="2"/>
    <n v="0"/>
  </r>
  <r>
    <x v="10"/>
    <x v="1"/>
    <x v="1"/>
    <n v="138"/>
    <x v="1"/>
    <n v="2"/>
    <n v="3"/>
    <s v="Medical"/>
    <n v="1"/>
    <n v="269"/>
    <n v="2"/>
    <x v="0"/>
    <n v="37"/>
    <n v="3"/>
    <x v="0"/>
    <x v="2"/>
    <n v="2"/>
    <x v="0"/>
    <n v="4425"/>
    <n v="15986"/>
    <n v="5"/>
    <s v="Y"/>
    <x v="1"/>
    <n v="11"/>
    <n v="3"/>
    <n v="4"/>
    <n v="80"/>
    <n v="0"/>
    <n v="10"/>
    <n v="5"/>
    <n v="3"/>
    <n v="6"/>
    <n v="2"/>
    <n v="1"/>
    <n v="2"/>
    <x v="0"/>
    <x v="0"/>
    <x v="2"/>
    <n v="0"/>
  </r>
  <r>
    <x v="19"/>
    <x v="1"/>
    <x v="2"/>
    <n v="926"/>
    <x v="1"/>
    <n v="21"/>
    <n v="2"/>
    <s v="Medical"/>
    <n v="1"/>
    <n v="270"/>
    <n v="3"/>
    <x v="0"/>
    <n v="36"/>
    <n v="3"/>
    <x v="0"/>
    <x v="3"/>
    <n v="3"/>
    <x v="2"/>
    <n v="5265"/>
    <n v="16439"/>
    <n v="2"/>
    <s v="Y"/>
    <x v="1"/>
    <n v="16"/>
    <n v="3"/>
    <n v="2"/>
    <n v="80"/>
    <n v="1"/>
    <n v="11"/>
    <n v="5"/>
    <n v="3"/>
    <n v="5"/>
    <n v="3"/>
    <n v="0"/>
    <n v="2"/>
    <x v="0"/>
    <x v="2"/>
    <x v="0"/>
    <n v="0"/>
  </r>
  <r>
    <x v="8"/>
    <x v="1"/>
    <x v="0"/>
    <n v="1261"/>
    <x v="1"/>
    <n v="2"/>
    <n v="4"/>
    <s v="Life Sciences"/>
    <n v="1"/>
    <n v="271"/>
    <n v="4"/>
    <x v="1"/>
    <n v="88"/>
    <n v="3"/>
    <x v="0"/>
    <x v="3"/>
    <n v="3"/>
    <x v="1"/>
    <n v="6553"/>
    <n v="7259"/>
    <n v="9"/>
    <s v="Y"/>
    <x v="1"/>
    <n v="14"/>
    <n v="3"/>
    <n v="2"/>
    <n v="80"/>
    <n v="0"/>
    <n v="14"/>
    <n v="3"/>
    <n v="3"/>
    <n v="1"/>
    <n v="0"/>
    <n v="0"/>
    <n v="0"/>
    <x v="0"/>
    <x v="1"/>
    <x v="0"/>
    <n v="0"/>
  </r>
  <r>
    <x v="8"/>
    <x v="1"/>
    <x v="0"/>
    <n v="1084"/>
    <x v="1"/>
    <n v="29"/>
    <n v="3"/>
    <s v="Technical Degree"/>
    <n v="1"/>
    <n v="273"/>
    <n v="4"/>
    <x v="1"/>
    <n v="54"/>
    <n v="3"/>
    <x v="0"/>
    <x v="3"/>
    <n v="4"/>
    <x v="1"/>
    <n v="6261"/>
    <n v="4185"/>
    <n v="3"/>
    <s v="Y"/>
    <x v="1"/>
    <n v="18"/>
    <n v="3"/>
    <n v="1"/>
    <n v="80"/>
    <n v="1"/>
    <n v="9"/>
    <n v="3"/>
    <n v="1"/>
    <n v="7"/>
    <n v="7"/>
    <n v="1"/>
    <n v="7"/>
    <x v="0"/>
    <x v="0"/>
    <x v="0"/>
    <n v="0"/>
  </r>
  <r>
    <x v="4"/>
    <x v="1"/>
    <x v="1"/>
    <n v="472"/>
    <x v="1"/>
    <n v="1"/>
    <n v="1"/>
    <s v="Technical Degree"/>
    <n v="1"/>
    <n v="274"/>
    <n v="3"/>
    <x v="1"/>
    <n v="60"/>
    <n v="2"/>
    <x v="0"/>
    <x v="3"/>
    <n v="1"/>
    <x v="1"/>
    <n v="4298"/>
    <n v="9679"/>
    <n v="5"/>
    <s v="Y"/>
    <x v="1"/>
    <n v="19"/>
    <n v="3"/>
    <n v="3"/>
    <n v="80"/>
    <n v="1"/>
    <n v="6"/>
    <n v="1"/>
    <n v="3"/>
    <n v="2"/>
    <n v="2"/>
    <n v="2"/>
    <n v="0"/>
    <x v="2"/>
    <x v="1"/>
    <x v="2"/>
    <n v="0"/>
  </r>
  <r>
    <x v="1"/>
    <x v="1"/>
    <x v="2"/>
    <n v="1002"/>
    <x v="1"/>
    <n v="18"/>
    <n v="4"/>
    <s v="Life Sciences"/>
    <n v="1"/>
    <n v="275"/>
    <n v="4"/>
    <x v="1"/>
    <n v="92"/>
    <n v="3"/>
    <x v="0"/>
    <x v="3"/>
    <n v="4"/>
    <x v="2"/>
    <n v="6804"/>
    <n v="23793"/>
    <n v="1"/>
    <s v="Y"/>
    <x v="0"/>
    <n v="15"/>
    <n v="3"/>
    <n v="1"/>
    <n v="80"/>
    <n v="2"/>
    <n v="7"/>
    <n v="0"/>
    <n v="3"/>
    <n v="7"/>
    <n v="7"/>
    <n v="1"/>
    <n v="7"/>
    <x v="1"/>
    <x v="0"/>
    <x v="0"/>
    <n v="0"/>
  </r>
  <r>
    <x v="13"/>
    <x v="1"/>
    <x v="1"/>
    <n v="878"/>
    <x v="1"/>
    <n v="10"/>
    <n v="4"/>
    <s v="Medical"/>
    <n v="1"/>
    <n v="277"/>
    <n v="4"/>
    <x v="1"/>
    <n v="43"/>
    <n v="3"/>
    <x v="1"/>
    <x v="1"/>
    <n v="3"/>
    <x v="2"/>
    <n v="3815"/>
    <n v="5972"/>
    <n v="1"/>
    <s v="Y"/>
    <x v="0"/>
    <n v="17"/>
    <n v="3"/>
    <n v="4"/>
    <n v="80"/>
    <n v="1"/>
    <n v="5"/>
    <n v="4"/>
    <n v="4"/>
    <n v="5"/>
    <n v="3"/>
    <n v="2"/>
    <n v="0"/>
    <x v="2"/>
    <x v="2"/>
    <x v="2"/>
    <n v="0"/>
  </r>
  <r>
    <x v="32"/>
    <x v="1"/>
    <x v="0"/>
    <n v="905"/>
    <x v="1"/>
    <n v="19"/>
    <n v="2"/>
    <s v="Medical"/>
    <n v="1"/>
    <n v="281"/>
    <n v="3"/>
    <x v="1"/>
    <n v="99"/>
    <n v="3"/>
    <x v="0"/>
    <x v="2"/>
    <n v="4"/>
    <x v="1"/>
    <n v="2741"/>
    <n v="16523"/>
    <n v="8"/>
    <s v="Y"/>
    <x v="0"/>
    <n v="15"/>
    <n v="3"/>
    <n v="3"/>
    <n v="80"/>
    <n v="1"/>
    <n v="15"/>
    <n v="2"/>
    <n v="4"/>
    <n v="7"/>
    <n v="2"/>
    <n v="3"/>
    <n v="7"/>
    <x v="0"/>
    <x v="0"/>
    <x v="1"/>
    <n v="0"/>
  </r>
  <r>
    <x v="8"/>
    <x v="0"/>
    <x v="0"/>
    <n v="1180"/>
    <x v="1"/>
    <n v="29"/>
    <n v="1"/>
    <s v="Medical"/>
    <n v="1"/>
    <n v="282"/>
    <n v="2"/>
    <x v="1"/>
    <n v="70"/>
    <n v="3"/>
    <x v="0"/>
    <x v="4"/>
    <n v="1"/>
    <x v="1"/>
    <n v="6673"/>
    <n v="11354"/>
    <n v="7"/>
    <s v="Y"/>
    <x v="0"/>
    <n v="19"/>
    <n v="3"/>
    <n v="2"/>
    <n v="80"/>
    <n v="0"/>
    <n v="17"/>
    <n v="2"/>
    <n v="3"/>
    <n v="1"/>
    <n v="0"/>
    <n v="0"/>
    <n v="0"/>
    <x v="0"/>
    <x v="1"/>
    <x v="0"/>
    <n v="1"/>
  </r>
  <r>
    <x v="11"/>
    <x v="0"/>
    <x v="0"/>
    <n v="121"/>
    <x v="0"/>
    <n v="27"/>
    <n v="3"/>
    <s v="Marketing"/>
    <n v="1"/>
    <n v="283"/>
    <n v="2"/>
    <x v="0"/>
    <n v="35"/>
    <n v="3"/>
    <x v="2"/>
    <x v="0"/>
    <n v="4"/>
    <x v="1"/>
    <n v="7639"/>
    <n v="24525"/>
    <n v="1"/>
    <s v="Y"/>
    <x v="1"/>
    <n v="22"/>
    <n v="4"/>
    <n v="4"/>
    <n v="80"/>
    <n v="3"/>
    <n v="10"/>
    <n v="3"/>
    <n v="2"/>
    <n v="10"/>
    <n v="4"/>
    <n v="1"/>
    <n v="9"/>
    <x v="2"/>
    <x v="0"/>
    <x v="0"/>
    <n v="1"/>
  </r>
  <r>
    <x v="15"/>
    <x v="1"/>
    <x v="0"/>
    <n v="1136"/>
    <x v="1"/>
    <n v="5"/>
    <n v="3"/>
    <s v="Life Sciences"/>
    <n v="1"/>
    <n v="284"/>
    <n v="4"/>
    <x v="1"/>
    <n v="60"/>
    <n v="4"/>
    <x v="1"/>
    <x v="1"/>
    <n v="2"/>
    <x v="2"/>
    <n v="2328"/>
    <n v="12392"/>
    <n v="1"/>
    <s v="Y"/>
    <x v="0"/>
    <n v="16"/>
    <n v="3"/>
    <n v="1"/>
    <n v="80"/>
    <n v="1"/>
    <n v="4"/>
    <n v="2"/>
    <n v="2"/>
    <n v="4"/>
    <n v="2"/>
    <n v="2"/>
    <n v="2"/>
    <x v="4"/>
    <x v="2"/>
    <x v="1"/>
    <n v="0"/>
  </r>
  <r>
    <x v="9"/>
    <x v="1"/>
    <x v="1"/>
    <n v="635"/>
    <x v="1"/>
    <n v="18"/>
    <n v="1"/>
    <s v="Medical"/>
    <n v="1"/>
    <n v="286"/>
    <n v="2"/>
    <x v="0"/>
    <n v="73"/>
    <n v="3"/>
    <x v="1"/>
    <x v="2"/>
    <n v="4"/>
    <x v="0"/>
    <n v="2153"/>
    <n v="7703"/>
    <n v="1"/>
    <s v="Y"/>
    <x v="1"/>
    <n v="13"/>
    <n v="3"/>
    <n v="1"/>
    <n v="80"/>
    <n v="0"/>
    <n v="8"/>
    <n v="2"/>
    <n v="3"/>
    <n v="8"/>
    <n v="1"/>
    <n v="1"/>
    <n v="7"/>
    <x v="0"/>
    <x v="0"/>
    <x v="1"/>
    <n v="0"/>
  </r>
  <r>
    <x v="32"/>
    <x v="1"/>
    <x v="2"/>
    <n v="1151"/>
    <x v="1"/>
    <n v="9"/>
    <n v="5"/>
    <s v="Life Sciences"/>
    <n v="1"/>
    <n v="287"/>
    <n v="4"/>
    <x v="1"/>
    <n v="63"/>
    <n v="2"/>
    <x v="0"/>
    <x v="4"/>
    <n v="4"/>
    <x v="1"/>
    <n v="4876"/>
    <n v="14242"/>
    <n v="9"/>
    <s v="Y"/>
    <x v="1"/>
    <n v="14"/>
    <n v="3"/>
    <n v="4"/>
    <n v="80"/>
    <n v="1"/>
    <n v="5"/>
    <n v="5"/>
    <n v="1"/>
    <n v="3"/>
    <n v="2"/>
    <n v="0"/>
    <n v="2"/>
    <x v="0"/>
    <x v="2"/>
    <x v="2"/>
    <n v="0"/>
  </r>
  <r>
    <x v="21"/>
    <x v="1"/>
    <x v="0"/>
    <n v="644"/>
    <x v="1"/>
    <n v="1"/>
    <n v="4"/>
    <s v="Medical"/>
    <n v="1"/>
    <n v="288"/>
    <n v="4"/>
    <x v="1"/>
    <n v="97"/>
    <n v="3"/>
    <x v="2"/>
    <x v="4"/>
    <n v="1"/>
    <x v="2"/>
    <n v="9396"/>
    <n v="12368"/>
    <n v="7"/>
    <s v="Y"/>
    <x v="1"/>
    <n v="16"/>
    <n v="3"/>
    <n v="3"/>
    <n v="80"/>
    <n v="1"/>
    <n v="17"/>
    <n v="3"/>
    <n v="3"/>
    <n v="4"/>
    <n v="2"/>
    <n v="0"/>
    <n v="3"/>
    <x v="1"/>
    <x v="2"/>
    <x v="3"/>
    <n v="0"/>
  </r>
  <r>
    <x v="5"/>
    <x v="0"/>
    <x v="0"/>
    <n v="1045"/>
    <x v="0"/>
    <n v="4"/>
    <n v="4"/>
    <s v="Medical"/>
    <n v="1"/>
    <n v="291"/>
    <n v="4"/>
    <x v="1"/>
    <n v="32"/>
    <n v="1"/>
    <x v="2"/>
    <x v="0"/>
    <n v="4"/>
    <x v="1"/>
    <n v="10400"/>
    <n v="25812"/>
    <n v="1"/>
    <s v="Y"/>
    <x v="1"/>
    <n v="11"/>
    <n v="3"/>
    <n v="3"/>
    <n v="80"/>
    <n v="0"/>
    <n v="14"/>
    <n v="2"/>
    <n v="2"/>
    <n v="14"/>
    <n v="8"/>
    <n v="9"/>
    <n v="8"/>
    <x v="2"/>
    <x v="3"/>
    <x v="3"/>
    <n v="1"/>
  </r>
  <r>
    <x v="7"/>
    <x v="1"/>
    <x v="2"/>
    <n v="829"/>
    <x v="1"/>
    <n v="1"/>
    <n v="1"/>
    <s v="Life Sciences"/>
    <n v="1"/>
    <n v="292"/>
    <n v="3"/>
    <x v="1"/>
    <n v="88"/>
    <n v="2"/>
    <x v="2"/>
    <x v="3"/>
    <n v="3"/>
    <x v="0"/>
    <n v="8474"/>
    <n v="20925"/>
    <n v="1"/>
    <s v="Y"/>
    <x v="1"/>
    <n v="22"/>
    <n v="4"/>
    <n v="3"/>
    <n v="80"/>
    <n v="0"/>
    <n v="12"/>
    <n v="2"/>
    <n v="3"/>
    <n v="11"/>
    <n v="8"/>
    <n v="5"/>
    <n v="8"/>
    <x v="2"/>
    <x v="3"/>
    <x v="3"/>
    <n v="0"/>
  </r>
  <r>
    <x v="4"/>
    <x v="1"/>
    <x v="1"/>
    <n v="1242"/>
    <x v="0"/>
    <n v="20"/>
    <n v="3"/>
    <s v="Life Sciences"/>
    <n v="1"/>
    <n v="293"/>
    <n v="4"/>
    <x v="0"/>
    <n v="90"/>
    <n v="3"/>
    <x v="0"/>
    <x v="0"/>
    <n v="3"/>
    <x v="0"/>
    <n v="9981"/>
    <n v="12916"/>
    <n v="1"/>
    <s v="Y"/>
    <x v="1"/>
    <n v="14"/>
    <n v="3"/>
    <n v="4"/>
    <n v="80"/>
    <n v="0"/>
    <n v="7"/>
    <n v="2"/>
    <n v="3"/>
    <n v="7"/>
    <n v="7"/>
    <n v="0"/>
    <n v="7"/>
    <x v="2"/>
    <x v="0"/>
    <x v="3"/>
    <n v="0"/>
  </r>
  <r>
    <x v="31"/>
    <x v="1"/>
    <x v="0"/>
    <n v="1469"/>
    <x v="1"/>
    <n v="8"/>
    <n v="4"/>
    <s v="Life Sciences"/>
    <n v="1"/>
    <n v="296"/>
    <n v="2"/>
    <x v="1"/>
    <n v="81"/>
    <n v="2"/>
    <x v="2"/>
    <x v="7"/>
    <n v="2"/>
    <x v="1"/>
    <n v="12490"/>
    <n v="15736"/>
    <n v="5"/>
    <s v="Y"/>
    <x v="1"/>
    <n v="16"/>
    <n v="3"/>
    <n v="4"/>
    <n v="80"/>
    <n v="2"/>
    <n v="16"/>
    <n v="5"/>
    <n v="1"/>
    <n v="10"/>
    <n v="9"/>
    <n v="4"/>
    <n v="7"/>
    <x v="1"/>
    <x v="0"/>
    <x v="3"/>
    <n v="0"/>
  </r>
  <r>
    <x v="7"/>
    <x v="0"/>
    <x v="0"/>
    <n v="1005"/>
    <x v="1"/>
    <n v="3"/>
    <n v="3"/>
    <s v="Technical Degree"/>
    <n v="1"/>
    <n v="297"/>
    <n v="4"/>
    <x v="0"/>
    <n v="88"/>
    <n v="3"/>
    <x v="1"/>
    <x v="1"/>
    <n v="1"/>
    <x v="0"/>
    <n v="2657"/>
    <n v="8556"/>
    <n v="5"/>
    <s v="Y"/>
    <x v="0"/>
    <n v="11"/>
    <n v="3"/>
    <n v="3"/>
    <n v="80"/>
    <n v="0"/>
    <n v="8"/>
    <n v="5"/>
    <n v="3"/>
    <n v="5"/>
    <n v="2"/>
    <n v="0"/>
    <n v="4"/>
    <x v="2"/>
    <x v="2"/>
    <x v="1"/>
    <n v="1"/>
  </r>
  <r>
    <x v="0"/>
    <x v="1"/>
    <x v="0"/>
    <n v="896"/>
    <x v="0"/>
    <n v="6"/>
    <n v="3"/>
    <s v="Life Sciences"/>
    <n v="1"/>
    <n v="298"/>
    <n v="4"/>
    <x v="0"/>
    <n v="75"/>
    <n v="3"/>
    <x v="2"/>
    <x v="5"/>
    <n v="4"/>
    <x v="0"/>
    <n v="13591"/>
    <n v="14674"/>
    <n v="3"/>
    <s v="Y"/>
    <x v="0"/>
    <n v="18"/>
    <n v="3"/>
    <n v="3"/>
    <n v="80"/>
    <n v="0"/>
    <n v="16"/>
    <n v="3"/>
    <n v="3"/>
    <n v="1"/>
    <n v="0"/>
    <n v="0"/>
    <n v="0"/>
    <x v="0"/>
    <x v="1"/>
    <x v="3"/>
    <n v="0"/>
  </r>
  <r>
    <x v="7"/>
    <x v="0"/>
    <x v="1"/>
    <n v="334"/>
    <x v="0"/>
    <n v="26"/>
    <n v="4"/>
    <s v="Marketing"/>
    <n v="1"/>
    <n v="299"/>
    <n v="3"/>
    <x v="0"/>
    <n v="52"/>
    <n v="2"/>
    <x v="0"/>
    <x v="0"/>
    <n v="1"/>
    <x v="0"/>
    <n v="6696"/>
    <n v="22967"/>
    <n v="5"/>
    <s v="Y"/>
    <x v="1"/>
    <n v="15"/>
    <n v="3"/>
    <n v="3"/>
    <n v="80"/>
    <n v="0"/>
    <n v="9"/>
    <n v="5"/>
    <n v="2"/>
    <n v="6"/>
    <n v="3"/>
    <n v="0"/>
    <n v="1"/>
    <x v="2"/>
    <x v="0"/>
    <x v="0"/>
    <n v="1"/>
  </r>
  <r>
    <x v="11"/>
    <x v="0"/>
    <x v="0"/>
    <n v="992"/>
    <x v="1"/>
    <n v="1"/>
    <n v="3"/>
    <s v="Technical Degree"/>
    <n v="1"/>
    <n v="300"/>
    <n v="3"/>
    <x v="1"/>
    <n v="85"/>
    <n v="3"/>
    <x v="1"/>
    <x v="1"/>
    <n v="3"/>
    <x v="0"/>
    <n v="2058"/>
    <n v="19757"/>
    <n v="0"/>
    <s v="Y"/>
    <x v="1"/>
    <n v="14"/>
    <n v="3"/>
    <n v="4"/>
    <n v="80"/>
    <n v="0"/>
    <n v="7"/>
    <n v="1"/>
    <n v="2"/>
    <n v="6"/>
    <n v="2"/>
    <n v="1"/>
    <n v="5"/>
    <x v="2"/>
    <x v="0"/>
    <x v="1"/>
    <n v="1"/>
  </r>
  <r>
    <x v="28"/>
    <x v="1"/>
    <x v="2"/>
    <n v="1052"/>
    <x v="0"/>
    <n v="6"/>
    <n v="3"/>
    <s v="Medical"/>
    <n v="1"/>
    <n v="302"/>
    <n v="4"/>
    <x v="0"/>
    <n v="57"/>
    <n v="2"/>
    <x v="2"/>
    <x v="0"/>
    <n v="4"/>
    <x v="0"/>
    <n v="8865"/>
    <n v="16840"/>
    <n v="6"/>
    <s v="Y"/>
    <x v="1"/>
    <n v="12"/>
    <n v="3"/>
    <n v="4"/>
    <n v="80"/>
    <n v="0"/>
    <n v="23"/>
    <n v="2"/>
    <n v="3"/>
    <n v="19"/>
    <n v="7"/>
    <n v="12"/>
    <n v="8"/>
    <x v="1"/>
    <x v="3"/>
    <x v="3"/>
    <n v="0"/>
  </r>
  <r>
    <x v="33"/>
    <x v="1"/>
    <x v="0"/>
    <n v="1147"/>
    <x v="0"/>
    <n v="3"/>
    <n v="3"/>
    <s v="Marketing"/>
    <n v="1"/>
    <n v="303"/>
    <n v="4"/>
    <x v="0"/>
    <n v="52"/>
    <n v="3"/>
    <x v="0"/>
    <x v="0"/>
    <n v="1"/>
    <x v="1"/>
    <n v="5940"/>
    <n v="17011"/>
    <n v="2"/>
    <s v="Y"/>
    <x v="1"/>
    <n v="14"/>
    <n v="3"/>
    <n v="4"/>
    <n v="80"/>
    <n v="1"/>
    <n v="16"/>
    <n v="4"/>
    <n v="3"/>
    <n v="6"/>
    <n v="2"/>
    <n v="0"/>
    <n v="5"/>
    <x v="1"/>
    <x v="0"/>
    <x v="0"/>
    <n v="0"/>
  </r>
  <r>
    <x v="9"/>
    <x v="1"/>
    <x v="0"/>
    <n v="1396"/>
    <x v="1"/>
    <n v="5"/>
    <n v="2"/>
    <s v="Life Sciences"/>
    <n v="1"/>
    <n v="304"/>
    <n v="4"/>
    <x v="1"/>
    <n v="62"/>
    <n v="3"/>
    <x v="0"/>
    <x v="2"/>
    <n v="2"/>
    <x v="0"/>
    <n v="5914"/>
    <n v="9945"/>
    <n v="8"/>
    <s v="Y"/>
    <x v="1"/>
    <n v="16"/>
    <n v="3"/>
    <n v="4"/>
    <n v="80"/>
    <n v="0"/>
    <n v="16"/>
    <n v="3"/>
    <n v="4"/>
    <n v="13"/>
    <n v="11"/>
    <n v="3"/>
    <n v="7"/>
    <x v="0"/>
    <x v="3"/>
    <x v="0"/>
    <n v="0"/>
  </r>
  <r>
    <x v="3"/>
    <x v="1"/>
    <x v="0"/>
    <n v="147"/>
    <x v="1"/>
    <n v="4"/>
    <n v="4"/>
    <s v="Medical"/>
    <n v="1"/>
    <n v="305"/>
    <n v="3"/>
    <x v="0"/>
    <n v="47"/>
    <n v="2"/>
    <x v="1"/>
    <x v="1"/>
    <n v="2"/>
    <x v="1"/>
    <n v="2622"/>
    <n v="13248"/>
    <n v="6"/>
    <s v="Y"/>
    <x v="1"/>
    <n v="21"/>
    <n v="4"/>
    <n v="4"/>
    <n v="80"/>
    <n v="0"/>
    <n v="7"/>
    <n v="3"/>
    <n v="3"/>
    <n v="3"/>
    <n v="2"/>
    <n v="1"/>
    <n v="1"/>
    <x v="2"/>
    <x v="2"/>
    <x v="1"/>
    <n v="0"/>
  </r>
  <r>
    <x v="2"/>
    <x v="1"/>
    <x v="1"/>
    <n v="663"/>
    <x v="1"/>
    <n v="11"/>
    <n v="3"/>
    <s v="Other"/>
    <n v="1"/>
    <n v="306"/>
    <n v="2"/>
    <x v="1"/>
    <n v="47"/>
    <n v="3"/>
    <x v="2"/>
    <x v="7"/>
    <n v="4"/>
    <x v="2"/>
    <n v="12185"/>
    <n v="10056"/>
    <n v="1"/>
    <s v="Y"/>
    <x v="0"/>
    <n v="14"/>
    <n v="3"/>
    <n v="3"/>
    <n v="80"/>
    <n v="3"/>
    <n v="10"/>
    <n v="1"/>
    <n v="3"/>
    <n v="10"/>
    <n v="8"/>
    <n v="0"/>
    <n v="7"/>
    <x v="0"/>
    <x v="0"/>
    <x v="3"/>
    <n v="0"/>
  </r>
  <r>
    <x v="8"/>
    <x v="1"/>
    <x v="0"/>
    <n v="119"/>
    <x v="0"/>
    <n v="3"/>
    <n v="3"/>
    <s v="Life Sciences"/>
    <n v="1"/>
    <n v="307"/>
    <n v="1"/>
    <x v="1"/>
    <n v="76"/>
    <n v="3"/>
    <x v="2"/>
    <x v="0"/>
    <n v="3"/>
    <x v="2"/>
    <n v="10609"/>
    <n v="9647"/>
    <n v="0"/>
    <s v="Y"/>
    <x v="1"/>
    <n v="12"/>
    <n v="3"/>
    <n v="3"/>
    <n v="80"/>
    <n v="2"/>
    <n v="17"/>
    <n v="6"/>
    <n v="2"/>
    <n v="16"/>
    <n v="10"/>
    <n v="5"/>
    <n v="13"/>
    <x v="0"/>
    <x v="3"/>
    <x v="3"/>
    <n v="0"/>
  </r>
  <r>
    <x v="12"/>
    <x v="1"/>
    <x v="2"/>
    <n v="979"/>
    <x v="1"/>
    <n v="1"/>
    <n v="4"/>
    <s v="Medical"/>
    <n v="1"/>
    <n v="308"/>
    <n v="3"/>
    <x v="1"/>
    <n v="90"/>
    <n v="1"/>
    <x v="0"/>
    <x v="3"/>
    <n v="3"/>
    <x v="1"/>
    <n v="4345"/>
    <n v="4381"/>
    <n v="0"/>
    <s v="Y"/>
    <x v="1"/>
    <n v="12"/>
    <n v="3"/>
    <n v="4"/>
    <n v="80"/>
    <n v="1"/>
    <n v="6"/>
    <n v="2"/>
    <n v="3"/>
    <n v="5"/>
    <n v="4"/>
    <n v="1"/>
    <n v="4"/>
    <x v="2"/>
    <x v="2"/>
    <x v="2"/>
    <n v="0"/>
  </r>
  <r>
    <x v="6"/>
    <x v="1"/>
    <x v="0"/>
    <n v="142"/>
    <x v="1"/>
    <n v="3"/>
    <n v="3"/>
    <s v="Life Sciences"/>
    <n v="1"/>
    <n v="309"/>
    <n v="3"/>
    <x v="1"/>
    <n v="70"/>
    <n v="2"/>
    <x v="1"/>
    <x v="1"/>
    <n v="4"/>
    <x v="1"/>
    <n v="2177"/>
    <n v="8456"/>
    <n v="3"/>
    <s v="Y"/>
    <x v="1"/>
    <n v="17"/>
    <n v="3"/>
    <n v="1"/>
    <n v="80"/>
    <n v="1"/>
    <n v="7"/>
    <n v="6"/>
    <n v="3"/>
    <n v="1"/>
    <n v="0"/>
    <n v="0"/>
    <n v="0"/>
    <x v="3"/>
    <x v="1"/>
    <x v="1"/>
    <n v="0"/>
  </r>
  <r>
    <x v="2"/>
    <x v="1"/>
    <x v="1"/>
    <n v="319"/>
    <x v="0"/>
    <n v="4"/>
    <n v="4"/>
    <s v="Marketing"/>
    <n v="1"/>
    <n v="311"/>
    <n v="1"/>
    <x v="1"/>
    <n v="41"/>
    <n v="3"/>
    <x v="1"/>
    <x v="6"/>
    <n v="4"/>
    <x v="2"/>
    <n v="2793"/>
    <n v="2539"/>
    <n v="4"/>
    <s v="Y"/>
    <x v="1"/>
    <n v="17"/>
    <n v="3"/>
    <n v="3"/>
    <n v="80"/>
    <n v="1"/>
    <n v="13"/>
    <n v="2"/>
    <n v="3"/>
    <n v="9"/>
    <n v="8"/>
    <n v="5"/>
    <n v="8"/>
    <x v="0"/>
    <x v="0"/>
    <x v="1"/>
    <n v="0"/>
  </r>
  <r>
    <x v="11"/>
    <x v="1"/>
    <x v="1"/>
    <n v="1413"/>
    <x v="0"/>
    <n v="1"/>
    <n v="1"/>
    <s v="Medical"/>
    <n v="1"/>
    <n v="312"/>
    <n v="2"/>
    <x v="0"/>
    <n v="42"/>
    <n v="3"/>
    <x v="2"/>
    <x v="0"/>
    <n v="4"/>
    <x v="1"/>
    <n v="7918"/>
    <n v="6599"/>
    <n v="1"/>
    <s v="Y"/>
    <x v="1"/>
    <n v="14"/>
    <n v="3"/>
    <n v="4"/>
    <n v="80"/>
    <n v="1"/>
    <n v="11"/>
    <n v="5"/>
    <n v="3"/>
    <n v="11"/>
    <n v="10"/>
    <n v="4"/>
    <n v="1"/>
    <x v="2"/>
    <x v="3"/>
    <x v="0"/>
    <n v="0"/>
  </r>
  <r>
    <x v="10"/>
    <x v="1"/>
    <x v="1"/>
    <n v="944"/>
    <x v="0"/>
    <n v="1"/>
    <n v="3"/>
    <s v="Marketing"/>
    <n v="1"/>
    <n v="314"/>
    <n v="3"/>
    <x v="0"/>
    <n v="92"/>
    <n v="3"/>
    <x v="2"/>
    <x v="0"/>
    <n v="3"/>
    <x v="0"/>
    <n v="8789"/>
    <n v="9096"/>
    <n v="1"/>
    <s v="Y"/>
    <x v="1"/>
    <n v="14"/>
    <n v="3"/>
    <n v="1"/>
    <n v="80"/>
    <n v="0"/>
    <n v="10"/>
    <n v="3"/>
    <n v="4"/>
    <n v="10"/>
    <n v="7"/>
    <n v="0"/>
    <n v="8"/>
    <x v="0"/>
    <x v="0"/>
    <x v="3"/>
    <n v="0"/>
  </r>
  <r>
    <x v="11"/>
    <x v="0"/>
    <x v="0"/>
    <n v="896"/>
    <x v="1"/>
    <n v="18"/>
    <n v="1"/>
    <s v="Medical"/>
    <n v="1"/>
    <n v="315"/>
    <n v="3"/>
    <x v="1"/>
    <n v="86"/>
    <n v="2"/>
    <x v="1"/>
    <x v="1"/>
    <n v="4"/>
    <x v="0"/>
    <n v="2389"/>
    <n v="14961"/>
    <n v="1"/>
    <s v="Y"/>
    <x v="0"/>
    <n v="13"/>
    <n v="3"/>
    <n v="3"/>
    <n v="80"/>
    <n v="0"/>
    <n v="4"/>
    <n v="3"/>
    <n v="2"/>
    <n v="4"/>
    <n v="3"/>
    <n v="0"/>
    <n v="1"/>
    <x v="2"/>
    <x v="2"/>
    <x v="1"/>
    <n v="1"/>
  </r>
  <r>
    <x v="39"/>
    <x v="1"/>
    <x v="0"/>
    <n v="1323"/>
    <x v="1"/>
    <n v="2"/>
    <n v="3"/>
    <s v="Life Sciences"/>
    <n v="1"/>
    <n v="316"/>
    <n v="3"/>
    <x v="0"/>
    <n v="89"/>
    <n v="2"/>
    <x v="1"/>
    <x v="2"/>
    <n v="4"/>
    <x v="0"/>
    <n v="3212"/>
    <n v="3300"/>
    <n v="7"/>
    <s v="Y"/>
    <x v="1"/>
    <n v="15"/>
    <n v="3"/>
    <n v="2"/>
    <n v="80"/>
    <n v="0"/>
    <n v="6"/>
    <n v="3"/>
    <n v="2"/>
    <n v="2"/>
    <n v="2"/>
    <n v="2"/>
    <n v="2"/>
    <x v="1"/>
    <x v="1"/>
    <x v="2"/>
    <n v="0"/>
  </r>
  <r>
    <x v="19"/>
    <x v="1"/>
    <x v="0"/>
    <n v="532"/>
    <x v="1"/>
    <n v="4"/>
    <n v="2"/>
    <s v="Technical Degree"/>
    <n v="1"/>
    <n v="319"/>
    <n v="3"/>
    <x v="1"/>
    <n v="58"/>
    <n v="3"/>
    <x v="4"/>
    <x v="5"/>
    <n v="4"/>
    <x v="1"/>
    <n v="19232"/>
    <n v="4933"/>
    <n v="1"/>
    <s v="Y"/>
    <x v="1"/>
    <n v="11"/>
    <n v="3"/>
    <n v="4"/>
    <n v="80"/>
    <n v="0"/>
    <n v="22"/>
    <n v="3"/>
    <n v="3"/>
    <n v="22"/>
    <n v="17"/>
    <n v="11"/>
    <n v="15"/>
    <x v="0"/>
    <x v="3"/>
    <x v="3"/>
    <n v="0"/>
  </r>
  <r>
    <x v="6"/>
    <x v="1"/>
    <x v="0"/>
    <n v="818"/>
    <x v="2"/>
    <n v="6"/>
    <n v="2"/>
    <s v="Medical"/>
    <n v="1"/>
    <n v="321"/>
    <n v="2"/>
    <x v="1"/>
    <n v="52"/>
    <n v="3"/>
    <x v="1"/>
    <x v="8"/>
    <n v="3"/>
    <x v="1"/>
    <n v="2267"/>
    <n v="25657"/>
    <n v="8"/>
    <s v="Y"/>
    <x v="1"/>
    <n v="17"/>
    <n v="3"/>
    <n v="4"/>
    <n v="80"/>
    <n v="0"/>
    <n v="7"/>
    <n v="2"/>
    <n v="2"/>
    <n v="2"/>
    <n v="2"/>
    <n v="2"/>
    <n v="2"/>
    <x v="3"/>
    <x v="1"/>
    <x v="1"/>
    <n v="0"/>
  </r>
  <r>
    <x v="24"/>
    <x v="1"/>
    <x v="0"/>
    <n v="854"/>
    <x v="0"/>
    <n v="1"/>
    <n v="4"/>
    <s v="Medical"/>
    <n v="1"/>
    <n v="323"/>
    <n v="4"/>
    <x v="0"/>
    <n v="68"/>
    <n v="3"/>
    <x v="4"/>
    <x v="5"/>
    <n v="4"/>
    <x v="2"/>
    <n v="19517"/>
    <n v="24118"/>
    <n v="3"/>
    <s v="Y"/>
    <x v="1"/>
    <n v="11"/>
    <n v="3"/>
    <n v="3"/>
    <n v="80"/>
    <n v="1"/>
    <n v="32"/>
    <n v="3"/>
    <n v="2"/>
    <n v="7"/>
    <n v="0"/>
    <n v="0"/>
    <n v="6"/>
    <x v="1"/>
    <x v="0"/>
    <x v="3"/>
    <n v="0"/>
  </r>
  <r>
    <x v="3"/>
    <x v="0"/>
    <x v="0"/>
    <n v="813"/>
    <x v="1"/>
    <n v="14"/>
    <n v="3"/>
    <s v="Medical"/>
    <n v="1"/>
    <n v="325"/>
    <n v="3"/>
    <x v="1"/>
    <n v="58"/>
    <n v="3"/>
    <x v="1"/>
    <x v="2"/>
    <n v="4"/>
    <x v="1"/>
    <n v="2436"/>
    <n v="22149"/>
    <n v="5"/>
    <s v="Y"/>
    <x v="0"/>
    <n v="13"/>
    <n v="3"/>
    <n v="3"/>
    <n v="80"/>
    <n v="1"/>
    <n v="8"/>
    <n v="2"/>
    <n v="1"/>
    <n v="5"/>
    <n v="4"/>
    <n v="0"/>
    <n v="4"/>
    <x v="2"/>
    <x v="2"/>
    <x v="1"/>
    <n v="1"/>
  </r>
  <r>
    <x v="23"/>
    <x v="1"/>
    <x v="0"/>
    <n v="1034"/>
    <x v="0"/>
    <n v="16"/>
    <n v="3"/>
    <s v="Marketing"/>
    <n v="1"/>
    <n v="327"/>
    <n v="4"/>
    <x v="0"/>
    <n v="80"/>
    <n v="3"/>
    <x v="3"/>
    <x v="5"/>
    <n v="4"/>
    <x v="1"/>
    <n v="16064"/>
    <n v="7744"/>
    <n v="5"/>
    <s v="Y"/>
    <x v="0"/>
    <n v="22"/>
    <n v="4"/>
    <n v="3"/>
    <n v="80"/>
    <n v="1"/>
    <n v="22"/>
    <n v="3"/>
    <n v="3"/>
    <n v="17"/>
    <n v="13"/>
    <n v="1"/>
    <n v="9"/>
    <x v="0"/>
    <x v="3"/>
    <x v="3"/>
    <n v="0"/>
  </r>
  <r>
    <x v="3"/>
    <x v="0"/>
    <x v="0"/>
    <n v="465"/>
    <x v="1"/>
    <n v="2"/>
    <n v="2"/>
    <s v="Life Sciences"/>
    <n v="1"/>
    <n v="328"/>
    <n v="1"/>
    <x v="0"/>
    <n v="39"/>
    <n v="3"/>
    <x v="1"/>
    <x v="2"/>
    <n v="1"/>
    <x v="1"/>
    <n v="2707"/>
    <n v="21509"/>
    <n v="7"/>
    <s v="Y"/>
    <x v="1"/>
    <n v="20"/>
    <n v="4"/>
    <n v="1"/>
    <n v="80"/>
    <n v="0"/>
    <n v="13"/>
    <n v="3"/>
    <n v="4"/>
    <n v="9"/>
    <n v="7"/>
    <n v="1"/>
    <n v="7"/>
    <x v="2"/>
    <x v="0"/>
    <x v="1"/>
    <n v="1"/>
  </r>
  <r>
    <x v="39"/>
    <x v="1"/>
    <x v="2"/>
    <n v="771"/>
    <x v="0"/>
    <n v="2"/>
    <n v="4"/>
    <s v="Life Sciences"/>
    <n v="1"/>
    <n v="329"/>
    <n v="1"/>
    <x v="1"/>
    <n v="79"/>
    <n v="2"/>
    <x v="4"/>
    <x v="5"/>
    <n v="3"/>
    <x v="0"/>
    <n v="19068"/>
    <n v="21030"/>
    <n v="1"/>
    <s v="Y"/>
    <x v="0"/>
    <n v="18"/>
    <n v="3"/>
    <n v="4"/>
    <n v="80"/>
    <n v="0"/>
    <n v="33"/>
    <n v="2"/>
    <n v="4"/>
    <n v="33"/>
    <n v="7"/>
    <n v="15"/>
    <n v="12"/>
    <x v="1"/>
    <x v="3"/>
    <x v="3"/>
    <n v="0"/>
  </r>
  <r>
    <x v="5"/>
    <x v="1"/>
    <x v="0"/>
    <n v="1401"/>
    <x v="0"/>
    <n v="4"/>
    <n v="2"/>
    <s v="Life Sciences"/>
    <n v="1"/>
    <n v="330"/>
    <n v="3"/>
    <x v="0"/>
    <n v="56"/>
    <n v="3"/>
    <x v="1"/>
    <x v="6"/>
    <n v="2"/>
    <x v="1"/>
    <n v="3931"/>
    <n v="20990"/>
    <n v="2"/>
    <s v="Y"/>
    <x v="1"/>
    <n v="11"/>
    <n v="3"/>
    <n v="1"/>
    <n v="80"/>
    <n v="1"/>
    <n v="6"/>
    <n v="5"/>
    <n v="3"/>
    <n v="4"/>
    <n v="3"/>
    <n v="1"/>
    <n v="2"/>
    <x v="2"/>
    <x v="2"/>
    <x v="2"/>
    <n v="0"/>
  </r>
  <r>
    <x v="5"/>
    <x v="0"/>
    <x v="0"/>
    <n v="515"/>
    <x v="1"/>
    <n v="1"/>
    <n v="3"/>
    <s v="Life Sciences"/>
    <n v="1"/>
    <n v="331"/>
    <n v="4"/>
    <x v="1"/>
    <n v="62"/>
    <n v="2"/>
    <x v="1"/>
    <x v="2"/>
    <n v="3"/>
    <x v="0"/>
    <n v="3730"/>
    <n v="9571"/>
    <n v="0"/>
    <s v="Y"/>
    <x v="0"/>
    <n v="14"/>
    <n v="3"/>
    <n v="4"/>
    <n v="80"/>
    <n v="0"/>
    <n v="4"/>
    <n v="2"/>
    <n v="1"/>
    <n v="3"/>
    <n v="2"/>
    <n v="1"/>
    <n v="2"/>
    <x v="2"/>
    <x v="2"/>
    <x v="2"/>
    <n v="1"/>
  </r>
  <r>
    <x v="22"/>
    <x v="1"/>
    <x v="0"/>
    <n v="1431"/>
    <x v="1"/>
    <n v="1"/>
    <n v="4"/>
    <s v="Medical"/>
    <n v="1"/>
    <n v="332"/>
    <n v="3"/>
    <x v="0"/>
    <n v="96"/>
    <n v="3"/>
    <x v="1"/>
    <x v="2"/>
    <n v="3"/>
    <x v="2"/>
    <n v="2232"/>
    <n v="15417"/>
    <n v="7"/>
    <s v="Y"/>
    <x v="1"/>
    <n v="14"/>
    <n v="3"/>
    <n v="3"/>
    <n v="80"/>
    <n v="3"/>
    <n v="7"/>
    <n v="1"/>
    <n v="3"/>
    <n v="3"/>
    <n v="2"/>
    <n v="1"/>
    <n v="2"/>
    <x v="0"/>
    <x v="2"/>
    <x v="1"/>
    <n v="0"/>
  </r>
  <r>
    <x v="5"/>
    <x v="1"/>
    <x v="2"/>
    <n v="976"/>
    <x v="0"/>
    <n v="26"/>
    <n v="4"/>
    <s v="Marketing"/>
    <n v="1"/>
    <n v="333"/>
    <n v="3"/>
    <x v="1"/>
    <n v="100"/>
    <n v="3"/>
    <x v="0"/>
    <x v="0"/>
    <n v="4"/>
    <x v="1"/>
    <n v="4465"/>
    <n v="12069"/>
    <n v="0"/>
    <s v="Y"/>
    <x v="1"/>
    <n v="18"/>
    <n v="3"/>
    <n v="1"/>
    <n v="80"/>
    <n v="0"/>
    <n v="4"/>
    <n v="2"/>
    <n v="3"/>
    <n v="3"/>
    <n v="2"/>
    <n v="2"/>
    <n v="2"/>
    <x v="2"/>
    <x v="2"/>
    <x v="2"/>
    <n v="0"/>
  </r>
  <r>
    <x v="0"/>
    <x v="1"/>
    <x v="0"/>
    <n v="1411"/>
    <x v="1"/>
    <n v="19"/>
    <n v="2"/>
    <s v="Life Sciences"/>
    <n v="1"/>
    <n v="334"/>
    <n v="3"/>
    <x v="1"/>
    <n v="36"/>
    <n v="3"/>
    <x v="0"/>
    <x v="1"/>
    <n v="1"/>
    <x v="2"/>
    <n v="3072"/>
    <n v="19877"/>
    <n v="2"/>
    <s v="Y"/>
    <x v="1"/>
    <n v="16"/>
    <n v="3"/>
    <n v="1"/>
    <n v="80"/>
    <n v="2"/>
    <n v="17"/>
    <n v="2"/>
    <n v="2"/>
    <n v="1"/>
    <n v="0"/>
    <n v="0"/>
    <n v="0"/>
    <x v="0"/>
    <x v="1"/>
    <x v="2"/>
    <n v="0"/>
  </r>
  <r>
    <x v="32"/>
    <x v="1"/>
    <x v="0"/>
    <n v="1300"/>
    <x v="1"/>
    <n v="24"/>
    <n v="2"/>
    <s v="Technical Degree"/>
    <n v="1"/>
    <n v="335"/>
    <n v="1"/>
    <x v="1"/>
    <n v="62"/>
    <n v="3"/>
    <x v="0"/>
    <x v="1"/>
    <n v="4"/>
    <x v="2"/>
    <n v="3319"/>
    <n v="24447"/>
    <n v="1"/>
    <s v="Y"/>
    <x v="1"/>
    <n v="17"/>
    <n v="3"/>
    <n v="1"/>
    <n v="80"/>
    <n v="2"/>
    <n v="9"/>
    <n v="3"/>
    <n v="3"/>
    <n v="9"/>
    <n v="8"/>
    <n v="4"/>
    <n v="7"/>
    <x v="0"/>
    <x v="0"/>
    <x v="2"/>
    <n v="0"/>
  </r>
  <r>
    <x v="28"/>
    <x v="1"/>
    <x v="0"/>
    <n v="252"/>
    <x v="1"/>
    <n v="1"/>
    <n v="3"/>
    <s v="Other"/>
    <n v="1"/>
    <n v="336"/>
    <n v="3"/>
    <x v="1"/>
    <n v="70"/>
    <n v="4"/>
    <x v="4"/>
    <x v="5"/>
    <n v="4"/>
    <x v="1"/>
    <n v="19202"/>
    <n v="15970"/>
    <n v="0"/>
    <s v="Y"/>
    <x v="1"/>
    <n v="11"/>
    <n v="3"/>
    <n v="3"/>
    <n v="80"/>
    <n v="1"/>
    <n v="25"/>
    <n v="2"/>
    <n v="3"/>
    <n v="24"/>
    <n v="0"/>
    <n v="1"/>
    <n v="7"/>
    <x v="1"/>
    <x v="3"/>
    <x v="3"/>
    <n v="0"/>
  </r>
  <r>
    <x v="12"/>
    <x v="1"/>
    <x v="1"/>
    <n v="1327"/>
    <x v="1"/>
    <n v="3"/>
    <n v="4"/>
    <s v="Medical"/>
    <n v="1"/>
    <n v="337"/>
    <n v="2"/>
    <x v="1"/>
    <n v="73"/>
    <n v="3"/>
    <x v="2"/>
    <x v="7"/>
    <n v="3"/>
    <x v="2"/>
    <n v="13675"/>
    <n v="13523"/>
    <n v="9"/>
    <s v="Y"/>
    <x v="1"/>
    <n v="12"/>
    <n v="3"/>
    <n v="1"/>
    <n v="80"/>
    <n v="1"/>
    <n v="9"/>
    <n v="3"/>
    <n v="3"/>
    <n v="2"/>
    <n v="2"/>
    <n v="2"/>
    <n v="2"/>
    <x v="2"/>
    <x v="1"/>
    <x v="3"/>
    <n v="0"/>
  </r>
  <r>
    <x v="3"/>
    <x v="1"/>
    <x v="0"/>
    <n v="832"/>
    <x v="1"/>
    <n v="5"/>
    <n v="4"/>
    <s v="Life Sciences"/>
    <n v="1"/>
    <n v="338"/>
    <n v="3"/>
    <x v="0"/>
    <n v="63"/>
    <n v="2"/>
    <x v="1"/>
    <x v="1"/>
    <n v="4"/>
    <x v="1"/>
    <n v="2911"/>
    <n v="14776"/>
    <n v="1"/>
    <s v="Y"/>
    <x v="1"/>
    <n v="13"/>
    <n v="3"/>
    <n v="3"/>
    <n v="80"/>
    <n v="1"/>
    <n v="2"/>
    <n v="2"/>
    <n v="2"/>
    <n v="2"/>
    <n v="2"/>
    <n v="0"/>
    <n v="2"/>
    <x v="2"/>
    <x v="1"/>
    <x v="1"/>
    <n v="0"/>
  </r>
  <r>
    <x v="13"/>
    <x v="1"/>
    <x v="0"/>
    <n v="470"/>
    <x v="1"/>
    <n v="2"/>
    <n v="4"/>
    <s v="Life Sciences"/>
    <n v="1"/>
    <n v="339"/>
    <n v="4"/>
    <x v="1"/>
    <n v="84"/>
    <n v="2"/>
    <x v="0"/>
    <x v="3"/>
    <n v="1"/>
    <x v="1"/>
    <n v="5957"/>
    <n v="23687"/>
    <n v="6"/>
    <s v="Y"/>
    <x v="1"/>
    <n v="13"/>
    <n v="3"/>
    <n v="2"/>
    <n v="80"/>
    <n v="1"/>
    <n v="13"/>
    <n v="3"/>
    <n v="3"/>
    <n v="11"/>
    <n v="9"/>
    <n v="5"/>
    <n v="9"/>
    <x v="2"/>
    <x v="3"/>
    <x v="0"/>
    <n v="0"/>
  </r>
  <r>
    <x v="2"/>
    <x v="1"/>
    <x v="0"/>
    <n v="1017"/>
    <x v="1"/>
    <n v="1"/>
    <n v="2"/>
    <s v="Medical"/>
    <n v="1"/>
    <n v="340"/>
    <n v="3"/>
    <x v="0"/>
    <n v="83"/>
    <n v="2"/>
    <x v="1"/>
    <x v="1"/>
    <n v="1"/>
    <x v="1"/>
    <n v="3920"/>
    <n v="18697"/>
    <n v="2"/>
    <s v="Y"/>
    <x v="1"/>
    <n v="14"/>
    <n v="3"/>
    <n v="1"/>
    <n v="80"/>
    <n v="1"/>
    <n v="17"/>
    <n v="2"/>
    <n v="2"/>
    <n v="3"/>
    <n v="1"/>
    <n v="0"/>
    <n v="2"/>
    <x v="0"/>
    <x v="2"/>
    <x v="2"/>
    <n v="0"/>
  </r>
  <r>
    <x v="28"/>
    <x v="1"/>
    <x v="1"/>
    <n v="1199"/>
    <x v="1"/>
    <n v="7"/>
    <n v="4"/>
    <s v="Life Sciences"/>
    <n v="1"/>
    <n v="341"/>
    <n v="1"/>
    <x v="1"/>
    <n v="77"/>
    <n v="4"/>
    <x v="0"/>
    <x v="3"/>
    <n v="3"/>
    <x v="1"/>
    <n v="6434"/>
    <n v="5118"/>
    <n v="4"/>
    <s v="Y"/>
    <x v="1"/>
    <n v="17"/>
    <n v="3"/>
    <n v="4"/>
    <n v="80"/>
    <n v="1"/>
    <n v="9"/>
    <n v="1"/>
    <n v="3"/>
    <n v="3"/>
    <n v="2"/>
    <n v="0"/>
    <n v="2"/>
    <x v="1"/>
    <x v="2"/>
    <x v="0"/>
    <n v="0"/>
  </r>
  <r>
    <x v="2"/>
    <x v="0"/>
    <x v="1"/>
    <n v="504"/>
    <x v="1"/>
    <n v="10"/>
    <n v="3"/>
    <s v="Medical"/>
    <n v="1"/>
    <n v="342"/>
    <n v="1"/>
    <x v="1"/>
    <n v="61"/>
    <n v="3"/>
    <x v="2"/>
    <x v="3"/>
    <n v="3"/>
    <x v="2"/>
    <n v="10048"/>
    <n v="22573"/>
    <n v="6"/>
    <s v="Y"/>
    <x v="1"/>
    <n v="11"/>
    <n v="3"/>
    <n v="2"/>
    <n v="80"/>
    <n v="2"/>
    <n v="17"/>
    <n v="5"/>
    <n v="3"/>
    <n v="1"/>
    <n v="0"/>
    <n v="0"/>
    <n v="0"/>
    <x v="0"/>
    <x v="1"/>
    <x v="3"/>
    <n v="1"/>
  </r>
  <r>
    <x v="22"/>
    <x v="1"/>
    <x v="1"/>
    <n v="505"/>
    <x v="1"/>
    <n v="2"/>
    <n v="4"/>
    <s v="Technical Degree"/>
    <n v="1"/>
    <n v="343"/>
    <n v="3"/>
    <x v="0"/>
    <n v="64"/>
    <n v="3"/>
    <x v="2"/>
    <x v="4"/>
    <n v="3"/>
    <x v="0"/>
    <n v="10938"/>
    <n v="6420"/>
    <n v="0"/>
    <s v="Y"/>
    <x v="1"/>
    <n v="25"/>
    <n v="4"/>
    <n v="4"/>
    <n v="80"/>
    <n v="0"/>
    <n v="20"/>
    <n v="1"/>
    <n v="3"/>
    <n v="19"/>
    <n v="6"/>
    <n v="11"/>
    <n v="8"/>
    <x v="0"/>
    <x v="3"/>
    <x v="3"/>
    <n v="0"/>
  </r>
  <r>
    <x v="11"/>
    <x v="1"/>
    <x v="0"/>
    <n v="665"/>
    <x v="1"/>
    <n v="15"/>
    <n v="3"/>
    <s v="Life Sciences"/>
    <n v="1"/>
    <n v="346"/>
    <n v="3"/>
    <x v="1"/>
    <n v="60"/>
    <n v="3"/>
    <x v="1"/>
    <x v="1"/>
    <n v="4"/>
    <x v="0"/>
    <n v="2340"/>
    <n v="22673"/>
    <n v="1"/>
    <s v="Y"/>
    <x v="1"/>
    <n v="19"/>
    <n v="3"/>
    <n v="1"/>
    <n v="80"/>
    <n v="0"/>
    <n v="6"/>
    <n v="1"/>
    <n v="3"/>
    <n v="6"/>
    <n v="5"/>
    <n v="1"/>
    <n v="5"/>
    <x v="2"/>
    <x v="0"/>
    <x v="1"/>
    <n v="0"/>
  </r>
  <r>
    <x v="19"/>
    <x v="1"/>
    <x v="0"/>
    <n v="916"/>
    <x v="1"/>
    <n v="17"/>
    <n v="2"/>
    <s v="Life Sciences"/>
    <n v="1"/>
    <n v="347"/>
    <n v="4"/>
    <x v="0"/>
    <n v="82"/>
    <n v="4"/>
    <x v="0"/>
    <x v="1"/>
    <n v="1"/>
    <x v="0"/>
    <n v="6545"/>
    <n v="23016"/>
    <n v="3"/>
    <s v="Y"/>
    <x v="0"/>
    <n v="13"/>
    <n v="3"/>
    <n v="3"/>
    <n v="80"/>
    <n v="0"/>
    <n v="10"/>
    <n v="1"/>
    <n v="3"/>
    <n v="3"/>
    <n v="2"/>
    <n v="0"/>
    <n v="2"/>
    <x v="0"/>
    <x v="2"/>
    <x v="0"/>
    <n v="0"/>
  </r>
  <r>
    <x v="11"/>
    <x v="1"/>
    <x v="0"/>
    <n v="1247"/>
    <x v="0"/>
    <n v="20"/>
    <n v="2"/>
    <s v="Marketing"/>
    <n v="1"/>
    <n v="349"/>
    <n v="4"/>
    <x v="1"/>
    <n v="45"/>
    <n v="3"/>
    <x v="0"/>
    <x v="0"/>
    <n v="4"/>
    <x v="2"/>
    <n v="6931"/>
    <n v="10732"/>
    <n v="2"/>
    <s v="Y"/>
    <x v="1"/>
    <n v="14"/>
    <n v="3"/>
    <n v="4"/>
    <n v="80"/>
    <n v="1"/>
    <n v="10"/>
    <n v="2"/>
    <n v="3"/>
    <n v="3"/>
    <n v="2"/>
    <n v="0"/>
    <n v="2"/>
    <x v="2"/>
    <x v="2"/>
    <x v="0"/>
    <n v="0"/>
  </r>
  <r>
    <x v="36"/>
    <x v="1"/>
    <x v="0"/>
    <n v="685"/>
    <x v="1"/>
    <n v="1"/>
    <n v="3"/>
    <s v="Life Sciences"/>
    <n v="1"/>
    <n v="350"/>
    <n v="1"/>
    <x v="0"/>
    <n v="62"/>
    <n v="3"/>
    <x v="0"/>
    <x v="3"/>
    <n v="3"/>
    <x v="1"/>
    <n v="4898"/>
    <n v="7505"/>
    <n v="0"/>
    <s v="Y"/>
    <x v="1"/>
    <n v="12"/>
    <n v="3"/>
    <n v="4"/>
    <n v="80"/>
    <n v="2"/>
    <n v="5"/>
    <n v="3"/>
    <n v="3"/>
    <n v="4"/>
    <n v="2"/>
    <n v="1"/>
    <n v="2"/>
    <x v="2"/>
    <x v="2"/>
    <x v="2"/>
    <n v="0"/>
  </r>
  <r>
    <x v="19"/>
    <x v="1"/>
    <x v="0"/>
    <n v="269"/>
    <x v="1"/>
    <n v="2"/>
    <n v="3"/>
    <s v="Medical"/>
    <n v="1"/>
    <n v="351"/>
    <n v="4"/>
    <x v="0"/>
    <n v="56"/>
    <n v="2"/>
    <x v="1"/>
    <x v="2"/>
    <n v="1"/>
    <x v="2"/>
    <n v="2593"/>
    <n v="8007"/>
    <n v="0"/>
    <s v="Y"/>
    <x v="0"/>
    <n v="11"/>
    <n v="3"/>
    <n v="3"/>
    <n v="80"/>
    <n v="1"/>
    <n v="10"/>
    <n v="4"/>
    <n v="3"/>
    <n v="9"/>
    <n v="6"/>
    <n v="7"/>
    <n v="8"/>
    <x v="0"/>
    <x v="0"/>
    <x v="1"/>
    <n v="0"/>
  </r>
  <r>
    <x v="32"/>
    <x v="1"/>
    <x v="0"/>
    <n v="1416"/>
    <x v="1"/>
    <n v="2"/>
    <n v="2"/>
    <s v="Medical"/>
    <n v="1"/>
    <n v="352"/>
    <n v="1"/>
    <x v="1"/>
    <n v="49"/>
    <n v="3"/>
    <x v="4"/>
    <x v="7"/>
    <n v="3"/>
    <x v="2"/>
    <n v="19436"/>
    <n v="5949"/>
    <n v="0"/>
    <s v="Y"/>
    <x v="1"/>
    <n v="19"/>
    <n v="3"/>
    <n v="4"/>
    <n v="80"/>
    <n v="1"/>
    <n v="22"/>
    <n v="5"/>
    <n v="3"/>
    <n v="21"/>
    <n v="7"/>
    <n v="3"/>
    <n v="9"/>
    <x v="0"/>
    <x v="3"/>
    <x v="3"/>
    <n v="0"/>
  </r>
  <r>
    <x v="31"/>
    <x v="1"/>
    <x v="0"/>
    <n v="833"/>
    <x v="1"/>
    <n v="1"/>
    <n v="3"/>
    <s v="Life Sciences"/>
    <n v="1"/>
    <n v="353"/>
    <n v="3"/>
    <x v="1"/>
    <n v="96"/>
    <n v="3"/>
    <x v="1"/>
    <x v="1"/>
    <n v="4"/>
    <x v="1"/>
    <n v="2723"/>
    <n v="23231"/>
    <n v="1"/>
    <s v="Y"/>
    <x v="1"/>
    <n v="11"/>
    <n v="3"/>
    <n v="2"/>
    <n v="80"/>
    <n v="0"/>
    <n v="1"/>
    <n v="0"/>
    <n v="2"/>
    <n v="1"/>
    <n v="0"/>
    <n v="0"/>
    <n v="0"/>
    <x v="1"/>
    <x v="1"/>
    <x v="1"/>
    <n v="0"/>
  </r>
  <r>
    <x v="12"/>
    <x v="0"/>
    <x v="1"/>
    <n v="307"/>
    <x v="1"/>
    <n v="29"/>
    <n v="2"/>
    <s v="Medical"/>
    <n v="1"/>
    <n v="355"/>
    <n v="3"/>
    <x v="1"/>
    <n v="71"/>
    <n v="2"/>
    <x v="1"/>
    <x v="2"/>
    <n v="2"/>
    <x v="0"/>
    <n v="3479"/>
    <n v="11652"/>
    <n v="0"/>
    <s v="Y"/>
    <x v="1"/>
    <n v="11"/>
    <n v="3"/>
    <n v="2"/>
    <n v="80"/>
    <n v="0"/>
    <n v="6"/>
    <n v="2"/>
    <n v="4"/>
    <n v="5"/>
    <n v="4"/>
    <n v="1"/>
    <n v="4"/>
    <x v="2"/>
    <x v="2"/>
    <x v="2"/>
    <n v="1"/>
  </r>
  <r>
    <x v="5"/>
    <x v="1"/>
    <x v="1"/>
    <n v="1311"/>
    <x v="1"/>
    <n v="7"/>
    <n v="3"/>
    <s v="Life Sciences"/>
    <n v="1"/>
    <n v="359"/>
    <n v="2"/>
    <x v="1"/>
    <n v="100"/>
    <n v="4"/>
    <x v="1"/>
    <x v="2"/>
    <n v="2"/>
    <x v="1"/>
    <n v="2794"/>
    <n v="26062"/>
    <n v="1"/>
    <s v="Y"/>
    <x v="1"/>
    <n v="20"/>
    <n v="4"/>
    <n v="3"/>
    <n v="80"/>
    <n v="0"/>
    <n v="5"/>
    <n v="3"/>
    <n v="1"/>
    <n v="5"/>
    <n v="1"/>
    <n v="0"/>
    <n v="3"/>
    <x v="2"/>
    <x v="2"/>
    <x v="1"/>
    <n v="0"/>
  </r>
  <r>
    <x v="8"/>
    <x v="1"/>
    <x v="2"/>
    <n v="1327"/>
    <x v="0"/>
    <n v="2"/>
    <n v="2"/>
    <s v="Life Sciences"/>
    <n v="1"/>
    <n v="361"/>
    <n v="4"/>
    <x v="1"/>
    <n v="39"/>
    <n v="2"/>
    <x v="0"/>
    <x v="0"/>
    <n v="4"/>
    <x v="1"/>
    <n v="5249"/>
    <n v="19682"/>
    <n v="3"/>
    <s v="Y"/>
    <x v="1"/>
    <n v="18"/>
    <n v="3"/>
    <n v="4"/>
    <n v="80"/>
    <n v="1"/>
    <n v="13"/>
    <n v="0"/>
    <n v="3"/>
    <n v="8"/>
    <n v="7"/>
    <n v="7"/>
    <n v="5"/>
    <x v="0"/>
    <x v="0"/>
    <x v="0"/>
    <n v="0"/>
  </r>
  <r>
    <x v="5"/>
    <x v="1"/>
    <x v="0"/>
    <n v="128"/>
    <x v="1"/>
    <n v="2"/>
    <n v="1"/>
    <s v="Technical Degree"/>
    <n v="1"/>
    <n v="362"/>
    <n v="4"/>
    <x v="1"/>
    <n v="84"/>
    <n v="2"/>
    <x v="0"/>
    <x v="2"/>
    <n v="1"/>
    <x v="0"/>
    <n v="2176"/>
    <n v="19737"/>
    <n v="4"/>
    <s v="Y"/>
    <x v="1"/>
    <n v="13"/>
    <n v="3"/>
    <n v="4"/>
    <n v="80"/>
    <n v="0"/>
    <n v="9"/>
    <n v="5"/>
    <n v="3"/>
    <n v="6"/>
    <n v="2"/>
    <n v="0"/>
    <n v="4"/>
    <x v="2"/>
    <x v="0"/>
    <x v="1"/>
    <n v="0"/>
  </r>
  <r>
    <x v="21"/>
    <x v="1"/>
    <x v="0"/>
    <n v="488"/>
    <x v="0"/>
    <n v="2"/>
    <n v="3"/>
    <s v="Technical Degree"/>
    <n v="1"/>
    <n v="363"/>
    <n v="3"/>
    <x v="0"/>
    <n v="75"/>
    <n v="1"/>
    <x v="3"/>
    <x v="5"/>
    <n v="2"/>
    <x v="1"/>
    <n v="16872"/>
    <n v="14977"/>
    <n v="3"/>
    <s v="Y"/>
    <x v="0"/>
    <n v="12"/>
    <n v="3"/>
    <n v="2"/>
    <n v="80"/>
    <n v="1"/>
    <n v="28"/>
    <n v="2"/>
    <n v="2"/>
    <n v="7"/>
    <n v="7"/>
    <n v="7"/>
    <n v="7"/>
    <x v="1"/>
    <x v="0"/>
    <x v="3"/>
    <n v="0"/>
  </r>
  <r>
    <x v="14"/>
    <x v="0"/>
    <x v="0"/>
    <n v="529"/>
    <x v="1"/>
    <n v="2"/>
    <n v="4"/>
    <s v="Life Sciences"/>
    <n v="1"/>
    <n v="364"/>
    <n v="1"/>
    <x v="1"/>
    <n v="79"/>
    <n v="3"/>
    <x v="1"/>
    <x v="2"/>
    <n v="3"/>
    <x v="0"/>
    <n v="3485"/>
    <n v="14935"/>
    <n v="2"/>
    <s v="Y"/>
    <x v="1"/>
    <n v="11"/>
    <n v="3"/>
    <n v="3"/>
    <n v="80"/>
    <n v="0"/>
    <n v="5"/>
    <n v="5"/>
    <n v="1"/>
    <n v="0"/>
    <n v="0"/>
    <n v="0"/>
    <n v="0"/>
    <x v="2"/>
    <x v="1"/>
    <x v="2"/>
    <n v="1"/>
  </r>
  <r>
    <x v="11"/>
    <x v="1"/>
    <x v="0"/>
    <n v="1210"/>
    <x v="0"/>
    <n v="2"/>
    <n v="3"/>
    <s v="Medical"/>
    <n v="1"/>
    <n v="366"/>
    <n v="1"/>
    <x v="1"/>
    <n v="78"/>
    <n v="2"/>
    <x v="0"/>
    <x v="0"/>
    <n v="2"/>
    <x v="1"/>
    <n v="6644"/>
    <n v="3687"/>
    <n v="2"/>
    <s v="Y"/>
    <x v="1"/>
    <n v="19"/>
    <n v="3"/>
    <n v="2"/>
    <n v="80"/>
    <n v="2"/>
    <n v="10"/>
    <n v="2"/>
    <n v="3"/>
    <n v="0"/>
    <n v="0"/>
    <n v="0"/>
    <n v="0"/>
    <x v="2"/>
    <x v="1"/>
    <x v="0"/>
    <n v="0"/>
  </r>
  <r>
    <x v="12"/>
    <x v="1"/>
    <x v="0"/>
    <n v="1463"/>
    <x v="1"/>
    <n v="23"/>
    <n v="3"/>
    <s v="Medical"/>
    <n v="1"/>
    <n v="367"/>
    <n v="2"/>
    <x v="1"/>
    <n v="64"/>
    <n v="2"/>
    <x v="0"/>
    <x v="4"/>
    <n v="4"/>
    <x v="1"/>
    <n v="5582"/>
    <n v="14408"/>
    <n v="0"/>
    <s v="Y"/>
    <x v="1"/>
    <n v="21"/>
    <n v="4"/>
    <n v="2"/>
    <n v="80"/>
    <n v="1"/>
    <n v="10"/>
    <n v="2"/>
    <n v="3"/>
    <n v="9"/>
    <n v="0"/>
    <n v="7"/>
    <n v="8"/>
    <x v="2"/>
    <x v="0"/>
    <x v="0"/>
    <n v="0"/>
  </r>
  <r>
    <x v="36"/>
    <x v="1"/>
    <x v="2"/>
    <n v="675"/>
    <x v="1"/>
    <n v="5"/>
    <n v="2"/>
    <s v="Life Sciences"/>
    <n v="1"/>
    <n v="369"/>
    <n v="2"/>
    <x v="1"/>
    <n v="85"/>
    <n v="4"/>
    <x v="0"/>
    <x v="4"/>
    <n v="1"/>
    <x v="2"/>
    <n v="4000"/>
    <n v="18384"/>
    <n v="1"/>
    <s v="Y"/>
    <x v="1"/>
    <n v="12"/>
    <n v="3"/>
    <n v="4"/>
    <n v="80"/>
    <n v="2"/>
    <n v="6"/>
    <n v="2"/>
    <n v="3"/>
    <n v="6"/>
    <n v="3"/>
    <n v="1"/>
    <n v="5"/>
    <x v="2"/>
    <x v="0"/>
    <x v="2"/>
    <n v="0"/>
  </r>
  <r>
    <x v="28"/>
    <x v="1"/>
    <x v="0"/>
    <n v="1385"/>
    <x v="1"/>
    <n v="20"/>
    <n v="2"/>
    <s v="Medical"/>
    <n v="1"/>
    <n v="372"/>
    <n v="3"/>
    <x v="1"/>
    <n v="79"/>
    <n v="3"/>
    <x v="3"/>
    <x v="4"/>
    <n v="4"/>
    <x v="1"/>
    <n v="13496"/>
    <n v="7501"/>
    <n v="0"/>
    <s v="Y"/>
    <x v="0"/>
    <n v="14"/>
    <n v="3"/>
    <n v="2"/>
    <n v="80"/>
    <n v="0"/>
    <n v="21"/>
    <n v="2"/>
    <n v="3"/>
    <n v="20"/>
    <n v="7"/>
    <n v="4"/>
    <n v="10"/>
    <x v="1"/>
    <x v="3"/>
    <x v="3"/>
    <n v="0"/>
  </r>
  <r>
    <x v="9"/>
    <x v="1"/>
    <x v="0"/>
    <n v="1403"/>
    <x v="1"/>
    <n v="6"/>
    <n v="3"/>
    <s v="Life Sciences"/>
    <n v="1"/>
    <n v="373"/>
    <n v="4"/>
    <x v="1"/>
    <n v="47"/>
    <n v="3"/>
    <x v="1"/>
    <x v="2"/>
    <n v="4"/>
    <x v="1"/>
    <n v="3210"/>
    <n v="20251"/>
    <n v="0"/>
    <s v="Y"/>
    <x v="1"/>
    <n v="11"/>
    <n v="3"/>
    <n v="3"/>
    <n v="80"/>
    <n v="1"/>
    <n v="16"/>
    <n v="4"/>
    <n v="3"/>
    <n v="15"/>
    <n v="13"/>
    <n v="10"/>
    <n v="11"/>
    <x v="0"/>
    <x v="3"/>
    <x v="2"/>
    <n v="0"/>
  </r>
  <r>
    <x v="27"/>
    <x v="1"/>
    <x v="0"/>
    <n v="452"/>
    <x v="1"/>
    <n v="1"/>
    <n v="3"/>
    <s v="Medical"/>
    <n v="1"/>
    <n v="374"/>
    <n v="4"/>
    <x v="1"/>
    <n v="81"/>
    <n v="3"/>
    <x v="4"/>
    <x v="5"/>
    <n v="1"/>
    <x v="0"/>
    <n v="19045"/>
    <n v="18938"/>
    <n v="0"/>
    <s v="Y"/>
    <x v="0"/>
    <n v="14"/>
    <n v="3"/>
    <n v="3"/>
    <n v="80"/>
    <n v="0"/>
    <n v="37"/>
    <n v="2"/>
    <n v="3"/>
    <n v="36"/>
    <n v="10"/>
    <n v="4"/>
    <n v="13"/>
    <x v="3"/>
    <x v="3"/>
    <x v="3"/>
    <n v="0"/>
  </r>
  <r>
    <x v="40"/>
    <x v="0"/>
    <x v="2"/>
    <n v="666"/>
    <x v="1"/>
    <n v="29"/>
    <n v="4"/>
    <s v="Life Sciences"/>
    <n v="1"/>
    <n v="376"/>
    <n v="1"/>
    <x v="1"/>
    <n v="88"/>
    <n v="3"/>
    <x v="2"/>
    <x v="5"/>
    <n v="2"/>
    <x v="1"/>
    <n v="11849"/>
    <n v="10268"/>
    <n v="1"/>
    <s v="Y"/>
    <x v="0"/>
    <n v="12"/>
    <n v="3"/>
    <n v="4"/>
    <n v="80"/>
    <n v="1"/>
    <n v="10"/>
    <n v="2"/>
    <n v="2"/>
    <n v="10"/>
    <n v="7"/>
    <n v="9"/>
    <n v="9"/>
    <x v="1"/>
    <x v="0"/>
    <x v="3"/>
    <n v="1"/>
  </r>
  <r>
    <x v="14"/>
    <x v="1"/>
    <x v="0"/>
    <n v="1158"/>
    <x v="1"/>
    <n v="9"/>
    <n v="3"/>
    <s v="Medical"/>
    <n v="1"/>
    <n v="377"/>
    <n v="4"/>
    <x v="1"/>
    <n v="94"/>
    <n v="3"/>
    <x v="1"/>
    <x v="1"/>
    <n v="4"/>
    <x v="1"/>
    <n v="2070"/>
    <n v="2613"/>
    <n v="1"/>
    <s v="Y"/>
    <x v="1"/>
    <n v="23"/>
    <n v="4"/>
    <n v="4"/>
    <n v="80"/>
    <n v="1"/>
    <n v="5"/>
    <n v="3"/>
    <n v="2"/>
    <n v="5"/>
    <n v="2"/>
    <n v="0"/>
    <n v="4"/>
    <x v="2"/>
    <x v="2"/>
    <x v="1"/>
    <n v="0"/>
  </r>
  <r>
    <x v="2"/>
    <x v="1"/>
    <x v="0"/>
    <n v="228"/>
    <x v="0"/>
    <n v="6"/>
    <n v="4"/>
    <s v="Medical"/>
    <n v="1"/>
    <n v="378"/>
    <n v="3"/>
    <x v="1"/>
    <n v="98"/>
    <n v="3"/>
    <x v="0"/>
    <x v="0"/>
    <n v="4"/>
    <x v="1"/>
    <n v="6502"/>
    <n v="22825"/>
    <n v="4"/>
    <s v="Y"/>
    <x v="1"/>
    <n v="14"/>
    <n v="3"/>
    <n v="2"/>
    <n v="80"/>
    <n v="1"/>
    <n v="7"/>
    <n v="5"/>
    <n v="4"/>
    <n v="5"/>
    <n v="4"/>
    <n v="0"/>
    <n v="1"/>
    <x v="0"/>
    <x v="2"/>
    <x v="0"/>
    <n v="0"/>
  </r>
  <r>
    <x v="18"/>
    <x v="1"/>
    <x v="0"/>
    <n v="996"/>
    <x v="1"/>
    <n v="3"/>
    <n v="2"/>
    <s v="Medical"/>
    <n v="1"/>
    <n v="379"/>
    <n v="4"/>
    <x v="1"/>
    <n v="100"/>
    <n v="2"/>
    <x v="1"/>
    <x v="1"/>
    <n v="3"/>
    <x v="0"/>
    <n v="3230"/>
    <n v="10531"/>
    <n v="1"/>
    <s v="Y"/>
    <x v="1"/>
    <n v="17"/>
    <n v="3"/>
    <n v="1"/>
    <n v="80"/>
    <n v="0"/>
    <n v="3"/>
    <n v="4"/>
    <n v="4"/>
    <n v="3"/>
    <n v="2"/>
    <n v="1"/>
    <n v="0"/>
    <x v="4"/>
    <x v="2"/>
    <x v="2"/>
    <n v="0"/>
  </r>
  <r>
    <x v="2"/>
    <x v="1"/>
    <x v="2"/>
    <n v="728"/>
    <x v="1"/>
    <n v="1"/>
    <n v="4"/>
    <s v="Medical"/>
    <n v="1"/>
    <n v="380"/>
    <n v="1"/>
    <x v="0"/>
    <n v="80"/>
    <n v="3"/>
    <x v="2"/>
    <x v="7"/>
    <n v="4"/>
    <x v="2"/>
    <n v="13603"/>
    <n v="11677"/>
    <n v="2"/>
    <s v="Y"/>
    <x v="0"/>
    <n v="18"/>
    <n v="3"/>
    <n v="1"/>
    <n v="80"/>
    <n v="2"/>
    <n v="15"/>
    <n v="2"/>
    <n v="3"/>
    <n v="5"/>
    <n v="2"/>
    <n v="0"/>
    <n v="2"/>
    <x v="0"/>
    <x v="2"/>
    <x v="3"/>
    <n v="0"/>
  </r>
  <r>
    <x v="10"/>
    <x v="1"/>
    <x v="0"/>
    <n v="1315"/>
    <x v="1"/>
    <n v="22"/>
    <n v="3"/>
    <s v="Life Sciences"/>
    <n v="1"/>
    <n v="381"/>
    <n v="2"/>
    <x v="0"/>
    <n v="71"/>
    <n v="4"/>
    <x v="2"/>
    <x v="5"/>
    <n v="2"/>
    <x v="2"/>
    <n v="11996"/>
    <n v="19100"/>
    <n v="7"/>
    <s v="Y"/>
    <x v="1"/>
    <n v="18"/>
    <n v="3"/>
    <n v="2"/>
    <n v="80"/>
    <n v="1"/>
    <n v="10"/>
    <n v="6"/>
    <n v="2"/>
    <n v="7"/>
    <n v="7"/>
    <n v="6"/>
    <n v="2"/>
    <x v="0"/>
    <x v="0"/>
    <x v="3"/>
    <n v="0"/>
  </r>
  <r>
    <x v="8"/>
    <x v="1"/>
    <x v="0"/>
    <n v="322"/>
    <x v="0"/>
    <n v="7"/>
    <n v="2"/>
    <s v="Medical"/>
    <n v="1"/>
    <n v="382"/>
    <n v="1"/>
    <x v="0"/>
    <n v="44"/>
    <n v="4"/>
    <x v="0"/>
    <x v="0"/>
    <n v="1"/>
    <x v="2"/>
    <n v="5605"/>
    <n v="19191"/>
    <n v="1"/>
    <s v="Y"/>
    <x v="0"/>
    <n v="24"/>
    <n v="4"/>
    <n v="3"/>
    <n v="80"/>
    <n v="1"/>
    <n v="8"/>
    <n v="3"/>
    <n v="3"/>
    <n v="8"/>
    <n v="0"/>
    <n v="7"/>
    <n v="7"/>
    <x v="0"/>
    <x v="0"/>
    <x v="0"/>
    <n v="0"/>
  </r>
  <r>
    <x v="25"/>
    <x v="1"/>
    <x v="1"/>
    <n v="1479"/>
    <x v="1"/>
    <n v="1"/>
    <n v="3"/>
    <s v="Life Sciences"/>
    <n v="1"/>
    <n v="384"/>
    <n v="3"/>
    <x v="0"/>
    <n v="84"/>
    <n v="3"/>
    <x v="0"/>
    <x v="3"/>
    <n v="2"/>
    <x v="2"/>
    <n v="6397"/>
    <n v="26767"/>
    <n v="1"/>
    <s v="Y"/>
    <x v="1"/>
    <n v="20"/>
    <n v="4"/>
    <n v="1"/>
    <n v="80"/>
    <n v="1"/>
    <n v="6"/>
    <n v="6"/>
    <n v="1"/>
    <n v="6"/>
    <n v="5"/>
    <n v="1"/>
    <n v="4"/>
    <x v="2"/>
    <x v="0"/>
    <x v="0"/>
    <n v="0"/>
  </r>
  <r>
    <x v="24"/>
    <x v="1"/>
    <x v="0"/>
    <n v="797"/>
    <x v="1"/>
    <n v="4"/>
    <n v="1"/>
    <s v="Life Sciences"/>
    <n v="1"/>
    <n v="385"/>
    <n v="1"/>
    <x v="1"/>
    <n v="96"/>
    <n v="3"/>
    <x v="4"/>
    <x v="7"/>
    <n v="2"/>
    <x v="2"/>
    <n v="19144"/>
    <n v="15815"/>
    <n v="3"/>
    <s v="Y"/>
    <x v="1"/>
    <n v="14"/>
    <n v="3"/>
    <n v="1"/>
    <n v="80"/>
    <n v="2"/>
    <n v="28"/>
    <n v="4"/>
    <n v="2"/>
    <n v="10"/>
    <n v="4"/>
    <n v="1"/>
    <n v="6"/>
    <x v="1"/>
    <x v="0"/>
    <x v="3"/>
    <n v="0"/>
  </r>
  <r>
    <x v="16"/>
    <x v="1"/>
    <x v="0"/>
    <n v="1070"/>
    <x v="1"/>
    <n v="3"/>
    <n v="4"/>
    <s v="Medical"/>
    <n v="1"/>
    <n v="386"/>
    <n v="3"/>
    <x v="1"/>
    <n v="45"/>
    <n v="3"/>
    <x v="3"/>
    <x v="7"/>
    <n v="3"/>
    <x v="1"/>
    <n v="17584"/>
    <n v="21016"/>
    <n v="3"/>
    <s v="Y"/>
    <x v="0"/>
    <n v="16"/>
    <n v="3"/>
    <n v="4"/>
    <n v="80"/>
    <n v="3"/>
    <n v="21"/>
    <n v="5"/>
    <n v="2"/>
    <n v="5"/>
    <n v="3"/>
    <n v="1"/>
    <n v="3"/>
    <x v="1"/>
    <x v="2"/>
    <x v="3"/>
    <n v="0"/>
  </r>
  <r>
    <x v="19"/>
    <x v="1"/>
    <x v="0"/>
    <n v="635"/>
    <x v="0"/>
    <n v="1"/>
    <n v="1"/>
    <s v="Life Sciences"/>
    <n v="1"/>
    <n v="387"/>
    <n v="2"/>
    <x v="1"/>
    <n v="99"/>
    <n v="3"/>
    <x v="0"/>
    <x v="0"/>
    <n v="3"/>
    <x v="1"/>
    <n v="4907"/>
    <n v="24532"/>
    <n v="1"/>
    <s v="Y"/>
    <x v="1"/>
    <n v="25"/>
    <n v="4"/>
    <n v="3"/>
    <n v="80"/>
    <n v="0"/>
    <n v="20"/>
    <n v="3"/>
    <n v="3"/>
    <n v="20"/>
    <n v="16"/>
    <n v="11"/>
    <n v="6"/>
    <x v="0"/>
    <x v="3"/>
    <x v="2"/>
    <n v="0"/>
  </r>
  <r>
    <x v="11"/>
    <x v="1"/>
    <x v="1"/>
    <n v="442"/>
    <x v="0"/>
    <n v="2"/>
    <n v="2"/>
    <s v="Life Sciences"/>
    <n v="1"/>
    <n v="388"/>
    <n v="2"/>
    <x v="1"/>
    <n v="44"/>
    <n v="3"/>
    <x v="0"/>
    <x v="0"/>
    <n v="4"/>
    <x v="0"/>
    <n v="4554"/>
    <n v="20260"/>
    <n v="1"/>
    <s v="Y"/>
    <x v="1"/>
    <n v="18"/>
    <n v="3"/>
    <n v="1"/>
    <n v="80"/>
    <n v="0"/>
    <n v="10"/>
    <n v="3"/>
    <n v="2"/>
    <n v="10"/>
    <n v="7"/>
    <n v="0"/>
    <n v="9"/>
    <x v="2"/>
    <x v="0"/>
    <x v="2"/>
    <n v="0"/>
  </r>
  <r>
    <x v="27"/>
    <x v="1"/>
    <x v="0"/>
    <n v="147"/>
    <x v="1"/>
    <n v="20"/>
    <n v="2"/>
    <s v="Technical Degree"/>
    <n v="1"/>
    <n v="389"/>
    <n v="2"/>
    <x v="1"/>
    <n v="37"/>
    <n v="3"/>
    <x v="0"/>
    <x v="2"/>
    <n v="4"/>
    <x v="1"/>
    <n v="5415"/>
    <n v="15972"/>
    <n v="3"/>
    <s v="Y"/>
    <x v="0"/>
    <n v="19"/>
    <n v="3"/>
    <n v="4"/>
    <n v="80"/>
    <n v="1"/>
    <n v="12"/>
    <n v="4"/>
    <n v="3"/>
    <n v="10"/>
    <n v="7"/>
    <n v="0"/>
    <n v="8"/>
    <x v="3"/>
    <x v="0"/>
    <x v="0"/>
    <n v="0"/>
  </r>
  <r>
    <x v="25"/>
    <x v="1"/>
    <x v="1"/>
    <n v="496"/>
    <x v="1"/>
    <n v="11"/>
    <n v="2"/>
    <s v="Medical"/>
    <n v="1"/>
    <n v="390"/>
    <n v="1"/>
    <x v="1"/>
    <n v="60"/>
    <n v="3"/>
    <x v="0"/>
    <x v="4"/>
    <n v="1"/>
    <x v="1"/>
    <n v="4741"/>
    <n v="22722"/>
    <n v="1"/>
    <s v="Y"/>
    <x v="0"/>
    <n v="13"/>
    <n v="3"/>
    <n v="3"/>
    <n v="80"/>
    <n v="1"/>
    <n v="5"/>
    <n v="3"/>
    <n v="3"/>
    <n v="5"/>
    <n v="3"/>
    <n v="3"/>
    <n v="3"/>
    <x v="2"/>
    <x v="2"/>
    <x v="2"/>
    <n v="0"/>
  </r>
  <r>
    <x v="2"/>
    <x v="1"/>
    <x v="0"/>
    <n v="1372"/>
    <x v="1"/>
    <n v="1"/>
    <n v="3"/>
    <s v="Life Sciences"/>
    <n v="1"/>
    <n v="391"/>
    <n v="4"/>
    <x v="0"/>
    <n v="42"/>
    <n v="3"/>
    <x v="1"/>
    <x v="1"/>
    <n v="4"/>
    <x v="0"/>
    <n v="2115"/>
    <n v="15881"/>
    <n v="1"/>
    <s v="Y"/>
    <x v="1"/>
    <n v="12"/>
    <n v="3"/>
    <n v="2"/>
    <n v="80"/>
    <n v="0"/>
    <n v="17"/>
    <n v="3"/>
    <n v="3"/>
    <n v="17"/>
    <n v="12"/>
    <n v="5"/>
    <n v="7"/>
    <x v="0"/>
    <x v="3"/>
    <x v="1"/>
    <n v="0"/>
  </r>
  <r>
    <x v="20"/>
    <x v="0"/>
    <x v="1"/>
    <n v="920"/>
    <x v="1"/>
    <n v="24"/>
    <n v="3"/>
    <s v="Life Sciences"/>
    <n v="1"/>
    <n v="392"/>
    <n v="4"/>
    <x v="1"/>
    <n v="43"/>
    <n v="3"/>
    <x v="1"/>
    <x v="2"/>
    <n v="3"/>
    <x v="2"/>
    <n v="3161"/>
    <n v="19920"/>
    <n v="3"/>
    <s v="Y"/>
    <x v="0"/>
    <n v="22"/>
    <n v="4"/>
    <n v="4"/>
    <n v="80"/>
    <n v="1"/>
    <n v="19"/>
    <n v="0"/>
    <n v="1"/>
    <n v="1"/>
    <n v="0"/>
    <n v="0"/>
    <n v="0"/>
    <x v="0"/>
    <x v="1"/>
    <x v="2"/>
    <n v="1"/>
  </r>
  <r>
    <x v="8"/>
    <x v="1"/>
    <x v="0"/>
    <n v="688"/>
    <x v="1"/>
    <n v="23"/>
    <n v="4"/>
    <s v="Life Sciences"/>
    <n v="1"/>
    <n v="393"/>
    <n v="4"/>
    <x v="1"/>
    <n v="82"/>
    <n v="3"/>
    <x v="0"/>
    <x v="4"/>
    <n v="4"/>
    <x v="2"/>
    <n v="5745"/>
    <n v="18899"/>
    <n v="9"/>
    <s v="Y"/>
    <x v="1"/>
    <n v="14"/>
    <n v="3"/>
    <n v="2"/>
    <n v="80"/>
    <n v="1"/>
    <n v="10"/>
    <n v="2"/>
    <n v="3"/>
    <n v="2"/>
    <n v="2"/>
    <n v="1"/>
    <n v="2"/>
    <x v="0"/>
    <x v="1"/>
    <x v="0"/>
    <n v="0"/>
  </r>
  <r>
    <x v="25"/>
    <x v="0"/>
    <x v="0"/>
    <n v="1449"/>
    <x v="1"/>
    <n v="16"/>
    <n v="4"/>
    <s v="Medical"/>
    <n v="1"/>
    <n v="394"/>
    <n v="1"/>
    <x v="1"/>
    <n v="45"/>
    <n v="3"/>
    <x v="1"/>
    <x v="2"/>
    <n v="2"/>
    <x v="2"/>
    <n v="2373"/>
    <n v="14180"/>
    <n v="2"/>
    <s v="Y"/>
    <x v="0"/>
    <n v="13"/>
    <n v="3"/>
    <n v="4"/>
    <n v="80"/>
    <n v="1"/>
    <n v="5"/>
    <n v="2"/>
    <n v="3"/>
    <n v="3"/>
    <n v="2"/>
    <n v="0"/>
    <n v="2"/>
    <x v="2"/>
    <x v="2"/>
    <x v="1"/>
    <n v="1"/>
  </r>
  <r>
    <x v="14"/>
    <x v="1"/>
    <x v="0"/>
    <n v="1117"/>
    <x v="1"/>
    <n v="8"/>
    <n v="2"/>
    <s v="Life Sciences"/>
    <n v="1"/>
    <n v="395"/>
    <n v="4"/>
    <x v="0"/>
    <n v="66"/>
    <n v="3"/>
    <x v="1"/>
    <x v="1"/>
    <n v="4"/>
    <x v="0"/>
    <n v="3310"/>
    <n v="4488"/>
    <n v="1"/>
    <s v="Y"/>
    <x v="1"/>
    <n v="21"/>
    <n v="4"/>
    <n v="4"/>
    <n v="80"/>
    <n v="0"/>
    <n v="5"/>
    <n v="3"/>
    <n v="3"/>
    <n v="5"/>
    <n v="3"/>
    <n v="0"/>
    <n v="2"/>
    <x v="2"/>
    <x v="2"/>
    <x v="2"/>
    <n v="0"/>
  </r>
  <r>
    <x v="1"/>
    <x v="1"/>
    <x v="1"/>
    <n v="636"/>
    <x v="1"/>
    <n v="10"/>
    <n v="4"/>
    <s v="Life Sciences"/>
    <n v="1"/>
    <n v="396"/>
    <n v="3"/>
    <x v="0"/>
    <n v="35"/>
    <n v="3"/>
    <x v="4"/>
    <x v="7"/>
    <n v="1"/>
    <x v="0"/>
    <n v="18665"/>
    <n v="25594"/>
    <n v="9"/>
    <s v="Y"/>
    <x v="0"/>
    <n v="11"/>
    <n v="3"/>
    <n v="4"/>
    <n v="80"/>
    <n v="0"/>
    <n v="22"/>
    <n v="4"/>
    <n v="3"/>
    <n v="3"/>
    <n v="2"/>
    <n v="1"/>
    <n v="2"/>
    <x v="1"/>
    <x v="2"/>
    <x v="3"/>
    <n v="0"/>
  </r>
  <r>
    <x v="9"/>
    <x v="1"/>
    <x v="0"/>
    <n v="506"/>
    <x v="1"/>
    <n v="3"/>
    <n v="3"/>
    <s v="Technical Degree"/>
    <n v="1"/>
    <n v="397"/>
    <n v="3"/>
    <x v="1"/>
    <n v="30"/>
    <n v="3"/>
    <x v="0"/>
    <x v="1"/>
    <n v="2"/>
    <x v="0"/>
    <n v="4485"/>
    <n v="26285"/>
    <n v="4"/>
    <s v="Y"/>
    <x v="1"/>
    <n v="12"/>
    <n v="3"/>
    <n v="4"/>
    <n v="80"/>
    <n v="0"/>
    <n v="10"/>
    <n v="2"/>
    <n v="3"/>
    <n v="8"/>
    <n v="0"/>
    <n v="7"/>
    <n v="7"/>
    <x v="0"/>
    <x v="0"/>
    <x v="2"/>
    <n v="0"/>
  </r>
  <r>
    <x v="12"/>
    <x v="1"/>
    <x v="1"/>
    <n v="444"/>
    <x v="0"/>
    <n v="5"/>
    <n v="3"/>
    <s v="Marketing"/>
    <n v="1"/>
    <n v="399"/>
    <n v="4"/>
    <x v="0"/>
    <n v="84"/>
    <n v="3"/>
    <x v="1"/>
    <x v="6"/>
    <n v="2"/>
    <x v="2"/>
    <n v="2789"/>
    <n v="3909"/>
    <n v="1"/>
    <s v="Y"/>
    <x v="1"/>
    <n v="11"/>
    <n v="3"/>
    <n v="3"/>
    <n v="80"/>
    <n v="1"/>
    <n v="2"/>
    <n v="5"/>
    <n v="2"/>
    <n v="2"/>
    <n v="2"/>
    <n v="2"/>
    <n v="2"/>
    <x v="2"/>
    <x v="1"/>
    <x v="1"/>
    <n v="0"/>
  </r>
  <r>
    <x v="25"/>
    <x v="0"/>
    <x v="0"/>
    <n v="950"/>
    <x v="0"/>
    <n v="4"/>
    <n v="4"/>
    <s v="Marketing"/>
    <n v="1"/>
    <n v="401"/>
    <n v="4"/>
    <x v="1"/>
    <n v="48"/>
    <n v="2"/>
    <x v="0"/>
    <x v="0"/>
    <n v="4"/>
    <x v="0"/>
    <n v="5828"/>
    <n v="8450"/>
    <n v="1"/>
    <s v="Y"/>
    <x v="0"/>
    <n v="12"/>
    <n v="3"/>
    <n v="2"/>
    <n v="80"/>
    <n v="0"/>
    <n v="8"/>
    <n v="0"/>
    <n v="3"/>
    <n v="8"/>
    <n v="7"/>
    <n v="7"/>
    <n v="4"/>
    <x v="2"/>
    <x v="0"/>
    <x v="0"/>
    <n v="1"/>
  </r>
  <r>
    <x v="2"/>
    <x v="1"/>
    <x v="1"/>
    <n v="889"/>
    <x v="1"/>
    <n v="9"/>
    <n v="3"/>
    <s v="Medical"/>
    <n v="1"/>
    <n v="403"/>
    <n v="2"/>
    <x v="1"/>
    <n v="53"/>
    <n v="3"/>
    <x v="1"/>
    <x v="1"/>
    <n v="4"/>
    <x v="1"/>
    <n v="2326"/>
    <n v="11411"/>
    <n v="1"/>
    <s v="Y"/>
    <x v="0"/>
    <n v="12"/>
    <n v="3"/>
    <n v="3"/>
    <n v="80"/>
    <n v="3"/>
    <n v="4"/>
    <n v="3"/>
    <n v="2"/>
    <n v="4"/>
    <n v="2"/>
    <n v="1"/>
    <n v="2"/>
    <x v="0"/>
    <x v="2"/>
    <x v="1"/>
    <n v="0"/>
  </r>
  <r>
    <x v="19"/>
    <x v="1"/>
    <x v="1"/>
    <n v="555"/>
    <x v="0"/>
    <n v="26"/>
    <n v="3"/>
    <s v="Marketing"/>
    <n v="1"/>
    <n v="404"/>
    <n v="3"/>
    <x v="0"/>
    <n v="77"/>
    <n v="3"/>
    <x v="3"/>
    <x v="0"/>
    <n v="2"/>
    <x v="1"/>
    <n v="13525"/>
    <n v="14864"/>
    <n v="5"/>
    <s v="Y"/>
    <x v="1"/>
    <n v="14"/>
    <n v="3"/>
    <n v="4"/>
    <n v="80"/>
    <n v="1"/>
    <n v="23"/>
    <n v="2"/>
    <n v="4"/>
    <n v="20"/>
    <n v="4"/>
    <n v="4"/>
    <n v="8"/>
    <x v="0"/>
    <x v="3"/>
    <x v="3"/>
    <n v="0"/>
  </r>
  <r>
    <x v="41"/>
    <x v="0"/>
    <x v="0"/>
    <n v="230"/>
    <x v="1"/>
    <n v="3"/>
    <n v="3"/>
    <s v="Life Sciences"/>
    <n v="1"/>
    <n v="405"/>
    <n v="3"/>
    <x v="1"/>
    <n v="54"/>
    <n v="3"/>
    <x v="1"/>
    <x v="2"/>
    <n v="3"/>
    <x v="0"/>
    <n v="1420"/>
    <n v="25233"/>
    <n v="1"/>
    <s v="Y"/>
    <x v="1"/>
    <n v="13"/>
    <n v="3"/>
    <n v="3"/>
    <n v="80"/>
    <n v="0"/>
    <n v="0"/>
    <n v="2"/>
    <n v="3"/>
    <n v="0"/>
    <n v="0"/>
    <n v="0"/>
    <n v="0"/>
    <x v="4"/>
    <x v="1"/>
    <x v="1"/>
    <n v="1"/>
  </r>
  <r>
    <x v="10"/>
    <x v="1"/>
    <x v="0"/>
    <n v="1232"/>
    <x v="0"/>
    <n v="16"/>
    <n v="3"/>
    <s v="Marketing"/>
    <n v="1"/>
    <n v="406"/>
    <n v="3"/>
    <x v="1"/>
    <n v="96"/>
    <n v="3"/>
    <x v="2"/>
    <x v="0"/>
    <n v="2"/>
    <x v="1"/>
    <n v="8020"/>
    <n v="5100"/>
    <n v="0"/>
    <s v="Y"/>
    <x v="1"/>
    <n v="15"/>
    <n v="3"/>
    <n v="3"/>
    <n v="80"/>
    <n v="2"/>
    <n v="12"/>
    <n v="3"/>
    <n v="2"/>
    <n v="11"/>
    <n v="9"/>
    <n v="6"/>
    <n v="9"/>
    <x v="0"/>
    <x v="3"/>
    <x v="3"/>
    <n v="0"/>
  </r>
  <r>
    <x v="9"/>
    <x v="1"/>
    <x v="1"/>
    <n v="566"/>
    <x v="1"/>
    <n v="18"/>
    <n v="4"/>
    <s v="Life Sciences"/>
    <n v="1"/>
    <n v="407"/>
    <n v="3"/>
    <x v="1"/>
    <n v="81"/>
    <n v="4"/>
    <x v="1"/>
    <x v="2"/>
    <n v="4"/>
    <x v="1"/>
    <n v="3688"/>
    <n v="7122"/>
    <n v="4"/>
    <s v="Y"/>
    <x v="1"/>
    <n v="18"/>
    <n v="3"/>
    <n v="4"/>
    <n v="80"/>
    <n v="2"/>
    <n v="4"/>
    <n v="2"/>
    <n v="3"/>
    <n v="1"/>
    <n v="0"/>
    <n v="0"/>
    <n v="0"/>
    <x v="0"/>
    <x v="1"/>
    <x v="2"/>
    <n v="0"/>
  </r>
  <r>
    <x v="31"/>
    <x v="1"/>
    <x v="0"/>
    <n v="1302"/>
    <x v="1"/>
    <n v="2"/>
    <n v="3"/>
    <s v="Medical"/>
    <n v="1"/>
    <n v="408"/>
    <n v="4"/>
    <x v="1"/>
    <n v="84"/>
    <n v="1"/>
    <x v="0"/>
    <x v="3"/>
    <n v="2"/>
    <x v="2"/>
    <n v="5482"/>
    <n v="16321"/>
    <n v="5"/>
    <s v="Y"/>
    <x v="1"/>
    <n v="18"/>
    <n v="3"/>
    <n v="4"/>
    <n v="80"/>
    <n v="1"/>
    <n v="13"/>
    <n v="3"/>
    <n v="3"/>
    <n v="4"/>
    <n v="1"/>
    <n v="1"/>
    <n v="2"/>
    <x v="1"/>
    <x v="2"/>
    <x v="0"/>
    <n v="0"/>
  </r>
  <r>
    <x v="0"/>
    <x v="1"/>
    <x v="0"/>
    <n v="334"/>
    <x v="0"/>
    <n v="2"/>
    <n v="4"/>
    <s v="Life Sciences"/>
    <n v="1"/>
    <n v="410"/>
    <n v="4"/>
    <x v="1"/>
    <n v="88"/>
    <n v="3"/>
    <x v="3"/>
    <x v="5"/>
    <n v="2"/>
    <x v="0"/>
    <n v="16015"/>
    <n v="15896"/>
    <n v="1"/>
    <s v="Y"/>
    <x v="1"/>
    <n v="19"/>
    <n v="3"/>
    <n v="2"/>
    <n v="80"/>
    <n v="0"/>
    <n v="22"/>
    <n v="2"/>
    <n v="3"/>
    <n v="22"/>
    <n v="10"/>
    <n v="0"/>
    <n v="4"/>
    <x v="0"/>
    <x v="3"/>
    <x v="3"/>
    <n v="0"/>
  </r>
  <r>
    <x v="41"/>
    <x v="1"/>
    <x v="0"/>
    <n v="812"/>
    <x v="0"/>
    <n v="10"/>
    <n v="3"/>
    <s v="Medical"/>
    <n v="1"/>
    <n v="411"/>
    <n v="4"/>
    <x v="0"/>
    <n v="69"/>
    <n v="2"/>
    <x v="1"/>
    <x v="6"/>
    <n v="3"/>
    <x v="0"/>
    <n v="1200"/>
    <n v="9724"/>
    <n v="1"/>
    <s v="Y"/>
    <x v="1"/>
    <n v="12"/>
    <n v="3"/>
    <n v="1"/>
    <n v="80"/>
    <n v="0"/>
    <n v="0"/>
    <n v="2"/>
    <n v="3"/>
    <n v="0"/>
    <n v="0"/>
    <n v="0"/>
    <n v="0"/>
    <x v="4"/>
    <x v="1"/>
    <x v="1"/>
    <n v="0"/>
  </r>
  <r>
    <x v="14"/>
    <x v="1"/>
    <x v="0"/>
    <n v="1476"/>
    <x v="1"/>
    <n v="16"/>
    <n v="2"/>
    <s v="Medical"/>
    <n v="1"/>
    <n v="412"/>
    <n v="2"/>
    <x v="1"/>
    <n v="68"/>
    <n v="4"/>
    <x v="0"/>
    <x v="4"/>
    <n v="1"/>
    <x v="0"/>
    <n v="5661"/>
    <n v="4824"/>
    <n v="0"/>
    <s v="Y"/>
    <x v="1"/>
    <n v="19"/>
    <n v="3"/>
    <n v="3"/>
    <n v="80"/>
    <n v="0"/>
    <n v="9"/>
    <n v="2"/>
    <n v="3"/>
    <n v="8"/>
    <n v="3"/>
    <n v="0"/>
    <n v="7"/>
    <x v="2"/>
    <x v="0"/>
    <x v="0"/>
    <n v="0"/>
  </r>
  <r>
    <x v="12"/>
    <x v="1"/>
    <x v="0"/>
    <n v="218"/>
    <x v="0"/>
    <n v="7"/>
    <n v="3"/>
    <s v="Technical Degree"/>
    <n v="1"/>
    <n v="416"/>
    <n v="2"/>
    <x v="1"/>
    <n v="100"/>
    <n v="4"/>
    <x v="0"/>
    <x v="0"/>
    <n v="4"/>
    <x v="1"/>
    <n v="6929"/>
    <n v="12241"/>
    <n v="4"/>
    <s v="Y"/>
    <x v="1"/>
    <n v="11"/>
    <n v="3"/>
    <n v="2"/>
    <n v="80"/>
    <n v="1"/>
    <n v="10"/>
    <n v="3"/>
    <n v="2"/>
    <n v="8"/>
    <n v="7"/>
    <n v="7"/>
    <n v="7"/>
    <x v="2"/>
    <x v="0"/>
    <x v="0"/>
    <n v="0"/>
  </r>
  <r>
    <x v="22"/>
    <x v="1"/>
    <x v="0"/>
    <n v="1132"/>
    <x v="1"/>
    <n v="1"/>
    <n v="3"/>
    <s v="Medical"/>
    <n v="1"/>
    <n v="417"/>
    <n v="3"/>
    <x v="1"/>
    <n v="48"/>
    <n v="4"/>
    <x v="2"/>
    <x v="4"/>
    <n v="4"/>
    <x v="2"/>
    <n v="9613"/>
    <n v="10942"/>
    <n v="0"/>
    <s v="Y"/>
    <x v="1"/>
    <n v="17"/>
    <n v="3"/>
    <n v="1"/>
    <n v="80"/>
    <n v="3"/>
    <n v="19"/>
    <n v="5"/>
    <n v="2"/>
    <n v="18"/>
    <n v="10"/>
    <n v="3"/>
    <n v="7"/>
    <x v="0"/>
    <x v="3"/>
    <x v="3"/>
    <n v="0"/>
  </r>
  <r>
    <x v="9"/>
    <x v="1"/>
    <x v="2"/>
    <n v="1105"/>
    <x v="1"/>
    <n v="24"/>
    <n v="4"/>
    <s v="Life Sciences"/>
    <n v="1"/>
    <n v="419"/>
    <n v="2"/>
    <x v="0"/>
    <n v="47"/>
    <n v="3"/>
    <x v="0"/>
    <x v="2"/>
    <n v="2"/>
    <x v="1"/>
    <n v="5674"/>
    <n v="6927"/>
    <n v="7"/>
    <s v="Y"/>
    <x v="1"/>
    <n v="15"/>
    <n v="3"/>
    <n v="3"/>
    <n v="80"/>
    <n v="1"/>
    <n v="11"/>
    <n v="3"/>
    <n v="3"/>
    <n v="9"/>
    <n v="8"/>
    <n v="0"/>
    <n v="8"/>
    <x v="0"/>
    <x v="0"/>
    <x v="0"/>
    <n v="0"/>
  </r>
  <r>
    <x v="5"/>
    <x v="1"/>
    <x v="0"/>
    <n v="906"/>
    <x v="0"/>
    <n v="7"/>
    <n v="3"/>
    <s v="Life Sciences"/>
    <n v="1"/>
    <n v="420"/>
    <n v="4"/>
    <x v="1"/>
    <n v="91"/>
    <n v="2"/>
    <x v="0"/>
    <x v="0"/>
    <n v="3"/>
    <x v="1"/>
    <n v="5484"/>
    <n v="16985"/>
    <n v="1"/>
    <s v="Y"/>
    <x v="1"/>
    <n v="14"/>
    <n v="3"/>
    <n v="3"/>
    <n v="80"/>
    <n v="1"/>
    <n v="13"/>
    <n v="3"/>
    <n v="2"/>
    <n v="13"/>
    <n v="8"/>
    <n v="4"/>
    <n v="8"/>
    <x v="2"/>
    <x v="3"/>
    <x v="0"/>
    <n v="0"/>
  </r>
  <r>
    <x v="8"/>
    <x v="1"/>
    <x v="0"/>
    <n v="849"/>
    <x v="1"/>
    <n v="25"/>
    <n v="2"/>
    <s v="Life Sciences"/>
    <n v="1"/>
    <n v="421"/>
    <n v="1"/>
    <x v="0"/>
    <n v="81"/>
    <n v="2"/>
    <x v="2"/>
    <x v="7"/>
    <n v="2"/>
    <x v="1"/>
    <n v="12061"/>
    <n v="26707"/>
    <n v="3"/>
    <s v="Y"/>
    <x v="1"/>
    <n v="17"/>
    <n v="3"/>
    <n v="3"/>
    <n v="80"/>
    <n v="1"/>
    <n v="19"/>
    <n v="2"/>
    <n v="3"/>
    <n v="10"/>
    <n v="8"/>
    <n v="0"/>
    <n v="1"/>
    <x v="0"/>
    <x v="0"/>
    <x v="3"/>
    <n v="0"/>
  </r>
  <r>
    <x v="34"/>
    <x v="1"/>
    <x v="2"/>
    <n v="390"/>
    <x v="1"/>
    <n v="1"/>
    <n v="4"/>
    <s v="Life Sciences"/>
    <n v="1"/>
    <n v="422"/>
    <n v="4"/>
    <x v="1"/>
    <n v="32"/>
    <n v="1"/>
    <x v="0"/>
    <x v="4"/>
    <n v="3"/>
    <x v="2"/>
    <n v="5660"/>
    <n v="17056"/>
    <n v="2"/>
    <s v="Y"/>
    <x v="0"/>
    <n v="13"/>
    <n v="3"/>
    <n v="4"/>
    <n v="80"/>
    <n v="1"/>
    <n v="12"/>
    <n v="2"/>
    <n v="3"/>
    <n v="5"/>
    <n v="3"/>
    <n v="1"/>
    <n v="2"/>
    <x v="3"/>
    <x v="2"/>
    <x v="0"/>
    <n v="0"/>
  </r>
  <r>
    <x v="12"/>
    <x v="1"/>
    <x v="0"/>
    <n v="691"/>
    <x v="1"/>
    <n v="5"/>
    <n v="4"/>
    <s v="Technical Degree"/>
    <n v="1"/>
    <n v="423"/>
    <n v="3"/>
    <x v="1"/>
    <n v="86"/>
    <n v="3"/>
    <x v="1"/>
    <x v="1"/>
    <n v="4"/>
    <x v="1"/>
    <n v="4821"/>
    <n v="10077"/>
    <n v="0"/>
    <s v="Y"/>
    <x v="0"/>
    <n v="12"/>
    <n v="3"/>
    <n v="3"/>
    <n v="80"/>
    <n v="1"/>
    <n v="6"/>
    <n v="4"/>
    <n v="3"/>
    <n v="5"/>
    <n v="2"/>
    <n v="0"/>
    <n v="3"/>
    <x v="2"/>
    <x v="2"/>
    <x v="2"/>
    <n v="0"/>
  </r>
  <r>
    <x v="12"/>
    <x v="1"/>
    <x v="0"/>
    <n v="106"/>
    <x v="2"/>
    <n v="2"/>
    <n v="3"/>
    <s v="Human Resources"/>
    <n v="1"/>
    <n v="424"/>
    <n v="1"/>
    <x v="1"/>
    <n v="62"/>
    <n v="2"/>
    <x v="0"/>
    <x v="8"/>
    <n v="1"/>
    <x v="1"/>
    <n v="6410"/>
    <n v="17822"/>
    <n v="3"/>
    <s v="Y"/>
    <x v="1"/>
    <n v="12"/>
    <n v="3"/>
    <n v="4"/>
    <n v="80"/>
    <n v="0"/>
    <n v="9"/>
    <n v="1"/>
    <n v="3"/>
    <n v="2"/>
    <n v="2"/>
    <n v="1"/>
    <n v="0"/>
    <x v="2"/>
    <x v="1"/>
    <x v="0"/>
    <n v="0"/>
  </r>
  <r>
    <x v="28"/>
    <x v="1"/>
    <x v="1"/>
    <n v="1249"/>
    <x v="1"/>
    <n v="7"/>
    <n v="3"/>
    <s v="Life Sciences"/>
    <n v="1"/>
    <n v="425"/>
    <n v="1"/>
    <x v="1"/>
    <n v="97"/>
    <n v="3"/>
    <x v="2"/>
    <x v="2"/>
    <n v="1"/>
    <x v="2"/>
    <n v="5210"/>
    <n v="20308"/>
    <n v="1"/>
    <s v="Y"/>
    <x v="1"/>
    <n v="18"/>
    <n v="3"/>
    <n v="1"/>
    <n v="80"/>
    <n v="1"/>
    <n v="24"/>
    <n v="2"/>
    <n v="3"/>
    <n v="24"/>
    <n v="9"/>
    <n v="9"/>
    <n v="11"/>
    <x v="1"/>
    <x v="3"/>
    <x v="0"/>
    <n v="0"/>
  </r>
  <r>
    <x v="12"/>
    <x v="1"/>
    <x v="0"/>
    <n v="192"/>
    <x v="1"/>
    <n v="2"/>
    <n v="4"/>
    <s v="Life Sciences"/>
    <n v="1"/>
    <n v="426"/>
    <n v="3"/>
    <x v="1"/>
    <n v="32"/>
    <n v="3"/>
    <x v="1"/>
    <x v="1"/>
    <n v="4"/>
    <x v="2"/>
    <n v="2695"/>
    <n v="7747"/>
    <n v="0"/>
    <s v="Y"/>
    <x v="0"/>
    <n v="18"/>
    <n v="3"/>
    <n v="2"/>
    <n v="80"/>
    <n v="1"/>
    <n v="3"/>
    <n v="2"/>
    <n v="1"/>
    <n v="2"/>
    <n v="2"/>
    <n v="2"/>
    <n v="2"/>
    <x v="2"/>
    <x v="1"/>
    <x v="1"/>
    <n v="0"/>
  </r>
  <r>
    <x v="3"/>
    <x v="1"/>
    <x v="1"/>
    <n v="553"/>
    <x v="1"/>
    <n v="5"/>
    <n v="4"/>
    <s v="Life Sciences"/>
    <n v="1"/>
    <n v="428"/>
    <n v="4"/>
    <x v="0"/>
    <n v="74"/>
    <n v="3"/>
    <x v="2"/>
    <x v="5"/>
    <n v="2"/>
    <x v="1"/>
    <n v="11878"/>
    <n v="23364"/>
    <n v="6"/>
    <s v="Y"/>
    <x v="1"/>
    <n v="11"/>
    <n v="3"/>
    <n v="2"/>
    <n v="80"/>
    <n v="2"/>
    <n v="12"/>
    <n v="2"/>
    <n v="3"/>
    <n v="10"/>
    <n v="6"/>
    <n v="8"/>
    <n v="8"/>
    <x v="2"/>
    <x v="0"/>
    <x v="3"/>
    <n v="0"/>
  </r>
  <r>
    <x v="22"/>
    <x v="1"/>
    <x v="0"/>
    <n v="117"/>
    <x v="1"/>
    <n v="10"/>
    <n v="1"/>
    <s v="Medical"/>
    <n v="1"/>
    <n v="429"/>
    <n v="3"/>
    <x v="1"/>
    <n v="99"/>
    <n v="3"/>
    <x v="3"/>
    <x v="5"/>
    <n v="1"/>
    <x v="1"/>
    <n v="17068"/>
    <n v="5355"/>
    <n v="1"/>
    <s v="Y"/>
    <x v="0"/>
    <n v="14"/>
    <n v="3"/>
    <n v="4"/>
    <n v="80"/>
    <n v="0"/>
    <n v="21"/>
    <n v="3"/>
    <n v="3"/>
    <n v="21"/>
    <n v="9"/>
    <n v="11"/>
    <n v="10"/>
    <x v="0"/>
    <x v="3"/>
    <x v="3"/>
    <n v="0"/>
  </r>
  <r>
    <x v="23"/>
    <x v="1"/>
    <x v="1"/>
    <n v="185"/>
    <x v="1"/>
    <n v="10"/>
    <n v="4"/>
    <s v="Life Sciences"/>
    <n v="1"/>
    <n v="430"/>
    <n v="3"/>
    <x v="0"/>
    <n v="33"/>
    <n v="3"/>
    <x v="1"/>
    <x v="2"/>
    <n v="4"/>
    <x v="0"/>
    <n v="2455"/>
    <n v="10675"/>
    <n v="0"/>
    <s v="Y"/>
    <x v="1"/>
    <n v="19"/>
    <n v="3"/>
    <n v="1"/>
    <n v="80"/>
    <n v="0"/>
    <n v="9"/>
    <n v="5"/>
    <n v="3"/>
    <n v="8"/>
    <n v="7"/>
    <n v="1"/>
    <n v="7"/>
    <x v="0"/>
    <x v="0"/>
    <x v="1"/>
    <n v="0"/>
  </r>
  <r>
    <x v="1"/>
    <x v="1"/>
    <x v="0"/>
    <n v="1091"/>
    <x v="1"/>
    <n v="1"/>
    <n v="2"/>
    <s v="Technical Degree"/>
    <n v="1"/>
    <n v="431"/>
    <n v="3"/>
    <x v="0"/>
    <n v="90"/>
    <n v="2"/>
    <x v="3"/>
    <x v="4"/>
    <n v="3"/>
    <x v="0"/>
    <n v="13964"/>
    <n v="17810"/>
    <n v="7"/>
    <s v="Y"/>
    <x v="0"/>
    <n v="12"/>
    <n v="3"/>
    <n v="4"/>
    <n v="80"/>
    <n v="0"/>
    <n v="25"/>
    <n v="2"/>
    <n v="3"/>
    <n v="7"/>
    <n v="1"/>
    <n v="0"/>
    <n v="7"/>
    <x v="1"/>
    <x v="0"/>
    <x v="3"/>
    <n v="0"/>
  </r>
  <r>
    <x v="39"/>
    <x v="0"/>
    <x v="0"/>
    <n v="723"/>
    <x v="1"/>
    <n v="8"/>
    <n v="4"/>
    <s v="Medical"/>
    <n v="1"/>
    <n v="433"/>
    <n v="3"/>
    <x v="1"/>
    <n v="85"/>
    <n v="2"/>
    <x v="0"/>
    <x v="1"/>
    <n v="2"/>
    <x v="1"/>
    <n v="4941"/>
    <n v="17747"/>
    <n v="2"/>
    <s v="Y"/>
    <x v="1"/>
    <n v="15"/>
    <n v="3"/>
    <n v="1"/>
    <n v="80"/>
    <n v="0"/>
    <n v="11"/>
    <n v="3"/>
    <n v="2"/>
    <n v="8"/>
    <n v="2"/>
    <n v="7"/>
    <n v="7"/>
    <x v="1"/>
    <x v="0"/>
    <x v="2"/>
    <n v="1"/>
  </r>
  <r>
    <x v="4"/>
    <x v="1"/>
    <x v="0"/>
    <n v="1220"/>
    <x v="1"/>
    <n v="5"/>
    <n v="3"/>
    <s v="Life Sciences"/>
    <n v="1"/>
    <n v="434"/>
    <n v="3"/>
    <x v="0"/>
    <n v="85"/>
    <n v="3"/>
    <x v="1"/>
    <x v="1"/>
    <n v="2"/>
    <x v="0"/>
    <n v="2478"/>
    <n v="20938"/>
    <n v="1"/>
    <s v="Y"/>
    <x v="0"/>
    <n v="12"/>
    <n v="3"/>
    <n v="2"/>
    <n v="80"/>
    <n v="0"/>
    <n v="4"/>
    <n v="2"/>
    <n v="2"/>
    <n v="4"/>
    <n v="3"/>
    <n v="1"/>
    <n v="2"/>
    <x v="2"/>
    <x v="2"/>
    <x v="1"/>
    <n v="0"/>
  </r>
  <r>
    <x v="5"/>
    <x v="1"/>
    <x v="0"/>
    <n v="588"/>
    <x v="0"/>
    <n v="8"/>
    <n v="2"/>
    <s v="Technical Degree"/>
    <n v="1"/>
    <n v="436"/>
    <n v="3"/>
    <x v="0"/>
    <n v="65"/>
    <n v="2"/>
    <x v="0"/>
    <x v="0"/>
    <n v="2"/>
    <x v="1"/>
    <n v="5228"/>
    <n v="24624"/>
    <n v="1"/>
    <s v="Y"/>
    <x v="0"/>
    <n v="11"/>
    <n v="3"/>
    <n v="4"/>
    <n v="80"/>
    <n v="0"/>
    <n v="13"/>
    <n v="2"/>
    <n v="3"/>
    <n v="13"/>
    <n v="12"/>
    <n v="11"/>
    <n v="9"/>
    <x v="2"/>
    <x v="3"/>
    <x v="0"/>
    <n v="0"/>
  </r>
  <r>
    <x v="4"/>
    <x v="1"/>
    <x v="0"/>
    <n v="1377"/>
    <x v="0"/>
    <n v="2"/>
    <n v="3"/>
    <s v="Life Sciences"/>
    <n v="1"/>
    <n v="437"/>
    <n v="4"/>
    <x v="1"/>
    <n v="74"/>
    <n v="3"/>
    <x v="0"/>
    <x v="0"/>
    <n v="3"/>
    <x v="0"/>
    <n v="4478"/>
    <n v="5242"/>
    <n v="1"/>
    <s v="Y"/>
    <x v="0"/>
    <n v="11"/>
    <n v="3"/>
    <n v="1"/>
    <n v="80"/>
    <n v="0"/>
    <n v="5"/>
    <n v="3"/>
    <n v="3"/>
    <n v="5"/>
    <n v="4"/>
    <n v="0"/>
    <n v="4"/>
    <x v="2"/>
    <x v="2"/>
    <x v="2"/>
    <n v="0"/>
  </r>
  <r>
    <x v="12"/>
    <x v="1"/>
    <x v="0"/>
    <n v="691"/>
    <x v="0"/>
    <n v="7"/>
    <n v="3"/>
    <s v="Marketing"/>
    <n v="1"/>
    <n v="438"/>
    <n v="4"/>
    <x v="1"/>
    <n v="73"/>
    <n v="3"/>
    <x v="0"/>
    <x v="0"/>
    <n v="4"/>
    <x v="2"/>
    <n v="7547"/>
    <n v="7143"/>
    <n v="4"/>
    <s v="Y"/>
    <x v="1"/>
    <n v="12"/>
    <n v="3"/>
    <n v="4"/>
    <n v="80"/>
    <n v="3"/>
    <n v="13"/>
    <n v="3"/>
    <n v="3"/>
    <n v="7"/>
    <n v="7"/>
    <n v="1"/>
    <n v="7"/>
    <x v="2"/>
    <x v="0"/>
    <x v="0"/>
    <n v="0"/>
  </r>
  <r>
    <x v="5"/>
    <x v="1"/>
    <x v="0"/>
    <n v="1018"/>
    <x v="1"/>
    <n v="2"/>
    <n v="4"/>
    <s v="Medical"/>
    <n v="1"/>
    <n v="439"/>
    <n v="1"/>
    <x v="0"/>
    <n v="74"/>
    <n v="4"/>
    <x v="0"/>
    <x v="1"/>
    <n v="4"/>
    <x v="0"/>
    <n v="5055"/>
    <n v="10557"/>
    <n v="7"/>
    <s v="Y"/>
    <x v="1"/>
    <n v="16"/>
    <n v="3"/>
    <n v="3"/>
    <n v="80"/>
    <n v="0"/>
    <n v="10"/>
    <n v="0"/>
    <n v="2"/>
    <n v="7"/>
    <n v="7"/>
    <n v="0"/>
    <n v="7"/>
    <x v="2"/>
    <x v="0"/>
    <x v="0"/>
    <n v="0"/>
  </r>
  <r>
    <x v="14"/>
    <x v="0"/>
    <x v="0"/>
    <n v="1157"/>
    <x v="1"/>
    <n v="2"/>
    <n v="4"/>
    <s v="Medical"/>
    <n v="1"/>
    <n v="440"/>
    <n v="1"/>
    <x v="1"/>
    <n v="84"/>
    <n v="1"/>
    <x v="1"/>
    <x v="1"/>
    <n v="4"/>
    <x v="1"/>
    <n v="3464"/>
    <n v="24737"/>
    <n v="5"/>
    <s v="Y"/>
    <x v="0"/>
    <n v="13"/>
    <n v="3"/>
    <n v="4"/>
    <n v="80"/>
    <n v="0"/>
    <n v="5"/>
    <n v="4"/>
    <n v="2"/>
    <n v="3"/>
    <n v="2"/>
    <n v="2"/>
    <n v="2"/>
    <x v="2"/>
    <x v="2"/>
    <x v="2"/>
    <n v="1"/>
  </r>
  <r>
    <x v="7"/>
    <x v="1"/>
    <x v="0"/>
    <n v="1275"/>
    <x v="1"/>
    <n v="28"/>
    <n v="2"/>
    <s v="Medical"/>
    <n v="1"/>
    <n v="441"/>
    <n v="4"/>
    <x v="0"/>
    <n v="64"/>
    <n v="3"/>
    <x v="0"/>
    <x v="1"/>
    <n v="4"/>
    <x v="1"/>
    <n v="5775"/>
    <n v="11934"/>
    <n v="1"/>
    <s v="Y"/>
    <x v="1"/>
    <n v="13"/>
    <n v="3"/>
    <n v="4"/>
    <n v="80"/>
    <n v="2"/>
    <n v="11"/>
    <n v="2"/>
    <n v="3"/>
    <n v="10"/>
    <n v="8"/>
    <n v="1"/>
    <n v="9"/>
    <x v="2"/>
    <x v="0"/>
    <x v="0"/>
    <n v="0"/>
  </r>
  <r>
    <x v="12"/>
    <x v="1"/>
    <x v="1"/>
    <n v="798"/>
    <x v="1"/>
    <n v="7"/>
    <n v="2"/>
    <s v="Life Sciences"/>
    <n v="1"/>
    <n v="442"/>
    <n v="3"/>
    <x v="0"/>
    <n v="48"/>
    <n v="2"/>
    <x v="2"/>
    <x v="3"/>
    <n v="3"/>
    <x v="1"/>
    <n v="8943"/>
    <n v="14034"/>
    <n v="1"/>
    <s v="Y"/>
    <x v="1"/>
    <n v="24"/>
    <n v="4"/>
    <n v="1"/>
    <n v="80"/>
    <n v="1"/>
    <n v="10"/>
    <n v="2"/>
    <n v="3"/>
    <n v="10"/>
    <n v="9"/>
    <n v="8"/>
    <n v="9"/>
    <x v="2"/>
    <x v="0"/>
    <x v="3"/>
    <n v="0"/>
  </r>
  <r>
    <x v="22"/>
    <x v="1"/>
    <x v="1"/>
    <n v="672"/>
    <x v="1"/>
    <n v="7"/>
    <n v="2"/>
    <s v="Medical"/>
    <n v="1"/>
    <n v="444"/>
    <n v="3"/>
    <x v="1"/>
    <n v="54"/>
    <n v="2"/>
    <x v="4"/>
    <x v="5"/>
    <n v="4"/>
    <x v="1"/>
    <n v="19272"/>
    <n v="21141"/>
    <n v="1"/>
    <s v="Y"/>
    <x v="1"/>
    <n v="15"/>
    <n v="3"/>
    <n v="1"/>
    <n v="80"/>
    <n v="1"/>
    <n v="21"/>
    <n v="2"/>
    <n v="3"/>
    <n v="21"/>
    <n v="9"/>
    <n v="13"/>
    <n v="3"/>
    <x v="0"/>
    <x v="3"/>
    <x v="3"/>
    <n v="0"/>
  </r>
  <r>
    <x v="22"/>
    <x v="0"/>
    <x v="0"/>
    <n v="1162"/>
    <x v="0"/>
    <n v="3"/>
    <n v="2"/>
    <s v="Medical"/>
    <n v="1"/>
    <n v="445"/>
    <n v="4"/>
    <x v="0"/>
    <n v="41"/>
    <n v="3"/>
    <x v="0"/>
    <x v="0"/>
    <n v="3"/>
    <x v="1"/>
    <n v="5238"/>
    <n v="17778"/>
    <n v="4"/>
    <s v="Y"/>
    <x v="0"/>
    <n v="18"/>
    <n v="3"/>
    <n v="1"/>
    <n v="80"/>
    <n v="0"/>
    <n v="12"/>
    <n v="3"/>
    <n v="2"/>
    <n v="1"/>
    <n v="0"/>
    <n v="0"/>
    <n v="0"/>
    <x v="0"/>
    <x v="1"/>
    <x v="0"/>
    <n v="1"/>
  </r>
  <r>
    <x v="3"/>
    <x v="1"/>
    <x v="1"/>
    <n v="508"/>
    <x v="0"/>
    <n v="10"/>
    <n v="3"/>
    <s v="Marketing"/>
    <n v="1"/>
    <n v="446"/>
    <n v="2"/>
    <x v="1"/>
    <n v="46"/>
    <n v="2"/>
    <x v="0"/>
    <x v="0"/>
    <n v="4"/>
    <x v="0"/>
    <n v="4682"/>
    <n v="4317"/>
    <n v="3"/>
    <s v="Y"/>
    <x v="1"/>
    <n v="14"/>
    <n v="3"/>
    <n v="3"/>
    <n v="80"/>
    <n v="0"/>
    <n v="9"/>
    <n v="6"/>
    <n v="2"/>
    <n v="7"/>
    <n v="7"/>
    <n v="0"/>
    <n v="1"/>
    <x v="2"/>
    <x v="0"/>
    <x v="2"/>
    <n v="0"/>
  </r>
  <r>
    <x v="40"/>
    <x v="1"/>
    <x v="0"/>
    <n v="1482"/>
    <x v="1"/>
    <n v="5"/>
    <n v="5"/>
    <s v="Life Sciences"/>
    <n v="1"/>
    <n v="447"/>
    <n v="4"/>
    <x v="1"/>
    <n v="42"/>
    <n v="3"/>
    <x v="4"/>
    <x v="7"/>
    <n v="3"/>
    <x v="1"/>
    <n v="18300"/>
    <n v="16375"/>
    <n v="4"/>
    <s v="Y"/>
    <x v="1"/>
    <n v="11"/>
    <n v="3"/>
    <n v="2"/>
    <n v="80"/>
    <n v="1"/>
    <n v="21"/>
    <n v="2"/>
    <n v="3"/>
    <n v="3"/>
    <n v="2"/>
    <n v="1"/>
    <n v="1"/>
    <x v="1"/>
    <x v="2"/>
    <x v="3"/>
    <n v="0"/>
  </r>
  <r>
    <x v="23"/>
    <x v="1"/>
    <x v="1"/>
    <n v="559"/>
    <x v="1"/>
    <n v="10"/>
    <n v="4"/>
    <s v="Life Sciences"/>
    <n v="1"/>
    <n v="448"/>
    <n v="3"/>
    <x v="0"/>
    <n v="82"/>
    <n v="2"/>
    <x v="0"/>
    <x v="2"/>
    <n v="3"/>
    <x v="2"/>
    <n v="5257"/>
    <n v="6227"/>
    <n v="1"/>
    <s v="Y"/>
    <x v="1"/>
    <n v="11"/>
    <n v="3"/>
    <n v="2"/>
    <n v="80"/>
    <n v="1"/>
    <n v="9"/>
    <n v="3"/>
    <n v="4"/>
    <n v="9"/>
    <n v="7"/>
    <n v="0"/>
    <n v="0"/>
    <x v="0"/>
    <x v="0"/>
    <x v="0"/>
    <n v="0"/>
  </r>
  <r>
    <x v="4"/>
    <x v="1"/>
    <x v="2"/>
    <n v="210"/>
    <x v="0"/>
    <n v="1"/>
    <n v="1"/>
    <s v="Marketing"/>
    <n v="1"/>
    <n v="449"/>
    <n v="3"/>
    <x v="1"/>
    <n v="73"/>
    <n v="3"/>
    <x v="0"/>
    <x v="0"/>
    <n v="2"/>
    <x v="1"/>
    <n v="6349"/>
    <n v="22107"/>
    <n v="0"/>
    <s v="Y"/>
    <x v="0"/>
    <n v="13"/>
    <n v="3"/>
    <n v="4"/>
    <n v="80"/>
    <n v="1"/>
    <n v="6"/>
    <n v="0"/>
    <n v="3"/>
    <n v="5"/>
    <n v="4"/>
    <n v="1"/>
    <n v="4"/>
    <x v="2"/>
    <x v="2"/>
    <x v="0"/>
    <n v="0"/>
  </r>
  <r>
    <x v="33"/>
    <x v="1"/>
    <x v="1"/>
    <n v="928"/>
    <x v="1"/>
    <n v="20"/>
    <n v="4"/>
    <s v="Life Sciences"/>
    <n v="1"/>
    <n v="450"/>
    <n v="4"/>
    <x v="0"/>
    <n v="31"/>
    <n v="3"/>
    <x v="0"/>
    <x v="1"/>
    <n v="3"/>
    <x v="0"/>
    <n v="4869"/>
    <n v="16885"/>
    <n v="3"/>
    <s v="Y"/>
    <x v="1"/>
    <n v="12"/>
    <n v="3"/>
    <n v="4"/>
    <n v="80"/>
    <n v="0"/>
    <n v="20"/>
    <n v="4"/>
    <n v="2"/>
    <n v="4"/>
    <n v="3"/>
    <n v="0"/>
    <n v="3"/>
    <x v="1"/>
    <x v="2"/>
    <x v="2"/>
    <n v="0"/>
  </r>
  <r>
    <x v="23"/>
    <x v="1"/>
    <x v="0"/>
    <n v="1001"/>
    <x v="1"/>
    <n v="7"/>
    <n v="3"/>
    <s v="Life Sciences"/>
    <n v="1"/>
    <n v="451"/>
    <n v="3"/>
    <x v="0"/>
    <n v="43"/>
    <n v="3"/>
    <x v="2"/>
    <x v="4"/>
    <n v="1"/>
    <x v="1"/>
    <n v="9985"/>
    <n v="9262"/>
    <n v="8"/>
    <s v="Y"/>
    <x v="1"/>
    <n v="16"/>
    <n v="3"/>
    <n v="1"/>
    <n v="80"/>
    <n v="1"/>
    <n v="10"/>
    <n v="1"/>
    <n v="2"/>
    <n v="1"/>
    <n v="0"/>
    <n v="0"/>
    <n v="0"/>
    <x v="0"/>
    <x v="1"/>
    <x v="3"/>
    <n v="0"/>
  </r>
  <r>
    <x v="28"/>
    <x v="1"/>
    <x v="0"/>
    <n v="549"/>
    <x v="1"/>
    <n v="8"/>
    <n v="4"/>
    <s v="Other"/>
    <n v="1"/>
    <n v="452"/>
    <n v="4"/>
    <x v="1"/>
    <n v="75"/>
    <n v="3"/>
    <x v="0"/>
    <x v="1"/>
    <n v="4"/>
    <x v="1"/>
    <n v="3697"/>
    <n v="9278"/>
    <n v="9"/>
    <s v="Y"/>
    <x v="1"/>
    <n v="14"/>
    <n v="3"/>
    <n v="1"/>
    <n v="80"/>
    <n v="2"/>
    <n v="12"/>
    <n v="3"/>
    <n v="3"/>
    <n v="10"/>
    <n v="9"/>
    <n v="9"/>
    <n v="8"/>
    <x v="1"/>
    <x v="0"/>
    <x v="2"/>
    <n v="0"/>
  </r>
  <r>
    <x v="32"/>
    <x v="1"/>
    <x v="0"/>
    <n v="1124"/>
    <x v="0"/>
    <n v="1"/>
    <n v="2"/>
    <s v="Medical"/>
    <n v="1"/>
    <n v="453"/>
    <n v="2"/>
    <x v="1"/>
    <n v="57"/>
    <n v="1"/>
    <x v="0"/>
    <x v="0"/>
    <n v="4"/>
    <x v="1"/>
    <n v="7457"/>
    <n v="13273"/>
    <n v="2"/>
    <s v="Y"/>
    <x v="0"/>
    <n v="22"/>
    <n v="4"/>
    <n v="3"/>
    <n v="80"/>
    <n v="3"/>
    <n v="6"/>
    <n v="2"/>
    <n v="2"/>
    <n v="4"/>
    <n v="3"/>
    <n v="0"/>
    <n v="2"/>
    <x v="0"/>
    <x v="2"/>
    <x v="0"/>
    <n v="0"/>
  </r>
  <r>
    <x v="11"/>
    <x v="0"/>
    <x v="0"/>
    <n v="318"/>
    <x v="1"/>
    <n v="8"/>
    <n v="4"/>
    <s v="Other"/>
    <n v="1"/>
    <n v="454"/>
    <n v="2"/>
    <x v="1"/>
    <n v="77"/>
    <n v="1"/>
    <x v="1"/>
    <x v="2"/>
    <n v="1"/>
    <x v="1"/>
    <n v="2119"/>
    <n v="4759"/>
    <n v="1"/>
    <s v="Y"/>
    <x v="0"/>
    <n v="11"/>
    <n v="3"/>
    <n v="4"/>
    <n v="80"/>
    <n v="0"/>
    <n v="7"/>
    <n v="4"/>
    <n v="2"/>
    <n v="7"/>
    <n v="7"/>
    <n v="0"/>
    <n v="7"/>
    <x v="2"/>
    <x v="0"/>
    <x v="1"/>
    <n v="1"/>
  </r>
  <r>
    <x v="11"/>
    <x v="1"/>
    <x v="0"/>
    <n v="738"/>
    <x v="1"/>
    <n v="9"/>
    <n v="5"/>
    <s v="Other"/>
    <n v="1"/>
    <n v="455"/>
    <n v="2"/>
    <x v="1"/>
    <n v="30"/>
    <n v="2"/>
    <x v="1"/>
    <x v="2"/>
    <n v="4"/>
    <x v="0"/>
    <n v="3983"/>
    <n v="7621"/>
    <n v="0"/>
    <s v="Y"/>
    <x v="1"/>
    <n v="17"/>
    <n v="3"/>
    <n v="3"/>
    <n v="80"/>
    <n v="0"/>
    <n v="4"/>
    <n v="2"/>
    <n v="3"/>
    <n v="3"/>
    <n v="2"/>
    <n v="2"/>
    <n v="2"/>
    <x v="2"/>
    <x v="2"/>
    <x v="2"/>
    <n v="0"/>
  </r>
  <r>
    <x v="7"/>
    <x v="1"/>
    <x v="0"/>
    <n v="570"/>
    <x v="0"/>
    <n v="5"/>
    <n v="3"/>
    <s v="Marketing"/>
    <n v="1"/>
    <n v="456"/>
    <n v="4"/>
    <x v="0"/>
    <n v="30"/>
    <n v="2"/>
    <x v="0"/>
    <x v="0"/>
    <n v="3"/>
    <x v="2"/>
    <n v="6118"/>
    <n v="5431"/>
    <n v="1"/>
    <s v="Y"/>
    <x v="1"/>
    <n v="13"/>
    <n v="3"/>
    <n v="3"/>
    <n v="80"/>
    <n v="3"/>
    <n v="10"/>
    <n v="2"/>
    <n v="3"/>
    <n v="10"/>
    <n v="9"/>
    <n v="1"/>
    <n v="2"/>
    <x v="2"/>
    <x v="0"/>
    <x v="0"/>
    <n v="0"/>
  </r>
  <r>
    <x v="4"/>
    <x v="1"/>
    <x v="0"/>
    <n v="1130"/>
    <x v="0"/>
    <n v="8"/>
    <n v="4"/>
    <s v="Marketing"/>
    <n v="1"/>
    <n v="458"/>
    <n v="2"/>
    <x v="0"/>
    <n v="56"/>
    <n v="3"/>
    <x v="0"/>
    <x v="0"/>
    <n v="2"/>
    <x v="1"/>
    <n v="6214"/>
    <n v="3415"/>
    <n v="1"/>
    <s v="Y"/>
    <x v="1"/>
    <n v="18"/>
    <n v="3"/>
    <n v="1"/>
    <n v="80"/>
    <n v="1"/>
    <n v="8"/>
    <n v="3"/>
    <n v="3"/>
    <n v="8"/>
    <n v="7"/>
    <n v="0"/>
    <n v="7"/>
    <x v="2"/>
    <x v="0"/>
    <x v="0"/>
    <n v="0"/>
  </r>
  <r>
    <x v="2"/>
    <x v="1"/>
    <x v="0"/>
    <n v="1192"/>
    <x v="1"/>
    <n v="5"/>
    <n v="2"/>
    <s v="Medical"/>
    <n v="1"/>
    <n v="460"/>
    <n v="4"/>
    <x v="1"/>
    <n v="61"/>
    <n v="3"/>
    <x v="0"/>
    <x v="3"/>
    <n v="4"/>
    <x v="2"/>
    <n v="6347"/>
    <n v="23177"/>
    <n v="7"/>
    <s v="Y"/>
    <x v="1"/>
    <n v="16"/>
    <n v="3"/>
    <n v="3"/>
    <n v="80"/>
    <n v="2"/>
    <n v="8"/>
    <n v="2"/>
    <n v="2"/>
    <n v="6"/>
    <n v="2"/>
    <n v="0"/>
    <n v="4"/>
    <x v="0"/>
    <x v="0"/>
    <x v="0"/>
    <n v="0"/>
  </r>
  <r>
    <x v="8"/>
    <x v="1"/>
    <x v="0"/>
    <n v="343"/>
    <x v="1"/>
    <n v="15"/>
    <n v="2"/>
    <s v="Life Sciences"/>
    <n v="1"/>
    <n v="461"/>
    <n v="3"/>
    <x v="1"/>
    <n v="92"/>
    <n v="2"/>
    <x v="2"/>
    <x v="7"/>
    <n v="4"/>
    <x v="2"/>
    <n v="11510"/>
    <n v="15682"/>
    <n v="0"/>
    <s v="Y"/>
    <x v="0"/>
    <n v="14"/>
    <n v="3"/>
    <n v="2"/>
    <n v="80"/>
    <n v="1"/>
    <n v="12"/>
    <n v="3"/>
    <n v="3"/>
    <n v="11"/>
    <n v="10"/>
    <n v="2"/>
    <n v="9"/>
    <x v="0"/>
    <x v="3"/>
    <x v="3"/>
    <n v="0"/>
  </r>
  <r>
    <x v="12"/>
    <x v="1"/>
    <x v="0"/>
    <n v="1232"/>
    <x v="1"/>
    <n v="7"/>
    <n v="4"/>
    <s v="Medical"/>
    <n v="1"/>
    <n v="462"/>
    <n v="3"/>
    <x v="0"/>
    <n v="39"/>
    <n v="3"/>
    <x v="2"/>
    <x v="3"/>
    <n v="4"/>
    <x v="0"/>
    <n v="7143"/>
    <n v="25713"/>
    <n v="1"/>
    <s v="Y"/>
    <x v="0"/>
    <n v="14"/>
    <n v="3"/>
    <n v="3"/>
    <n v="80"/>
    <n v="0"/>
    <n v="11"/>
    <n v="2"/>
    <n v="2"/>
    <n v="11"/>
    <n v="9"/>
    <n v="4"/>
    <n v="10"/>
    <x v="2"/>
    <x v="3"/>
    <x v="0"/>
    <n v="0"/>
  </r>
  <r>
    <x v="11"/>
    <x v="1"/>
    <x v="0"/>
    <n v="144"/>
    <x v="0"/>
    <n v="10"/>
    <n v="1"/>
    <s v="Marketing"/>
    <n v="1"/>
    <n v="463"/>
    <n v="4"/>
    <x v="0"/>
    <n v="39"/>
    <n v="2"/>
    <x v="0"/>
    <x v="0"/>
    <n v="2"/>
    <x v="2"/>
    <n v="8268"/>
    <n v="11866"/>
    <n v="1"/>
    <s v="Y"/>
    <x v="0"/>
    <n v="14"/>
    <n v="3"/>
    <n v="1"/>
    <n v="80"/>
    <n v="2"/>
    <n v="7"/>
    <n v="2"/>
    <n v="3"/>
    <n v="7"/>
    <n v="7"/>
    <n v="1"/>
    <n v="7"/>
    <x v="2"/>
    <x v="0"/>
    <x v="3"/>
    <n v="0"/>
  </r>
  <r>
    <x v="10"/>
    <x v="1"/>
    <x v="0"/>
    <n v="1296"/>
    <x v="1"/>
    <n v="5"/>
    <n v="4"/>
    <s v="Technical Degree"/>
    <n v="1"/>
    <n v="464"/>
    <n v="3"/>
    <x v="1"/>
    <n v="62"/>
    <n v="3"/>
    <x v="2"/>
    <x v="3"/>
    <n v="2"/>
    <x v="0"/>
    <n v="8095"/>
    <n v="18264"/>
    <n v="0"/>
    <s v="Y"/>
    <x v="1"/>
    <n v="13"/>
    <n v="3"/>
    <n v="4"/>
    <n v="80"/>
    <n v="0"/>
    <n v="17"/>
    <n v="5"/>
    <n v="3"/>
    <n v="16"/>
    <n v="6"/>
    <n v="0"/>
    <n v="13"/>
    <x v="0"/>
    <x v="3"/>
    <x v="3"/>
    <n v="0"/>
  </r>
  <r>
    <x v="30"/>
    <x v="1"/>
    <x v="0"/>
    <n v="1309"/>
    <x v="1"/>
    <n v="26"/>
    <n v="1"/>
    <s v="Life Sciences"/>
    <n v="1"/>
    <n v="465"/>
    <n v="3"/>
    <x v="1"/>
    <n v="83"/>
    <n v="3"/>
    <x v="1"/>
    <x v="1"/>
    <n v="4"/>
    <x v="2"/>
    <n v="2904"/>
    <n v="16092"/>
    <n v="1"/>
    <s v="Y"/>
    <x v="1"/>
    <n v="12"/>
    <n v="3"/>
    <n v="3"/>
    <n v="80"/>
    <n v="2"/>
    <n v="4"/>
    <n v="2"/>
    <n v="2"/>
    <n v="4"/>
    <n v="2"/>
    <n v="0"/>
    <n v="2"/>
    <x v="4"/>
    <x v="2"/>
    <x v="1"/>
    <n v="0"/>
  </r>
  <r>
    <x v="0"/>
    <x v="1"/>
    <x v="0"/>
    <n v="483"/>
    <x v="1"/>
    <n v="6"/>
    <n v="3"/>
    <s v="Medical"/>
    <n v="1"/>
    <n v="466"/>
    <n v="4"/>
    <x v="1"/>
    <n v="95"/>
    <n v="2"/>
    <x v="0"/>
    <x v="3"/>
    <n v="2"/>
    <x v="0"/>
    <n v="6032"/>
    <n v="10110"/>
    <n v="6"/>
    <s v="Y"/>
    <x v="0"/>
    <n v="15"/>
    <n v="3"/>
    <n v="4"/>
    <n v="80"/>
    <n v="0"/>
    <n v="8"/>
    <n v="3"/>
    <n v="3"/>
    <n v="5"/>
    <n v="4"/>
    <n v="1"/>
    <n v="2"/>
    <x v="0"/>
    <x v="2"/>
    <x v="0"/>
    <n v="0"/>
  </r>
  <r>
    <x v="40"/>
    <x v="1"/>
    <x v="1"/>
    <n v="1309"/>
    <x v="0"/>
    <n v="4"/>
    <n v="1"/>
    <s v="Medical"/>
    <n v="1"/>
    <n v="467"/>
    <n v="2"/>
    <x v="1"/>
    <n v="99"/>
    <n v="3"/>
    <x v="0"/>
    <x v="6"/>
    <n v="3"/>
    <x v="0"/>
    <n v="2976"/>
    <n v="25751"/>
    <n v="3"/>
    <s v="Y"/>
    <x v="1"/>
    <n v="19"/>
    <n v="3"/>
    <n v="1"/>
    <n v="80"/>
    <n v="0"/>
    <n v="5"/>
    <n v="3"/>
    <n v="3"/>
    <n v="0"/>
    <n v="0"/>
    <n v="0"/>
    <n v="0"/>
    <x v="1"/>
    <x v="1"/>
    <x v="1"/>
    <n v="0"/>
  </r>
  <r>
    <x v="19"/>
    <x v="1"/>
    <x v="0"/>
    <n v="810"/>
    <x v="1"/>
    <n v="23"/>
    <n v="5"/>
    <s v="Life Sciences"/>
    <n v="1"/>
    <n v="468"/>
    <n v="1"/>
    <x v="0"/>
    <n v="44"/>
    <n v="3"/>
    <x v="3"/>
    <x v="7"/>
    <n v="4"/>
    <x v="0"/>
    <n v="15992"/>
    <n v="15901"/>
    <n v="2"/>
    <s v="Y"/>
    <x v="1"/>
    <n v="14"/>
    <n v="3"/>
    <n v="2"/>
    <n v="80"/>
    <n v="0"/>
    <n v="16"/>
    <n v="2"/>
    <n v="3"/>
    <n v="1"/>
    <n v="0"/>
    <n v="0"/>
    <n v="0"/>
    <x v="0"/>
    <x v="1"/>
    <x v="3"/>
    <n v="0"/>
  </r>
  <r>
    <x v="11"/>
    <x v="1"/>
    <x v="2"/>
    <n v="746"/>
    <x v="0"/>
    <n v="2"/>
    <n v="3"/>
    <s v="Life Sciences"/>
    <n v="1"/>
    <n v="469"/>
    <n v="4"/>
    <x v="1"/>
    <n v="61"/>
    <n v="3"/>
    <x v="0"/>
    <x v="0"/>
    <n v="3"/>
    <x v="1"/>
    <n v="4649"/>
    <n v="16928"/>
    <n v="1"/>
    <s v="Y"/>
    <x v="1"/>
    <n v="14"/>
    <n v="3"/>
    <n v="1"/>
    <n v="80"/>
    <n v="1"/>
    <n v="4"/>
    <n v="3"/>
    <n v="2"/>
    <n v="4"/>
    <n v="3"/>
    <n v="0"/>
    <n v="2"/>
    <x v="2"/>
    <x v="2"/>
    <x v="2"/>
    <n v="0"/>
  </r>
  <r>
    <x v="19"/>
    <x v="1"/>
    <x v="0"/>
    <n v="544"/>
    <x v="2"/>
    <n v="2"/>
    <n v="1"/>
    <s v="Technical Degree"/>
    <n v="1"/>
    <n v="470"/>
    <n v="3"/>
    <x v="1"/>
    <n v="52"/>
    <n v="3"/>
    <x v="1"/>
    <x v="8"/>
    <n v="3"/>
    <x v="2"/>
    <n v="2696"/>
    <n v="24017"/>
    <n v="0"/>
    <s v="Y"/>
    <x v="0"/>
    <n v="11"/>
    <n v="3"/>
    <n v="3"/>
    <n v="80"/>
    <n v="1"/>
    <n v="4"/>
    <n v="5"/>
    <n v="3"/>
    <n v="3"/>
    <n v="2"/>
    <n v="1"/>
    <n v="0"/>
    <x v="0"/>
    <x v="2"/>
    <x v="1"/>
    <n v="0"/>
  </r>
  <r>
    <x v="5"/>
    <x v="1"/>
    <x v="0"/>
    <n v="1062"/>
    <x v="1"/>
    <n v="2"/>
    <n v="3"/>
    <s v="Medical"/>
    <n v="1"/>
    <n v="471"/>
    <n v="3"/>
    <x v="0"/>
    <n v="75"/>
    <n v="3"/>
    <x v="1"/>
    <x v="2"/>
    <n v="2"/>
    <x v="1"/>
    <n v="2370"/>
    <n v="3956"/>
    <n v="1"/>
    <s v="Y"/>
    <x v="1"/>
    <n v="13"/>
    <n v="3"/>
    <n v="3"/>
    <n v="80"/>
    <n v="1"/>
    <n v="8"/>
    <n v="4"/>
    <n v="3"/>
    <n v="8"/>
    <n v="0"/>
    <n v="0"/>
    <n v="7"/>
    <x v="2"/>
    <x v="0"/>
    <x v="1"/>
    <n v="0"/>
  </r>
  <r>
    <x v="26"/>
    <x v="1"/>
    <x v="0"/>
    <n v="530"/>
    <x v="0"/>
    <n v="29"/>
    <n v="1"/>
    <s v="Medical"/>
    <n v="1"/>
    <n v="473"/>
    <n v="1"/>
    <x v="0"/>
    <n v="91"/>
    <n v="3"/>
    <x v="2"/>
    <x v="5"/>
    <n v="3"/>
    <x v="1"/>
    <n v="12504"/>
    <n v="23978"/>
    <n v="3"/>
    <s v="Y"/>
    <x v="1"/>
    <n v="21"/>
    <n v="4"/>
    <n v="2"/>
    <n v="80"/>
    <n v="1"/>
    <n v="15"/>
    <n v="3"/>
    <n v="1"/>
    <n v="0"/>
    <n v="0"/>
    <n v="0"/>
    <n v="0"/>
    <x v="1"/>
    <x v="1"/>
    <x v="3"/>
    <n v="0"/>
  </r>
  <r>
    <x v="2"/>
    <x v="1"/>
    <x v="0"/>
    <n v="1319"/>
    <x v="1"/>
    <n v="6"/>
    <n v="3"/>
    <s v="Medical"/>
    <n v="1"/>
    <n v="474"/>
    <n v="3"/>
    <x v="1"/>
    <n v="51"/>
    <n v="4"/>
    <x v="0"/>
    <x v="1"/>
    <n v="1"/>
    <x v="2"/>
    <n v="5974"/>
    <n v="17001"/>
    <n v="4"/>
    <s v="Y"/>
    <x v="0"/>
    <n v="13"/>
    <n v="3"/>
    <n v="1"/>
    <n v="80"/>
    <n v="2"/>
    <n v="13"/>
    <n v="2"/>
    <n v="3"/>
    <n v="7"/>
    <n v="7"/>
    <n v="6"/>
    <n v="7"/>
    <x v="0"/>
    <x v="0"/>
    <x v="0"/>
    <n v="0"/>
  </r>
  <r>
    <x v="7"/>
    <x v="1"/>
    <x v="2"/>
    <n v="641"/>
    <x v="0"/>
    <n v="25"/>
    <n v="2"/>
    <s v="Technical Degree"/>
    <n v="1"/>
    <n v="475"/>
    <n v="4"/>
    <x v="0"/>
    <n v="85"/>
    <n v="3"/>
    <x v="0"/>
    <x v="0"/>
    <n v="3"/>
    <x v="1"/>
    <n v="4736"/>
    <n v="6069"/>
    <n v="7"/>
    <s v="Y"/>
    <x v="0"/>
    <n v="12"/>
    <n v="3"/>
    <n v="2"/>
    <n v="80"/>
    <n v="1"/>
    <n v="4"/>
    <n v="2"/>
    <n v="4"/>
    <n v="2"/>
    <n v="2"/>
    <n v="2"/>
    <n v="2"/>
    <x v="2"/>
    <x v="1"/>
    <x v="2"/>
    <n v="0"/>
  </r>
  <r>
    <x v="25"/>
    <x v="1"/>
    <x v="0"/>
    <n v="933"/>
    <x v="0"/>
    <n v="1"/>
    <n v="3"/>
    <s v="Life Sciences"/>
    <n v="1"/>
    <n v="476"/>
    <n v="3"/>
    <x v="1"/>
    <n v="57"/>
    <n v="3"/>
    <x v="0"/>
    <x v="0"/>
    <n v="3"/>
    <x v="1"/>
    <n v="5296"/>
    <n v="20156"/>
    <n v="1"/>
    <s v="Y"/>
    <x v="1"/>
    <n v="17"/>
    <n v="3"/>
    <n v="2"/>
    <n v="80"/>
    <n v="1"/>
    <n v="8"/>
    <n v="3"/>
    <n v="3"/>
    <n v="8"/>
    <n v="7"/>
    <n v="7"/>
    <n v="7"/>
    <x v="2"/>
    <x v="0"/>
    <x v="0"/>
    <n v="0"/>
  </r>
  <r>
    <x v="19"/>
    <x v="1"/>
    <x v="0"/>
    <n v="1332"/>
    <x v="1"/>
    <n v="2"/>
    <n v="4"/>
    <s v="Other"/>
    <n v="1"/>
    <n v="477"/>
    <n v="1"/>
    <x v="1"/>
    <n v="98"/>
    <n v="2"/>
    <x v="0"/>
    <x v="4"/>
    <n v="4"/>
    <x v="0"/>
    <n v="6781"/>
    <n v="17078"/>
    <n v="3"/>
    <s v="Y"/>
    <x v="1"/>
    <n v="23"/>
    <n v="4"/>
    <n v="2"/>
    <n v="80"/>
    <n v="0"/>
    <n v="14"/>
    <n v="6"/>
    <n v="3"/>
    <n v="1"/>
    <n v="0"/>
    <n v="0"/>
    <n v="0"/>
    <x v="0"/>
    <x v="1"/>
    <x v="0"/>
    <n v="0"/>
  </r>
  <r>
    <x v="18"/>
    <x v="0"/>
    <x v="1"/>
    <n v="756"/>
    <x v="0"/>
    <n v="1"/>
    <n v="1"/>
    <s v="Technical Degree"/>
    <n v="1"/>
    <n v="478"/>
    <n v="1"/>
    <x v="0"/>
    <n v="99"/>
    <n v="2"/>
    <x v="1"/>
    <x v="6"/>
    <n v="2"/>
    <x v="0"/>
    <n v="2174"/>
    <n v="9150"/>
    <n v="1"/>
    <s v="Y"/>
    <x v="0"/>
    <n v="11"/>
    <n v="3"/>
    <n v="3"/>
    <n v="80"/>
    <n v="0"/>
    <n v="3"/>
    <n v="3"/>
    <n v="3"/>
    <n v="3"/>
    <n v="2"/>
    <n v="1"/>
    <n v="2"/>
    <x v="4"/>
    <x v="2"/>
    <x v="1"/>
    <n v="1"/>
  </r>
  <r>
    <x v="9"/>
    <x v="1"/>
    <x v="2"/>
    <n v="845"/>
    <x v="0"/>
    <n v="1"/>
    <n v="5"/>
    <s v="Medical"/>
    <n v="1"/>
    <n v="479"/>
    <n v="4"/>
    <x v="0"/>
    <n v="45"/>
    <n v="3"/>
    <x v="0"/>
    <x v="0"/>
    <n v="4"/>
    <x v="0"/>
    <n v="6653"/>
    <n v="15276"/>
    <n v="4"/>
    <s v="Y"/>
    <x v="1"/>
    <n v="15"/>
    <n v="3"/>
    <n v="2"/>
    <n v="80"/>
    <n v="0"/>
    <n v="7"/>
    <n v="6"/>
    <n v="3"/>
    <n v="1"/>
    <n v="0"/>
    <n v="0"/>
    <n v="0"/>
    <x v="0"/>
    <x v="1"/>
    <x v="0"/>
    <n v="0"/>
  </r>
  <r>
    <x v="9"/>
    <x v="1"/>
    <x v="1"/>
    <n v="541"/>
    <x v="0"/>
    <n v="3"/>
    <n v="4"/>
    <s v="Medical"/>
    <n v="1"/>
    <n v="481"/>
    <n v="1"/>
    <x v="1"/>
    <n v="48"/>
    <n v="2"/>
    <x v="2"/>
    <x v="0"/>
    <n v="4"/>
    <x v="1"/>
    <n v="9699"/>
    <n v="7246"/>
    <n v="4"/>
    <s v="Y"/>
    <x v="1"/>
    <n v="11"/>
    <n v="3"/>
    <n v="1"/>
    <n v="80"/>
    <n v="1"/>
    <n v="16"/>
    <n v="2"/>
    <n v="3"/>
    <n v="13"/>
    <n v="9"/>
    <n v="1"/>
    <n v="12"/>
    <x v="0"/>
    <x v="3"/>
    <x v="3"/>
    <n v="0"/>
  </r>
  <r>
    <x v="38"/>
    <x v="1"/>
    <x v="0"/>
    <n v="593"/>
    <x v="1"/>
    <n v="1"/>
    <n v="4"/>
    <s v="Medical"/>
    <n v="1"/>
    <n v="482"/>
    <n v="4"/>
    <x v="1"/>
    <n v="88"/>
    <n v="3"/>
    <x v="0"/>
    <x v="4"/>
    <n v="3"/>
    <x v="1"/>
    <n v="6755"/>
    <n v="2967"/>
    <n v="2"/>
    <s v="Y"/>
    <x v="1"/>
    <n v="11"/>
    <n v="3"/>
    <n v="3"/>
    <n v="80"/>
    <n v="0"/>
    <n v="15"/>
    <n v="2"/>
    <n v="3"/>
    <n v="3"/>
    <n v="2"/>
    <n v="1"/>
    <n v="2"/>
    <x v="3"/>
    <x v="2"/>
    <x v="0"/>
    <n v="0"/>
  </r>
  <r>
    <x v="32"/>
    <x v="1"/>
    <x v="0"/>
    <n v="1171"/>
    <x v="1"/>
    <n v="10"/>
    <n v="4"/>
    <s v="Life Sciences"/>
    <n v="1"/>
    <n v="483"/>
    <n v="4"/>
    <x v="0"/>
    <n v="46"/>
    <n v="4"/>
    <x v="1"/>
    <x v="2"/>
    <n v="3"/>
    <x v="1"/>
    <n v="2213"/>
    <n v="22495"/>
    <n v="3"/>
    <s v="Y"/>
    <x v="0"/>
    <n v="13"/>
    <n v="3"/>
    <n v="3"/>
    <n v="80"/>
    <n v="1"/>
    <n v="10"/>
    <n v="3"/>
    <n v="3"/>
    <n v="7"/>
    <n v="7"/>
    <n v="1"/>
    <n v="7"/>
    <x v="0"/>
    <x v="0"/>
    <x v="1"/>
    <n v="0"/>
  </r>
  <r>
    <x v="18"/>
    <x v="1"/>
    <x v="2"/>
    <n v="895"/>
    <x v="0"/>
    <n v="9"/>
    <n v="2"/>
    <s v="Medical"/>
    <n v="1"/>
    <n v="484"/>
    <n v="1"/>
    <x v="1"/>
    <n v="39"/>
    <n v="3"/>
    <x v="1"/>
    <x v="6"/>
    <n v="4"/>
    <x v="0"/>
    <n v="2610"/>
    <n v="2851"/>
    <n v="1"/>
    <s v="Y"/>
    <x v="1"/>
    <n v="24"/>
    <n v="4"/>
    <n v="3"/>
    <n v="80"/>
    <n v="0"/>
    <n v="3"/>
    <n v="3"/>
    <n v="2"/>
    <n v="3"/>
    <n v="2"/>
    <n v="2"/>
    <n v="2"/>
    <x v="4"/>
    <x v="2"/>
    <x v="1"/>
    <n v="0"/>
  </r>
  <r>
    <x v="3"/>
    <x v="0"/>
    <x v="0"/>
    <n v="350"/>
    <x v="0"/>
    <n v="5"/>
    <n v="3"/>
    <s v="Marketing"/>
    <n v="1"/>
    <n v="485"/>
    <n v="4"/>
    <x v="0"/>
    <n v="34"/>
    <n v="3"/>
    <x v="1"/>
    <x v="6"/>
    <n v="3"/>
    <x v="0"/>
    <n v="2851"/>
    <n v="9150"/>
    <n v="1"/>
    <s v="Y"/>
    <x v="0"/>
    <n v="13"/>
    <n v="3"/>
    <n v="2"/>
    <n v="80"/>
    <n v="0"/>
    <n v="1"/>
    <n v="2"/>
    <n v="3"/>
    <n v="1"/>
    <n v="0"/>
    <n v="0"/>
    <n v="0"/>
    <x v="2"/>
    <x v="1"/>
    <x v="1"/>
    <n v="1"/>
  </r>
  <r>
    <x v="2"/>
    <x v="1"/>
    <x v="0"/>
    <n v="921"/>
    <x v="1"/>
    <n v="10"/>
    <n v="3"/>
    <s v="Medical"/>
    <n v="1"/>
    <n v="486"/>
    <n v="3"/>
    <x v="0"/>
    <n v="98"/>
    <n v="3"/>
    <x v="1"/>
    <x v="2"/>
    <n v="1"/>
    <x v="1"/>
    <n v="3452"/>
    <n v="17663"/>
    <n v="6"/>
    <s v="Y"/>
    <x v="1"/>
    <n v="20"/>
    <n v="4"/>
    <n v="2"/>
    <n v="80"/>
    <n v="1"/>
    <n v="17"/>
    <n v="3"/>
    <n v="3"/>
    <n v="5"/>
    <n v="4"/>
    <n v="0"/>
    <n v="3"/>
    <x v="0"/>
    <x v="2"/>
    <x v="2"/>
    <n v="0"/>
  </r>
  <r>
    <x v="21"/>
    <x v="1"/>
    <x v="2"/>
    <n v="1144"/>
    <x v="1"/>
    <n v="7"/>
    <n v="4"/>
    <s v="Medical"/>
    <n v="1"/>
    <n v="487"/>
    <n v="3"/>
    <x v="0"/>
    <n v="30"/>
    <n v="3"/>
    <x v="0"/>
    <x v="3"/>
    <n v="3"/>
    <x v="1"/>
    <n v="5258"/>
    <n v="16044"/>
    <n v="2"/>
    <s v="Y"/>
    <x v="1"/>
    <n v="14"/>
    <n v="3"/>
    <n v="3"/>
    <n v="80"/>
    <n v="0"/>
    <n v="7"/>
    <n v="2"/>
    <n v="4"/>
    <n v="1"/>
    <n v="0"/>
    <n v="0"/>
    <n v="0"/>
    <x v="1"/>
    <x v="1"/>
    <x v="0"/>
    <n v="0"/>
  </r>
  <r>
    <x v="0"/>
    <x v="0"/>
    <x v="1"/>
    <n v="143"/>
    <x v="0"/>
    <n v="4"/>
    <n v="3"/>
    <s v="Marketing"/>
    <n v="1"/>
    <n v="488"/>
    <n v="1"/>
    <x v="1"/>
    <n v="56"/>
    <n v="3"/>
    <x v="0"/>
    <x v="0"/>
    <n v="2"/>
    <x v="0"/>
    <n v="9355"/>
    <n v="9558"/>
    <n v="1"/>
    <s v="Y"/>
    <x v="1"/>
    <n v="18"/>
    <n v="3"/>
    <n v="3"/>
    <n v="80"/>
    <n v="0"/>
    <n v="8"/>
    <n v="5"/>
    <n v="3"/>
    <n v="8"/>
    <n v="7"/>
    <n v="7"/>
    <n v="7"/>
    <x v="0"/>
    <x v="0"/>
    <x v="3"/>
    <n v="1"/>
  </r>
  <r>
    <x v="24"/>
    <x v="1"/>
    <x v="0"/>
    <n v="1046"/>
    <x v="1"/>
    <n v="10"/>
    <n v="3"/>
    <s v="Technical Degree"/>
    <n v="1"/>
    <n v="491"/>
    <n v="4"/>
    <x v="1"/>
    <n v="100"/>
    <n v="2"/>
    <x v="2"/>
    <x v="4"/>
    <n v="4"/>
    <x v="0"/>
    <n v="10496"/>
    <n v="2755"/>
    <n v="6"/>
    <s v="Y"/>
    <x v="1"/>
    <n v="15"/>
    <n v="3"/>
    <n v="4"/>
    <n v="80"/>
    <n v="0"/>
    <n v="20"/>
    <n v="2"/>
    <n v="3"/>
    <n v="4"/>
    <n v="3"/>
    <n v="1"/>
    <n v="3"/>
    <x v="1"/>
    <x v="2"/>
    <x v="3"/>
    <n v="0"/>
  </r>
  <r>
    <x v="32"/>
    <x v="0"/>
    <x v="0"/>
    <n v="575"/>
    <x v="0"/>
    <n v="22"/>
    <n v="2"/>
    <s v="Marketing"/>
    <n v="1"/>
    <n v="492"/>
    <n v="3"/>
    <x v="1"/>
    <n v="68"/>
    <n v="2"/>
    <x v="0"/>
    <x v="0"/>
    <n v="3"/>
    <x v="1"/>
    <n v="6380"/>
    <n v="6110"/>
    <n v="2"/>
    <s v="Y"/>
    <x v="0"/>
    <n v="12"/>
    <n v="3"/>
    <n v="1"/>
    <n v="80"/>
    <n v="2"/>
    <n v="8"/>
    <n v="6"/>
    <n v="3"/>
    <n v="6"/>
    <n v="4"/>
    <n v="1"/>
    <n v="0"/>
    <x v="0"/>
    <x v="0"/>
    <x v="0"/>
    <n v="1"/>
  </r>
  <r>
    <x v="12"/>
    <x v="1"/>
    <x v="0"/>
    <n v="408"/>
    <x v="1"/>
    <n v="9"/>
    <n v="4"/>
    <s v="Life Sciences"/>
    <n v="1"/>
    <n v="493"/>
    <n v="3"/>
    <x v="1"/>
    <n v="42"/>
    <n v="2"/>
    <x v="1"/>
    <x v="1"/>
    <n v="2"/>
    <x v="0"/>
    <n v="2657"/>
    <n v="7551"/>
    <n v="0"/>
    <s v="Y"/>
    <x v="0"/>
    <n v="16"/>
    <n v="3"/>
    <n v="4"/>
    <n v="80"/>
    <n v="0"/>
    <n v="3"/>
    <n v="5"/>
    <n v="3"/>
    <n v="2"/>
    <n v="2"/>
    <n v="2"/>
    <n v="2"/>
    <x v="2"/>
    <x v="1"/>
    <x v="1"/>
    <n v="0"/>
  </r>
  <r>
    <x v="18"/>
    <x v="0"/>
    <x v="0"/>
    <n v="156"/>
    <x v="0"/>
    <n v="12"/>
    <n v="3"/>
    <s v="Life Sciences"/>
    <n v="1"/>
    <n v="494"/>
    <n v="3"/>
    <x v="0"/>
    <n v="90"/>
    <n v="4"/>
    <x v="1"/>
    <x v="6"/>
    <n v="2"/>
    <x v="0"/>
    <n v="2716"/>
    <n v="25422"/>
    <n v="1"/>
    <s v="Y"/>
    <x v="1"/>
    <n v="15"/>
    <n v="3"/>
    <n v="4"/>
    <n v="80"/>
    <n v="0"/>
    <n v="1"/>
    <n v="0"/>
    <n v="3"/>
    <n v="1"/>
    <n v="0"/>
    <n v="0"/>
    <n v="0"/>
    <x v="4"/>
    <x v="1"/>
    <x v="1"/>
    <n v="1"/>
  </r>
  <r>
    <x v="11"/>
    <x v="1"/>
    <x v="0"/>
    <n v="1283"/>
    <x v="1"/>
    <n v="23"/>
    <n v="3"/>
    <s v="Life Sciences"/>
    <n v="1"/>
    <n v="495"/>
    <n v="4"/>
    <x v="1"/>
    <n v="54"/>
    <n v="3"/>
    <x v="1"/>
    <x v="1"/>
    <n v="4"/>
    <x v="0"/>
    <n v="2201"/>
    <n v="18168"/>
    <n v="9"/>
    <s v="Y"/>
    <x v="1"/>
    <n v="16"/>
    <n v="3"/>
    <n v="4"/>
    <n v="80"/>
    <n v="0"/>
    <n v="6"/>
    <n v="4"/>
    <n v="3"/>
    <n v="3"/>
    <n v="2"/>
    <n v="1"/>
    <n v="2"/>
    <x v="2"/>
    <x v="2"/>
    <x v="1"/>
    <n v="0"/>
  </r>
  <r>
    <x v="10"/>
    <x v="1"/>
    <x v="0"/>
    <n v="755"/>
    <x v="1"/>
    <n v="9"/>
    <n v="4"/>
    <s v="Life Sciences"/>
    <n v="1"/>
    <n v="496"/>
    <n v="3"/>
    <x v="1"/>
    <n v="97"/>
    <n v="2"/>
    <x v="0"/>
    <x v="4"/>
    <n v="2"/>
    <x v="0"/>
    <n v="6540"/>
    <n v="19394"/>
    <n v="9"/>
    <s v="Y"/>
    <x v="1"/>
    <n v="19"/>
    <n v="3"/>
    <n v="3"/>
    <n v="80"/>
    <n v="0"/>
    <n v="10"/>
    <n v="5"/>
    <n v="3"/>
    <n v="1"/>
    <n v="1"/>
    <n v="0"/>
    <n v="0"/>
    <x v="0"/>
    <x v="1"/>
    <x v="0"/>
    <n v="0"/>
  </r>
  <r>
    <x v="4"/>
    <x v="1"/>
    <x v="0"/>
    <n v="1469"/>
    <x v="1"/>
    <n v="1"/>
    <n v="2"/>
    <s v="Medical"/>
    <n v="1"/>
    <n v="497"/>
    <n v="4"/>
    <x v="1"/>
    <n v="82"/>
    <n v="3"/>
    <x v="1"/>
    <x v="2"/>
    <n v="2"/>
    <x v="2"/>
    <n v="3816"/>
    <n v="17881"/>
    <n v="1"/>
    <s v="Y"/>
    <x v="1"/>
    <n v="11"/>
    <n v="3"/>
    <n v="2"/>
    <n v="80"/>
    <n v="1"/>
    <n v="5"/>
    <n v="2"/>
    <n v="3"/>
    <n v="5"/>
    <n v="2"/>
    <n v="0"/>
    <n v="4"/>
    <x v="2"/>
    <x v="2"/>
    <x v="2"/>
    <n v="0"/>
  </r>
  <r>
    <x v="14"/>
    <x v="1"/>
    <x v="0"/>
    <n v="304"/>
    <x v="0"/>
    <n v="9"/>
    <n v="4"/>
    <s v="Life Sciences"/>
    <n v="1"/>
    <n v="498"/>
    <n v="2"/>
    <x v="1"/>
    <n v="92"/>
    <n v="3"/>
    <x v="0"/>
    <x v="0"/>
    <n v="4"/>
    <x v="0"/>
    <n v="5253"/>
    <n v="20750"/>
    <n v="1"/>
    <s v="Y"/>
    <x v="1"/>
    <n v="16"/>
    <n v="3"/>
    <n v="4"/>
    <n v="80"/>
    <n v="0"/>
    <n v="7"/>
    <n v="1"/>
    <n v="3"/>
    <n v="7"/>
    <n v="5"/>
    <n v="0"/>
    <n v="7"/>
    <x v="2"/>
    <x v="0"/>
    <x v="0"/>
    <n v="0"/>
  </r>
  <r>
    <x v="1"/>
    <x v="1"/>
    <x v="0"/>
    <n v="1261"/>
    <x v="1"/>
    <n v="7"/>
    <n v="3"/>
    <s v="Other"/>
    <n v="1"/>
    <n v="499"/>
    <n v="2"/>
    <x v="1"/>
    <n v="31"/>
    <n v="2"/>
    <x v="2"/>
    <x v="4"/>
    <n v="3"/>
    <x v="0"/>
    <n v="10965"/>
    <n v="12066"/>
    <n v="8"/>
    <s v="Y"/>
    <x v="1"/>
    <n v="24"/>
    <n v="4"/>
    <n v="3"/>
    <n v="80"/>
    <n v="0"/>
    <n v="26"/>
    <n v="2"/>
    <n v="3"/>
    <n v="5"/>
    <n v="2"/>
    <n v="0"/>
    <n v="0"/>
    <x v="1"/>
    <x v="2"/>
    <x v="3"/>
    <n v="0"/>
  </r>
  <r>
    <x v="31"/>
    <x v="1"/>
    <x v="0"/>
    <n v="1178"/>
    <x v="0"/>
    <n v="14"/>
    <n v="2"/>
    <s v="Life Sciences"/>
    <n v="1"/>
    <n v="500"/>
    <n v="3"/>
    <x v="0"/>
    <n v="87"/>
    <n v="3"/>
    <x v="0"/>
    <x v="0"/>
    <n v="4"/>
    <x v="1"/>
    <n v="4936"/>
    <n v="14862"/>
    <n v="4"/>
    <s v="Y"/>
    <x v="1"/>
    <n v="11"/>
    <n v="3"/>
    <n v="3"/>
    <n v="80"/>
    <n v="1"/>
    <n v="18"/>
    <n v="2"/>
    <n v="2"/>
    <n v="7"/>
    <n v="7"/>
    <n v="0"/>
    <n v="7"/>
    <x v="1"/>
    <x v="0"/>
    <x v="2"/>
    <n v="0"/>
  </r>
  <r>
    <x v="9"/>
    <x v="1"/>
    <x v="0"/>
    <n v="329"/>
    <x v="1"/>
    <n v="2"/>
    <n v="3"/>
    <s v="Life Sciences"/>
    <n v="1"/>
    <n v="501"/>
    <n v="4"/>
    <x v="0"/>
    <n v="96"/>
    <n v="3"/>
    <x v="1"/>
    <x v="1"/>
    <n v="3"/>
    <x v="1"/>
    <n v="2543"/>
    <n v="11868"/>
    <n v="4"/>
    <s v="Y"/>
    <x v="1"/>
    <n v="13"/>
    <n v="3"/>
    <n v="2"/>
    <n v="80"/>
    <n v="1"/>
    <n v="6"/>
    <n v="3"/>
    <n v="3"/>
    <n v="2"/>
    <n v="2"/>
    <n v="2"/>
    <n v="2"/>
    <x v="0"/>
    <x v="1"/>
    <x v="1"/>
    <n v="0"/>
  </r>
  <r>
    <x v="13"/>
    <x v="0"/>
    <x v="2"/>
    <n v="1362"/>
    <x v="0"/>
    <n v="19"/>
    <n v="3"/>
    <s v="Marketing"/>
    <n v="1"/>
    <n v="502"/>
    <n v="1"/>
    <x v="1"/>
    <n v="67"/>
    <n v="4"/>
    <x v="0"/>
    <x v="0"/>
    <n v="4"/>
    <x v="0"/>
    <n v="5304"/>
    <n v="4652"/>
    <n v="8"/>
    <s v="Y"/>
    <x v="0"/>
    <n v="13"/>
    <n v="3"/>
    <n v="2"/>
    <n v="80"/>
    <n v="0"/>
    <n v="9"/>
    <n v="3"/>
    <n v="2"/>
    <n v="5"/>
    <n v="2"/>
    <n v="0"/>
    <n v="4"/>
    <x v="2"/>
    <x v="2"/>
    <x v="0"/>
    <n v="1"/>
  </r>
  <r>
    <x v="27"/>
    <x v="1"/>
    <x v="0"/>
    <n v="1311"/>
    <x v="1"/>
    <n v="2"/>
    <n v="3"/>
    <s v="Life Sciences"/>
    <n v="1"/>
    <n v="505"/>
    <n v="3"/>
    <x v="0"/>
    <n v="97"/>
    <n v="3"/>
    <x v="3"/>
    <x v="5"/>
    <n v="4"/>
    <x v="0"/>
    <n v="16659"/>
    <n v="23258"/>
    <n v="2"/>
    <s v="Y"/>
    <x v="0"/>
    <n v="13"/>
    <n v="3"/>
    <n v="3"/>
    <n v="80"/>
    <n v="0"/>
    <n v="30"/>
    <n v="2"/>
    <n v="3"/>
    <n v="5"/>
    <n v="4"/>
    <n v="1"/>
    <n v="2"/>
    <x v="3"/>
    <x v="2"/>
    <x v="3"/>
    <n v="0"/>
  </r>
  <r>
    <x v="17"/>
    <x v="1"/>
    <x v="0"/>
    <n v="1371"/>
    <x v="0"/>
    <n v="10"/>
    <n v="4"/>
    <s v="Marketing"/>
    <n v="1"/>
    <n v="507"/>
    <n v="4"/>
    <x v="0"/>
    <n v="77"/>
    <n v="3"/>
    <x v="0"/>
    <x v="0"/>
    <n v="3"/>
    <x v="2"/>
    <n v="4260"/>
    <n v="5915"/>
    <n v="1"/>
    <s v="Y"/>
    <x v="0"/>
    <n v="12"/>
    <n v="3"/>
    <n v="4"/>
    <n v="80"/>
    <n v="1"/>
    <n v="5"/>
    <n v="2"/>
    <n v="4"/>
    <n v="5"/>
    <n v="2"/>
    <n v="0"/>
    <n v="3"/>
    <x v="4"/>
    <x v="2"/>
    <x v="2"/>
    <n v="0"/>
  </r>
  <r>
    <x v="7"/>
    <x v="1"/>
    <x v="0"/>
    <n v="202"/>
    <x v="0"/>
    <n v="2"/>
    <n v="1"/>
    <s v="Technical Degree"/>
    <n v="1"/>
    <n v="508"/>
    <n v="3"/>
    <x v="1"/>
    <n v="72"/>
    <n v="3"/>
    <x v="1"/>
    <x v="6"/>
    <n v="2"/>
    <x v="1"/>
    <n v="2476"/>
    <n v="17434"/>
    <n v="1"/>
    <s v="Y"/>
    <x v="1"/>
    <n v="18"/>
    <n v="3"/>
    <n v="1"/>
    <n v="80"/>
    <n v="1"/>
    <n v="1"/>
    <n v="3"/>
    <n v="3"/>
    <n v="1"/>
    <n v="0"/>
    <n v="0"/>
    <n v="0"/>
    <x v="2"/>
    <x v="1"/>
    <x v="1"/>
    <n v="0"/>
  </r>
  <r>
    <x v="25"/>
    <x v="0"/>
    <x v="1"/>
    <n v="575"/>
    <x v="1"/>
    <n v="3"/>
    <n v="1"/>
    <s v="Technical Degree"/>
    <n v="1"/>
    <n v="510"/>
    <n v="3"/>
    <x v="1"/>
    <n v="73"/>
    <n v="3"/>
    <x v="1"/>
    <x v="1"/>
    <n v="1"/>
    <x v="0"/>
    <n v="3102"/>
    <n v="6582"/>
    <n v="0"/>
    <s v="Y"/>
    <x v="1"/>
    <n v="22"/>
    <n v="4"/>
    <n v="3"/>
    <n v="80"/>
    <n v="0"/>
    <n v="7"/>
    <n v="2"/>
    <n v="3"/>
    <n v="6"/>
    <n v="4"/>
    <n v="0"/>
    <n v="4"/>
    <x v="2"/>
    <x v="0"/>
    <x v="2"/>
    <n v="1"/>
  </r>
  <r>
    <x v="15"/>
    <x v="1"/>
    <x v="0"/>
    <n v="253"/>
    <x v="1"/>
    <n v="11"/>
    <n v="3"/>
    <s v="Medical"/>
    <n v="1"/>
    <n v="511"/>
    <n v="1"/>
    <x v="0"/>
    <n v="43"/>
    <n v="3"/>
    <x v="1"/>
    <x v="1"/>
    <n v="2"/>
    <x v="1"/>
    <n v="2244"/>
    <n v="24440"/>
    <n v="1"/>
    <s v="Y"/>
    <x v="1"/>
    <n v="13"/>
    <n v="3"/>
    <n v="4"/>
    <n v="80"/>
    <n v="1"/>
    <n v="2"/>
    <n v="1"/>
    <n v="3"/>
    <n v="2"/>
    <n v="1"/>
    <n v="1"/>
    <n v="2"/>
    <x v="4"/>
    <x v="1"/>
    <x v="1"/>
    <n v="0"/>
  </r>
  <r>
    <x v="9"/>
    <x v="1"/>
    <x v="0"/>
    <n v="164"/>
    <x v="0"/>
    <n v="2"/>
    <n v="2"/>
    <s v="Medical"/>
    <n v="1"/>
    <n v="513"/>
    <n v="2"/>
    <x v="1"/>
    <n v="61"/>
    <n v="2"/>
    <x v="2"/>
    <x v="0"/>
    <n v="3"/>
    <x v="1"/>
    <n v="7596"/>
    <n v="3809"/>
    <n v="1"/>
    <s v="Y"/>
    <x v="1"/>
    <n v="13"/>
    <n v="3"/>
    <n v="2"/>
    <n v="80"/>
    <n v="2"/>
    <n v="10"/>
    <n v="2"/>
    <n v="3"/>
    <n v="10"/>
    <n v="9"/>
    <n v="9"/>
    <n v="0"/>
    <x v="0"/>
    <x v="0"/>
    <x v="0"/>
    <n v="0"/>
  </r>
  <r>
    <x v="7"/>
    <x v="0"/>
    <x v="1"/>
    <n v="464"/>
    <x v="1"/>
    <n v="4"/>
    <n v="3"/>
    <s v="Technical Degree"/>
    <n v="1"/>
    <n v="514"/>
    <n v="3"/>
    <x v="1"/>
    <n v="40"/>
    <n v="3"/>
    <x v="1"/>
    <x v="1"/>
    <n v="4"/>
    <x v="0"/>
    <n v="2285"/>
    <n v="3427"/>
    <n v="9"/>
    <s v="Y"/>
    <x v="0"/>
    <n v="23"/>
    <n v="4"/>
    <n v="3"/>
    <n v="80"/>
    <n v="0"/>
    <n v="3"/>
    <n v="4"/>
    <n v="3"/>
    <n v="1"/>
    <n v="0"/>
    <n v="0"/>
    <n v="0"/>
    <x v="2"/>
    <x v="1"/>
    <x v="1"/>
    <n v="1"/>
  </r>
  <r>
    <x v="2"/>
    <x v="1"/>
    <x v="0"/>
    <n v="1107"/>
    <x v="1"/>
    <n v="14"/>
    <n v="3"/>
    <s v="Life Sciences"/>
    <n v="1"/>
    <n v="515"/>
    <n v="4"/>
    <x v="0"/>
    <n v="95"/>
    <n v="3"/>
    <x v="1"/>
    <x v="2"/>
    <n v="1"/>
    <x v="2"/>
    <n v="3034"/>
    <n v="26914"/>
    <n v="1"/>
    <s v="Y"/>
    <x v="1"/>
    <n v="12"/>
    <n v="3"/>
    <n v="3"/>
    <n v="80"/>
    <n v="1"/>
    <n v="18"/>
    <n v="2"/>
    <n v="2"/>
    <n v="18"/>
    <n v="7"/>
    <n v="12"/>
    <n v="17"/>
    <x v="0"/>
    <x v="3"/>
    <x v="2"/>
    <n v="0"/>
  </r>
  <r>
    <x v="32"/>
    <x v="1"/>
    <x v="0"/>
    <n v="759"/>
    <x v="0"/>
    <n v="2"/>
    <n v="2"/>
    <s v="Marketing"/>
    <n v="1"/>
    <n v="516"/>
    <n v="4"/>
    <x v="0"/>
    <n v="46"/>
    <n v="3"/>
    <x v="0"/>
    <x v="0"/>
    <n v="2"/>
    <x v="2"/>
    <n v="5715"/>
    <n v="22553"/>
    <n v="7"/>
    <s v="Y"/>
    <x v="1"/>
    <n v="12"/>
    <n v="3"/>
    <n v="3"/>
    <n v="80"/>
    <n v="2"/>
    <n v="8"/>
    <n v="5"/>
    <n v="3"/>
    <n v="5"/>
    <n v="4"/>
    <n v="1"/>
    <n v="3"/>
    <x v="0"/>
    <x v="2"/>
    <x v="0"/>
    <n v="0"/>
  </r>
  <r>
    <x v="19"/>
    <x v="1"/>
    <x v="0"/>
    <n v="201"/>
    <x v="1"/>
    <n v="1"/>
    <n v="4"/>
    <s v="Life Sciences"/>
    <n v="1"/>
    <n v="517"/>
    <n v="2"/>
    <x v="0"/>
    <n v="95"/>
    <n v="3"/>
    <x v="1"/>
    <x v="2"/>
    <n v="1"/>
    <x v="2"/>
    <n v="2576"/>
    <n v="20490"/>
    <n v="3"/>
    <s v="Y"/>
    <x v="1"/>
    <n v="16"/>
    <n v="3"/>
    <n v="2"/>
    <n v="80"/>
    <n v="1"/>
    <n v="8"/>
    <n v="5"/>
    <n v="3"/>
    <n v="5"/>
    <n v="2"/>
    <n v="1"/>
    <n v="2"/>
    <x v="0"/>
    <x v="2"/>
    <x v="1"/>
    <n v="0"/>
  </r>
  <r>
    <x v="2"/>
    <x v="1"/>
    <x v="0"/>
    <n v="1305"/>
    <x v="1"/>
    <n v="10"/>
    <n v="4"/>
    <s v="Life Sciences"/>
    <n v="1"/>
    <n v="518"/>
    <n v="3"/>
    <x v="1"/>
    <n v="49"/>
    <n v="3"/>
    <x v="0"/>
    <x v="3"/>
    <n v="2"/>
    <x v="0"/>
    <n v="4197"/>
    <n v="21123"/>
    <n v="2"/>
    <s v="Y"/>
    <x v="0"/>
    <n v="12"/>
    <n v="3"/>
    <n v="4"/>
    <n v="80"/>
    <n v="0"/>
    <n v="18"/>
    <n v="2"/>
    <n v="2"/>
    <n v="1"/>
    <n v="0"/>
    <n v="0"/>
    <n v="1"/>
    <x v="0"/>
    <x v="1"/>
    <x v="2"/>
    <n v="0"/>
  </r>
  <r>
    <x v="23"/>
    <x v="1"/>
    <x v="0"/>
    <n v="982"/>
    <x v="1"/>
    <n v="12"/>
    <n v="3"/>
    <s v="Life Sciences"/>
    <n v="1"/>
    <n v="520"/>
    <n v="1"/>
    <x v="1"/>
    <n v="59"/>
    <n v="2"/>
    <x v="3"/>
    <x v="7"/>
    <n v="2"/>
    <x v="2"/>
    <n v="14336"/>
    <n v="4345"/>
    <n v="1"/>
    <s v="Y"/>
    <x v="1"/>
    <n v="11"/>
    <n v="3"/>
    <n v="3"/>
    <n v="80"/>
    <n v="1"/>
    <n v="25"/>
    <n v="3"/>
    <n v="3"/>
    <n v="25"/>
    <n v="10"/>
    <n v="3"/>
    <n v="9"/>
    <x v="0"/>
    <x v="3"/>
    <x v="3"/>
    <n v="0"/>
  </r>
  <r>
    <x v="32"/>
    <x v="1"/>
    <x v="0"/>
    <n v="555"/>
    <x v="1"/>
    <n v="2"/>
    <n v="3"/>
    <s v="Medical"/>
    <n v="1"/>
    <n v="521"/>
    <n v="2"/>
    <x v="0"/>
    <n v="78"/>
    <n v="2"/>
    <x v="0"/>
    <x v="2"/>
    <n v="3"/>
    <x v="1"/>
    <n v="3448"/>
    <n v="13436"/>
    <n v="6"/>
    <s v="Y"/>
    <x v="1"/>
    <n v="22"/>
    <n v="4"/>
    <n v="2"/>
    <n v="80"/>
    <n v="1"/>
    <n v="20"/>
    <n v="3"/>
    <n v="3"/>
    <n v="1"/>
    <n v="0"/>
    <n v="0"/>
    <n v="0"/>
    <x v="0"/>
    <x v="1"/>
    <x v="2"/>
    <n v="0"/>
  </r>
  <r>
    <x v="33"/>
    <x v="1"/>
    <x v="0"/>
    <n v="821"/>
    <x v="1"/>
    <n v="5"/>
    <n v="2"/>
    <s v="Medical"/>
    <n v="1"/>
    <n v="522"/>
    <n v="1"/>
    <x v="1"/>
    <n v="86"/>
    <n v="3"/>
    <x v="4"/>
    <x v="7"/>
    <n v="1"/>
    <x v="1"/>
    <n v="19406"/>
    <n v="8509"/>
    <n v="4"/>
    <s v="Y"/>
    <x v="1"/>
    <n v="11"/>
    <n v="3"/>
    <n v="3"/>
    <n v="80"/>
    <n v="1"/>
    <n v="24"/>
    <n v="4"/>
    <n v="2"/>
    <n v="4"/>
    <n v="2"/>
    <n v="1"/>
    <n v="2"/>
    <x v="1"/>
    <x v="2"/>
    <x v="3"/>
    <n v="0"/>
  </r>
  <r>
    <x v="13"/>
    <x v="1"/>
    <x v="2"/>
    <n v="1381"/>
    <x v="0"/>
    <n v="4"/>
    <n v="4"/>
    <s v="Marketing"/>
    <n v="1"/>
    <n v="523"/>
    <n v="3"/>
    <x v="0"/>
    <n v="72"/>
    <n v="3"/>
    <x v="0"/>
    <x v="0"/>
    <n v="3"/>
    <x v="1"/>
    <n v="6538"/>
    <n v="12740"/>
    <n v="9"/>
    <s v="Y"/>
    <x v="1"/>
    <n v="15"/>
    <n v="3"/>
    <n v="1"/>
    <n v="80"/>
    <n v="1"/>
    <n v="6"/>
    <n v="3"/>
    <n v="3"/>
    <n v="3"/>
    <n v="2"/>
    <n v="1"/>
    <n v="2"/>
    <x v="2"/>
    <x v="2"/>
    <x v="0"/>
    <n v="0"/>
  </r>
  <r>
    <x v="12"/>
    <x v="1"/>
    <x v="0"/>
    <n v="480"/>
    <x v="1"/>
    <n v="7"/>
    <n v="2"/>
    <s v="Medical"/>
    <n v="1"/>
    <n v="524"/>
    <n v="2"/>
    <x v="0"/>
    <n v="31"/>
    <n v="3"/>
    <x v="0"/>
    <x v="3"/>
    <n v="1"/>
    <x v="1"/>
    <n v="4306"/>
    <n v="4156"/>
    <n v="1"/>
    <s v="Y"/>
    <x v="1"/>
    <n v="12"/>
    <n v="3"/>
    <n v="2"/>
    <n v="80"/>
    <n v="1"/>
    <n v="13"/>
    <n v="5"/>
    <n v="1"/>
    <n v="13"/>
    <n v="10"/>
    <n v="3"/>
    <n v="12"/>
    <x v="2"/>
    <x v="3"/>
    <x v="2"/>
    <n v="0"/>
  </r>
  <r>
    <x v="23"/>
    <x v="1"/>
    <x v="1"/>
    <n v="313"/>
    <x v="1"/>
    <n v="21"/>
    <n v="3"/>
    <s v="Medical"/>
    <n v="1"/>
    <n v="525"/>
    <n v="4"/>
    <x v="1"/>
    <n v="61"/>
    <n v="3"/>
    <x v="1"/>
    <x v="2"/>
    <n v="4"/>
    <x v="1"/>
    <n v="2258"/>
    <n v="15238"/>
    <n v="7"/>
    <s v="Y"/>
    <x v="1"/>
    <n v="20"/>
    <n v="4"/>
    <n v="1"/>
    <n v="80"/>
    <n v="1"/>
    <n v="8"/>
    <n v="1"/>
    <n v="3"/>
    <n v="3"/>
    <n v="2"/>
    <n v="1"/>
    <n v="2"/>
    <x v="0"/>
    <x v="2"/>
    <x v="1"/>
    <n v="0"/>
  </r>
  <r>
    <x v="23"/>
    <x v="1"/>
    <x v="0"/>
    <n v="1473"/>
    <x v="1"/>
    <n v="8"/>
    <n v="4"/>
    <s v="Other"/>
    <n v="1"/>
    <n v="526"/>
    <n v="3"/>
    <x v="0"/>
    <n v="74"/>
    <n v="3"/>
    <x v="0"/>
    <x v="4"/>
    <n v="3"/>
    <x v="2"/>
    <n v="4522"/>
    <n v="2227"/>
    <n v="4"/>
    <s v="Y"/>
    <x v="0"/>
    <n v="14"/>
    <n v="3"/>
    <n v="4"/>
    <n v="80"/>
    <n v="0"/>
    <n v="8"/>
    <n v="3"/>
    <n v="3"/>
    <n v="5"/>
    <n v="2"/>
    <n v="0"/>
    <n v="2"/>
    <x v="0"/>
    <x v="2"/>
    <x v="2"/>
    <n v="0"/>
  </r>
  <r>
    <x v="36"/>
    <x v="1"/>
    <x v="0"/>
    <n v="891"/>
    <x v="0"/>
    <n v="4"/>
    <n v="2"/>
    <s v="Life Sciences"/>
    <n v="1"/>
    <n v="527"/>
    <n v="2"/>
    <x v="0"/>
    <n v="99"/>
    <n v="2"/>
    <x v="0"/>
    <x v="0"/>
    <n v="4"/>
    <x v="0"/>
    <n v="4487"/>
    <n v="12090"/>
    <n v="1"/>
    <s v="Y"/>
    <x v="0"/>
    <n v="11"/>
    <n v="3"/>
    <n v="2"/>
    <n v="80"/>
    <n v="0"/>
    <n v="5"/>
    <n v="3"/>
    <n v="3"/>
    <n v="5"/>
    <n v="4"/>
    <n v="1"/>
    <n v="3"/>
    <x v="2"/>
    <x v="2"/>
    <x v="2"/>
    <n v="0"/>
  </r>
  <r>
    <x v="2"/>
    <x v="1"/>
    <x v="2"/>
    <n v="1063"/>
    <x v="1"/>
    <n v="25"/>
    <n v="5"/>
    <s v="Medical"/>
    <n v="1"/>
    <n v="529"/>
    <n v="2"/>
    <x v="0"/>
    <n v="72"/>
    <n v="3"/>
    <x v="0"/>
    <x v="1"/>
    <n v="3"/>
    <x v="1"/>
    <n v="4449"/>
    <n v="23866"/>
    <n v="3"/>
    <s v="Y"/>
    <x v="0"/>
    <n v="15"/>
    <n v="3"/>
    <n v="1"/>
    <n v="80"/>
    <n v="2"/>
    <n v="15"/>
    <n v="2"/>
    <n v="3"/>
    <n v="13"/>
    <n v="11"/>
    <n v="10"/>
    <n v="7"/>
    <x v="0"/>
    <x v="3"/>
    <x v="2"/>
    <n v="0"/>
  </r>
  <r>
    <x v="12"/>
    <x v="1"/>
    <x v="0"/>
    <n v="329"/>
    <x v="1"/>
    <n v="1"/>
    <n v="2"/>
    <s v="Life Sciences"/>
    <n v="1"/>
    <n v="530"/>
    <n v="4"/>
    <x v="1"/>
    <n v="98"/>
    <n v="2"/>
    <x v="1"/>
    <x v="2"/>
    <n v="1"/>
    <x v="1"/>
    <n v="2218"/>
    <n v="16193"/>
    <n v="1"/>
    <s v="Y"/>
    <x v="1"/>
    <n v="12"/>
    <n v="3"/>
    <n v="3"/>
    <n v="80"/>
    <n v="1"/>
    <n v="4"/>
    <n v="3"/>
    <n v="3"/>
    <n v="4"/>
    <n v="2"/>
    <n v="3"/>
    <n v="2"/>
    <x v="2"/>
    <x v="2"/>
    <x v="1"/>
    <n v="0"/>
  </r>
  <r>
    <x v="22"/>
    <x v="1"/>
    <x v="1"/>
    <n v="1218"/>
    <x v="1"/>
    <n v="1"/>
    <n v="1"/>
    <s v="Life Sciences"/>
    <n v="1"/>
    <n v="531"/>
    <n v="2"/>
    <x v="1"/>
    <n v="52"/>
    <n v="3"/>
    <x v="4"/>
    <x v="5"/>
    <n v="3"/>
    <x v="2"/>
    <n v="19197"/>
    <n v="8213"/>
    <n v="1"/>
    <s v="Y"/>
    <x v="0"/>
    <n v="14"/>
    <n v="3"/>
    <n v="3"/>
    <n v="80"/>
    <n v="1"/>
    <n v="21"/>
    <n v="3"/>
    <n v="3"/>
    <n v="21"/>
    <n v="8"/>
    <n v="1"/>
    <n v="6"/>
    <x v="0"/>
    <x v="3"/>
    <x v="3"/>
    <n v="0"/>
  </r>
  <r>
    <x v="29"/>
    <x v="1"/>
    <x v="1"/>
    <n v="906"/>
    <x v="0"/>
    <n v="6"/>
    <n v="3"/>
    <s v="Life Sciences"/>
    <n v="1"/>
    <n v="532"/>
    <n v="3"/>
    <x v="0"/>
    <n v="86"/>
    <n v="4"/>
    <x v="3"/>
    <x v="0"/>
    <n v="1"/>
    <x v="1"/>
    <n v="13212"/>
    <n v="18256"/>
    <n v="9"/>
    <s v="Y"/>
    <x v="1"/>
    <n v="11"/>
    <n v="3"/>
    <n v="4"/>
    <n v="80"/>
    <n v="3"/>
    <n v="36"/>
    <n v="0"/>
    <n v="2"/>
    <n v="7"/>
    <n v="7"/>
    <n v="7"/>
    <n v="7"/>
    <x v="3"/>
    <x v="0"/>
    <x v="3"/>
    <n v="0"/>
  </r>
  <r>
    <x v="7"/>
    <x v="1"/>
    <x v="0"/>
    <n v="1082"/>
    <x v="0"/>
    <n v="12"/>
    <n v="3"/>
    <s v="Technical Degree"/>
    <n v="1"/>
    <n v="533"/>
    <n v="2"/>
    <x v="0"/>
    <n v="83"/>
    <n v="3"/>
    <x v="0"/>
    <x v="0"/>
    <n v="3"/>
    <x v="0"/>
    <n v="6577"/>
    <n v="19558"/>
    <n v="0"/>
    <s v="Y"/>
    <x v="1"/>
    <n v="11"/>
    <n v="3"/>
    <n v="2"/>
    <n v="80"/>
    <n v="0"/>
    <n v="6"/>
    <n v="6"/>
    <n v="3"/>
    <n v="5"/>
    <n v="4"/>
    <n v="4"/>
    <n v="4"/>
    <x v="2"/>
    <x v="2"/>
    <x v="0"/>
    <n v="0"/>
  </r>
  <r>
    <x v="0"/>
    <x v="1"/>
    <x v="0"/>
    <n v="645"/>
    <x v="0"/>
    <n v="1"/>
    <n v="3"/>
    <s v="Marketing"/>
    <n v="1"/>
    <n v="534"/>
    <n v="2"/>
    <x v="1"/>
    <n v="49"/>
    <n v="4"/>
    <x v="2"/>
    <x v="0"/>
    <n v="1"/>
    <x v="1"/>
    <n v="8392"/>
    <n v="19566"/>
    <n v="1"/>
    <s v="Y"/>
    <x v="1"/>
    <n v="16"/>
    <n v="3"/>
    <n v="3"/>
    <n v="80"/>
    <n v="1"/>
    <n v="10"/>
    <n v="2"/>
    <n v="3"/>
    <n v="10"/>
    <n v="7"/>
    <n v="0"/>
    <n v="7"/>
    <x v="0"/>
    <x v="0"/>
    <x v="3"/>
    <n v="0"/>
  </r>
  <r>
    <x v="14"/>
    <x v="1"/>
    <x v="0"/>
    <n v="1300"/>
    <x v="1"/>
    <n v="17"/>
    <n v="2"/>
    <s v="Medical"/>
    <n v="1"/>
    <n v="536"/>
    <n v="3"/>
    <x v="1"/>
    <n v="79"/>
    <n v="3"/>
    <x v="0"/>
    <x v="2"/>
    <n v="1"/>
    <x v="2"/>
    <n v="4558"/>
    <n v="13535"/>
    <n v="1"/>
    <s v="Y"/>
    <x v="1"/>
    <n v="12"/>
    <n v="3"/>
    <n v="4"/>
    <n v="80"/>
    <n v="1"/>
    <n v="10"/>
    <n v="2"/>
    <n v="3"/>
    <n v="10"/>
    <n v="0"/>
    <n v="1"/>
    <n v="8"/>
    <x v="2"/>
    <x v="0"/>
    <x v="2"/>
    <n v="0"/>
  </r>
  <r>
    <x v="36"/>
    <x v="0"/>
    <x v="0"/>
    <n v="688"/>
    <x v="1"/>
    <n v="3"/>
    <n v="3"/>
    <s v="Medical"/>
    <n v="1"/>
    <n v="538"/>
    <n v="1"/>
    <x v="1"/>
    <n v="91"/>
    <n v="3"/>
    <x v="1"/>
    <x v="2"/>
    <n v="1"/>
    <x v="1"/>
    <n v="4031"/>
    <n v="9396"/>
    <n v="5"/>
    <s v="Y"/>
    <x v="1"/>
    <n v="13"/>
    <n v="3"/>
    <n v="3"/>
    <n v="80"/>
    <n v="1"/>
    <n v="6"/>
    <n v="5"/>
    <n v="3"/>
    <n v="2"/>
    <n v="2"/>
    <n v="0"/>
    <n v="2"/>
    <x v="2"/>
    <x v="1"/>
    <x v="2"/>
    <n v="1"/>
  </r>
  <r>
    <x v="39"/>
    <x v="1"/>
    <x v="0"/>
    <n v="319"/>
    <x v="1"/>
    <n v="3"/>
    <n v="3"/>
    <s v="Medical"/>
    <n v="1"/>
    <n v="543"/>
    <n v="4"/>
    <x v="1"/>
    <n v="39"/>
    <n v="2"/>
    <x v="2"/>
    <x v="3"/>
    <n v="3"/>
    <x v="1"/>
    <n v="7969"/>
    <n v="19609"/>
    <n v="2"/>
    <s v="Y"/>
    <x v="0"/>
    <n v="14"/>
    <n v="3"/>
    <n v="3"/>
    <n v="80"/>
    <n v="0"/>
    <n v="28"/>
    <n v="4"/>
    <n v="3"/>
    <n v="5"/>
    <n v="4"/>
    <n v="0"/>
    <n v="4"/>
    <x v="1"/>
    <x v="2"/>
    <x v="0"/>
    <n v="0"/>
  </r>
  <r>
    <x v="28"/>
    <x v="1"/>
    <x v="0"/>
    <n v="192"/>
    <x v="1"/>
    <n v="10"/>
    <n v="2"/>
    <s v="Life Sciences"/>
    <n v="1"/>
    <n v="544"/>
    <n v="1"/>
    <x v="1"/>
    <n v="69"/>
    <n v="3"/>
    <x v="1"/>
    <x v="1"/>
    <n v="4"/>
    <x v="1"/>
    <n v="2654"/>
    <n v="9655"/>
    <n v="3"/>
    <s v="Y"/>
    <x v="1"/>
    <n v="21"/>
    <n v="4"/>
    <n v="4"/>
    <n v="80"/>
    <n v="2"/>
    <n v="8"/>
    <n v="3"/>
    <n v="2"/>
    <n v="2"/>
    <n v="2"/>
    <n v="0"/>
    <n v="2"/>
    <x v="1"/>
    <x v="1"/>
    <x v="1"/>
    <n v="0"/>
  </r>
  <r>
    <x v="39"/>
    <x v="1"/>
    <x v="0"/>
    <n v="1490"/>
    <x v="1"/>
    <n v="4"/>
    <n v="2"/>
    <s v="Life Sciences"/>
    <n v="1"/>
    <n v="546"/>
    <n v="4"/>
    <x v="0"/>
    <n v="30"/>
    <n v="3"/>
    <x v="3"/>
    <x v="5"/>
    <n v="4"/>
    <x v="1"/>
    <n v="16555"/>
    <n v="10310"/>
    <n v="2"/>
    <s v="Y"/>
    <x v="1"/>
    <n v="13"/>
    <n v="3"/>
    <n v="4"/>
    <n v="80"/>
    <n v="0"/>
    <n v="31"/>
    <n v="2"/>
    <n v="1"/>
    <n v="5"/>
    <n v="2"/>
    <n v="1"/>
    <n v="4"/>
    <x v="1"/>
    <x v="2"/>
    <x v="3"/>
    <n v="0"/>
  </r>
  <r>
    <x v="19"/>
    <x v="1"/>
    <x v="1"/>
    <n v="532"/>
    <x v="1"/>
    <n v="29"/>
    <n v="2"/>
    <s v="Life Sciences"/>
    <n v="1"/>
    <n v="547"/>
    <n v="1"/>
    <x v="0"/>
    <n v="92"/>
    <n v="3"/>
    <x v="0"/>
    <x v="1"/>
    <n v="3"/>
    <x v="2"/>
    <n v="4556"/>
    <n v="12932"/>
    <n v="2"/>
    <s v="Y"/>
    <x v="1"/>
    <n v="11"/>
    <n v="3"/>
    <n v="2"/>
    <n v="80"/>
    <n v="1"/>
    <n v="19"/>
    <n v="3"/>
    <n v="3"/>
    <n v="5"/>
    <n v="4"/>
    <n v="0"/>
    <n v="2"/>
    <x v="0"/>
    <x v="2"/>
    <x v="2"/>
    <n v="0"/>
  </r>
  <r>
    <x v="7"/>
    <x v="1"/>
    <x v="0"/>
    <n v="317"/>
    <x v="1"/>
    <n v="2"/>
    <n v="3"/>
    <s v="Life Sciences"/>
    <n v="1"/>
    <n v="548"/>
    <n v="3"/>
    <x v="0"/>
    <n v="43"/>
    <n v="1"/>
    <x v="0"/>
    <x v="3"/>
    <n v="4"/>
    <x v="0"/>
    <n v="6091"/>
    <n v="24793"/>
    <n v="2"/>
    <s v="Y"/>
    <x v="1"/>
    <n v="20"/>
    <n v="4"/>
    <n v="3"/>
    <n v="80"/>
    <n v="0"/>
    <n v="11"/>
    <n v="2"/>
    <n v="3"/>
    <n v="5"/>
    <n v="4"/>
    <n v="0"/>
    <n v="2"/>
    <x v="2"/>
    <x v="2"/>
    <x v="0"/>
    <n v="0"/>
  </r>
  <r>
    <x v="42"/>
    <x v="1"/>
    <x v="0"/>
    <n v="422"/>
    <x v="1"/>
    <n v="7"/>
    <n v="3"/>
    <s v="Life Sciences"/>
    <n v="1"/>
    <n v="549"/>
    <n v="1"/>
    <x v="0"/>
    <n v="41"/>
    <n v="3"/>
    <x v="4"/>
    <x v="5"/>
    <n v="1"/>
    <x v="1"/>
    <n v="19566"/>
    <n v="3854"/>
    <n v="5"/>
    <s v="Y"/>
    <x v="1"/>
    <n v="11"/>
    <n v="3"/>
    <n v="4"/>
    <n v="80"/>
    <n v="0"/>
    <n v="33"/>
    <n v="5"/>
    <n v="1"/>
    <n v="29"/>
    <n v="8"/>
    <n v="11"/>
    <n v="10"/>
    <x v="3"/>
    <x v="3"/>
    <x v="3"/>
    <n v="0"/>
  </r>
  <r>
    <x v="21"/>
    <x v="1"/>
    <x v="0"/>
    <n v="1485"/>
    <x v="1"/>
    <n v="18"/>
    <n v="3"/>
    <s v="Medical"/>
    <n v="1"/>
    <n v="550"/>
    <n v="3"/>
    <x v="0"/>
    <n v="87"/>
    <n v="3"/>
    <x v="0"/>
    <x v="3"/>
    <n v="3"/>
    <x v="2"/>
    <n v="4810"/>
    <n v="26314"/>
    <n v="2"/>
    <s v="Y"/>
    <x v="1"/>
    <n v="14"/>
    <n v="3"/>
    <n v="3"/>
    <n v="80"/>
    <n v="1"/>
    <n v="19"/>
    <n v="5"/>
    <n v="2"/>
    <n v="10"/>
    <n v="7"/>
    <n v="0"/>
    <n v="8"/>
    <x v="1"/>
    <x v="0"/>
    <x v="2"/>
    <n v="0"/>
  </r>
  <r>
    <x v="19"/>
    <x v="1"/>
    <x v="1"/>
    <n v="1368"/>
    <x v="1"/>
    <n v="28"/>
    <n v="4"/>
    <s v="Technical Degree"/>
    <n v="1"/>
    <n v="551"/>
    <n v="4"/>
    <x v="0"/>
    <n v="88"/>
    <n v="2"/>
    <x v="0"/>
    <x v="4"/>
    <n v="4"/>
    <x v="1"/>
    <n v="4523"/>
    <n v="4386"/>
    <n v="0"/>
    <s v="Y"/>
    <x v="1"/>
    <n v="11"/>
    <n v="3"/>
    <n v="4"/>
    <n v="80"/>
    <n v="3"/>
    <n v="7"/>
    <n v="4"/>
    <n v="4"/>
    <n v="6"/>
    <n v="5"/>
    <n v="0"/>
    <n v="4"/>
    <x v="0"/>
    <x v="0"/>
    <x v="2"/>
    <n v="0"/>
  </r>
  <r>
    <x v="17"/>
    <x v="0"/>
    <x v="0"/>
    <n v="1448"/>
    <x v="0"/>
    <n v="1"/>
    <n v="1"/>
    <s v="Technical Degree"/>
    <n v="1"/>
    <n v="554"/>
    <n v="1"/>
    <x v="0"/>
    <n v="62"/>
    <n v="3"/>
    <x v="1"/>
    <x v="6"/>
    <n v="2"/>
    <x v="0"/>
    <n v="3202"/>
    <n v="21972"/>
    <n v="1"/>
    <s v="Y"/>
    <x v="0"/>
    <n v="16"/>
    <n v="3"/>
    <n v="2"/>
    <n v="80"/>
    <n v="0"/>
    <n v="6"/>
    <n v="4"/>
    <n v="3"/>
    <n v="5"/>
    <n v="3"/>
    <n v="1"/>
    <n v="4"/>
    <x v="4"/>
    <x v="2"/>
    <x v="2"/>
    <n v="1"/>
  </r>
  <r>
    <x v="13"/>
    <x v="0"/>
    <x v="1"/>
    <n v="296"/>
    <x v="0"/>
    <n v="6"/>
    <n v="2"/>
    <s v="Marketing"/>
    <n v="1"/>
    <n v="555"/>
    <n v="4"/>
    <x v="0"/>
    <n v="33"/>
    <n v="1"/>
    <x v="1"/>
    <x v="6"/>
    <n v="3"/>
    <x v="2"/>
    <n v="2351"/>
    <n v="12253"/>
    <n v="0"/>
    <s v="Y"/>
    <x v="1"/>
    <n v="16"/>
    <n v="3"/>
    <n v="4"/>
    <n v="80"/>
    <n v="1"/>
    <n v="3"/>
    <n v="3"/>
    <n v="2"/>
    <n v="2"/>
    <n v="2"/>
    <n v="1"/>
    <n v="0"/>
    <x v="2"/>
    <x v="1"/>
    <x v="1"/>
    <n v="1"/>
  </r>
  <r>
    <x v="8"/>
    <x v="1"/>
    <x v="1"/>
    <n v="1490"/>
    <x v="1"/>
    <n v="2"/>
    <n v="2"/>
    <s v="Life Sciences"/>
    <n v="1"/>
    <n v="556"/>
    <n v="4"/>
    <x v="1"/>
    <n v="42"/>
    <n v="3"/>
    <x v="1"/>
    <x v="2"/>
    <n v="4"/>
    <x v="1"/>
    <n v="1702"/>
    <n v="12106"/>
    <n v="1"/>
    <s v="Y"/>
    <x v="0"/>
    <n v="23"/>
    <n v="4"/>
    <n v="3"/>
    <n v="80"/>
    <n v="1"/>
    <n v="1"/>
    <n v="3"/>
    <n v="3"/>
    <n v="1"/>
    <n v="0"/>
    <n v="0"/>
    <n v="0"/>
    <x v="0"/>
    <x v="1"/>
    <x v="1"/>
    <n v="0"/>
  </r>
  <r>
    <x v="32"/>
    <x v="1"/>
    <x v="0"/>
    <n v="1398"/>
    <x v="0"/>
    <n v="2"/>
    <n v="4"/>
    <s v="Life Sciences"/>
    <n v="1"/>
    <n v="558"/>
    <n v="3"/>
    <x v="0"/>
    <n v="79"/>
    <n v="3"/>
    <x v="4"/>
    <x v="5"/>
    <n v="3"/>
    <x v="1"/>
    <n v="18041"/>
    <n v="13022"/>
    <n v="0"/>
    <s v="Y"/>
    <x v="1"/>
    <n v="14"/>
    <n v="3"/>
    <n v="4"/>
    <n v="80"/>
    <n v="0"/>
    <n v="21"/>
    <n v="2"/>
    <n v="3"/>
    <n v="20"/>
    <n v="15"/>
    <n v="1"/>
    <n v="12"/>
    <x v="0"/>
    <x v="3"/>
    <x v="3"/>
    <n v="0"/>
  </r>
  <r>
    <x v="25"/>
    <x v="1"/>
    <x v="0"/>
    <n v="1349"/>
    <x v="1"/>
    <n v="23"/>
    <n v="3"/>
    <s v="Life Sciences"/>
    <n v="1"/>
    <n v="560"/>
    <n v="1"/>
    <x v="0"/>
    <n v="90"/>
    <n v="3"/>
    <x v="1"/>
    <x v="1"/>
    <n v="4"/>
    <x v="2"/>
    <n v="2886"/>
    <n v="3032"/>
    <n v="1"/>
    <s v="Y"/>
    <x v="1"/>
    <n v="22"/>
    <n v="4"/>
    <n v="2"/>
    <n v="80"/>
    <n v="2"/>
    <n v="3"/>
    <n v="3"/>
    <n v="1"/>
    <n v="3"/>
    <n v="2"/>
    <n v="0"/>
    <n v="2"/>
    <x v="2"/>
    <x v="2"/>
    <x v="1"/>
    <n v="0"/>
  </r>
  <r>
    <x v="7"/>
    <x v="1"/>
    <x v="2"/>
    <n v="1400"/>
    <x v="1"/>
    <n v="3"/>
    <n v="3"/>
    <s v="Life Sciences"/>
    <n v="1"/>
    <n v="562"/>
    <n v="3"/>
    <x v="1"/>
    <n v="53"/>
    <n v="3"/>
    <x v="1"/>
    <x v="2"/>
    <n v="4"/>
    <x v="1"/>
    <n v="2097"/>
    <n v="16734"/>
    <n v="4"/>
    <s v="Y"/>
    <x v="1"/>
    <n v="15"/>
    <n v="3"/>
    <n v="3"/>
    <n v="80"/>
    <n v="1"/>
    <n v="9"/>
    <n v="3"/>
    <n v="1"/>
    <n v="5"/>
    <n v="3"/>
    <n v="1"/>
    <n v="4"/>
    <x v="2"/>
    <x v="2"/>
    <x v="1"/>
    <n v="0"/>
  </r>
  <r>
    <x v="11"/>
    <x v="1"/>
    <x v="0"/>
    <n v="986"/>
    <x v="1"/>
    <n v="3"/>
    <n v="4"/>
    <s v="Medical"/>
    <n v="1"/>
    <n v="564"/>
    <n v="2"/>
    <x v="1"/>
    <n v="93"/>
    <n v="2"/>
    <x v="2"/>
    <x v="7"/>
    <n v="3"/>
    <x v="1"/>
    <n v="11935"/>
    <n v="21526"/>
    <n v="1"/>
    <s v="Y"/>
    <x v="1"/>
    <n v="18"/>
    <n v="3"/>
    <n v="3"/>
    <n v="80"/>
    <n v="0"/>
    <n v="10"/>
    <n v="2"/>
    <n v="3"/>
    <n v="10"/>
    <n v="2"/>
    <n v="0"/>
    <n v="7"/>
    <x v="2"/>
    <x v="0"/>
    <x v="3"/>
    <n v="0"/>
  </r>
  <r>
    <x v="11"/>
    <x v="0"/>
    <x v="0"/>
    <n v="408"/>
    <x v="1"/>
    <n v="25"/>
    <n v="5"/>
    <s v="Technical Degree"/>
    <n v="1"/>
    <n v="565"/>
    <n v="3"/>
    <x v="0"/>
    <n v="71"/>
    <n v="2"/>
    <x v="1"/>
    <x v="1"/>
    <n v="2"/>
    <x v="1"/>
    <n v="2546"/>
    <n v="18300"/>
    <n v="5"/>
    <s v="Y"/>
    <x v="1"/>
    <n v="16"/>
    <n v="3"/>
    <n v="2"/>
    <n v="80"/>
    <n v="0"/>
    <n v="6"/>
    <n v="2"/>
    <n v="4"/>
    <n v="2"/>
    <n v="2"/>
    <n v="1"/>
    <n v="1"/>
    <x v="2"/>
    <x v="1"/>
    <x v="1"/>
    <n v="1"/>
  </r>
  <r>
    <x v="37"/>
    <x v="0"/>
    <x v="0"/>
    <n v="489"/>
    <x v="2"/>
    <n v="2"/>
    <n v="2"/>
    <s v="Technical Degree"/>
    <n v="1"/>
    <n v="566"/>
    <n v="1"/>
    <x v="1"/>
    <n v="52"/>
    <n v="2"/>
    <x v="1"/>
    <x v="8"/>
    <n v="4"/>
    <x v="0"/>
    <n v="2564"/>
    <n v="18437"/>
    <n v="1"/>
    <s v="Y"/>
    <x v="1"/>
    <n v="12"/>
    <n v="3"/>
    <n v="3"/>
    <n v="80"/>
    <n v="0"/>
    <n v="1"/>
    <n v="3"/>
    <n v="4"/>
    <n v="1"/>
    <n v="0"/>
    <n v="0"/>
    <n v="0"/>
    <x v="4"/>
    <x v="1"/>
    <x v="1"/>
    <n v="1"/>
  </r>
  <r>
    <x v="7"/>
    <x v="1"/>
    <x v="2"/>
    <n v="1398"/>
    <x v="0"/>
    <n v="22"/>
    <n v="4"/>
    <s v="Other"/>
    <n v="1"/>
    <n v="567"/>
    <n v="3"/>
    <x v="0"/>
    <n v="69"/>
    <n v="3"/>
    <x v="2"/>
    <x v="0"/>
    <n v="1"/>
    <x v="1"/>
    <n v="8412"/>
    <n v="2890"/>
    <n v="0"/>
    <s v="Y"/>
    <x v="1"/>
    <n v="11"/>
    <n v="3"/>
    <n v="3"/>
    <n v="80"/>
    <n v="0"/>
    <n v="10"/>
    <n v="3"/>
    <n v="3"/>
    <n v="9"/>
    <n v="8"/>
    <n v="7"/>
    <n v="8"/>
    <x v="2"/>
    <x v="0"/>
    <x v="3"/>
    <n v="0"/>
  </r>
  <r>
    <x v="38"/>
    <x v="1"/>
    <x v="0"/>
    <n v="210"/>
    <x v="0"/>
    <n v="29"/>
    <n v="3"/>
    <s v="Marketing"/>
    <n v="1"/>
    <n v="568"/>
    <n v="1"/>
    <x v="1"/>
    <n v="56"/>
    <n v="2"/>
    <x v="3"/>
    <x v="5"/>
    <n v="4"/>
    <x v="2"/>
    <n v="14118"/>
    <n v="22102"/>
    <n v="3"/>
    <s v="Y"/>
    <x v="1"/>
    <n v="12"/>
    <n v="3"/>
    <n v="3"/>
    <n v="80"/>
    <n v="1"/>
    <n v="32"/>
    <n v="3"/>
    <n v="2"/>
    <n v="1"/>
    <n v="0"/>
    <n v="0"/>
    <n v="0"/>
    <x v="3"/>
    <x v="1"/>
    <x v="3"/>
    <n v="0"/>
  </r>
  <r>
    <x v="24"/>
    <x v="1"/>
    <x v="0"/>
    <n v="1099"/>
    <x v="1"/>
    <n v="29"/>
    <n v="4"/>
    <s v="Life Sciences"/>
    <n v="1"/>
    <n v="569"/>
    <n v="2"/>
    <x v="1"/>
    <n v="88"/>
    <n v="2"/>
    <x v="3"/>
    <x v="5"/>
    <n v="3"/>
    <x v="1"/>
    <n v="17046"/>
    <n v="9314"/>
    <n v="0"/>
    <s v="Y"/>
    <x v="1"/>
    <n v="15"/>
    <n v="3"/>
    <n v="2"/>
    <n v="80"/>
    <n v="1"/>
    <n v="28"/>
    <n v="2"/>
    <n v="3"/>
    <n v="27"/>
    <n v="10"/>
    <n v="15"/>
    <n v="7"/>
    <x v="1"/>
    <x v="3"/>
    <x v="3"/>
    <n v="0"/>
  </r>
  <r>
    <x v="7"/>
    <x v="1"/>
    <x v="2"/>
    <n v="1116"/>
    <x v="1"/>
    <n v="2"/>
    <n v="3"/>
    <s v="Medical"/>
    <n v="1"/>
    <n v="571"/>
    <n v="3"/>
    <x v="0"/>
    <n v="49"/>
    <n v="3"/>
    <x v="1"/>
    <x v="2"/>
    <n v="4"/>
    <x v="0"/>
    <n v="2564"/>
    <n v="7181"/>
    <n v="0"/>
    <s v="Y"/>
    <x v="1"/>
    <n v="14"/>
    <n v="3"/>
    <n v="3"/>
    <n v="80"/>
    <n v="0"/>
    <n v="12"/>
    <n v="2"/>
    <n v="2"/>
    <n v="11"/>
    <n v="7"/>
    <n v="6"/>
    <n v="7"/>
    <x v="2"/>
    <x v="3"/>
    <x v="1"/>
    <n v="0"/>
  </r>
  <r>
    <x v="42"/>
    <x v="1"/>
    <x v="1"/>
    <n v="1499"/>
    <x v="0"/>
    <n v="28"/>
    <n v="3"/>
    <s v="Marketing"/>
    <n v="1"/>
    <n v="573"/>
    <n v="3"/>
    <x v="0"/>
    <n v="80"/>
    <n v="2"/>
    <x v="2"/>
    <x v="0"/>
    <n v="1"/>
    <x v="1"/>
    <n v="10266"/>
    <n v="2845"/>
    <n v="4"/>
    <s v="Y"/>
    <x v="1"/>
    <n v="19"/>
    <n v="3"/>
    <n v="4"/>
    <n v="80"/>
    <n v="0"/>
    <n v="22"/>
    <n v="5"/>
    <n v="4"/>
    <n v="18"/>
    <n v="13"/>
    <n v="13"/>
    <n v="11"/>
    <x v="3"/>
    <x v="3"/>
    <x v="3"/>
    <n v="0"/>
  </r>
  <r>
    <x v="40"/>
    <x v="1"/>
    <x v="0"/>
    <n v="983"/>
    <x v="1"/>
    <n v="2"/>
    <n v="2"/>
    <s v="Medical"/>
    <n v="1"/>
    <n v="574"/>
    <n v="1"/>
    <x v="0"/>
    <n v="65"/>
    <n v="3"/>
    <x v="0"/>
    <x v="3"/>
    <n v="4"/>
    <x v="2"/>
    <n v="5070"/>
    <n v="7389"/>
    <n v="5"/>
    <s v="Y"/>
    <x v="1"/>
    <n v="13"/>
    <n v="3"/>
    <n v="3"/>
    <n v="80"/>
    <n v="3"/>
    <n v="20"/>
    <n v="2"/>
    <n v="3"/>
    <n v="5"/>
    <n v="0"/>
    <n v="0"/>
    <n v="4"/>
    <x v="1"/>
    <x v="2"/>
    <x v="0"/>
    <n v="0"/>
  </r>
  <r>
    <x v="21"/>
    <x v="1"/>
    <x v="0"/>
    <n v="1009"/>
    <x v="1"/>
    <n v="2"/>
    <n v="3"/>
    <s v="Life Sciences"/>
    <n v="1"/>
    <n v="575"/>
    <n v="1"/>
    <x v="1"/>
    <n v="51"/>
    <n v="3"/>
    <x v="3"/>
    <x v="7"/>
    <n v="3"/>
    <x v="1"/>
    <n v="17861"/>
    <n v="2288"/>
    <n v="6"/>
    <s v="Y"/>
    <x v="1"/>
    <n v="13"/>
    <n v="3"/>
    <n v="3"/>
    <n v="80"/>
    <n v="0"/>
    <n v="26"/>
    <n v="2"/>
    <n v="1"/>
    <n v="3"/>
    <n v="2"/>
    <n v="0"/>
    <n v="1"/>
    <x v="1"/>
    <x v="2"/>
    <x v="3"/>
    <n v="0"/>
  </r>
  <r>
    <x v="10"/>
    <x v="1"/>
    <x v="0"/>
    <n v="144"/>
    <x v="1"/>
    <n v="22"/>
    <n v="3"/>
    <s v="Life Sciences"/>
    <n v="1"/>
    <n v="577"/>
    <n v="4"/>
    <x v="1"/>
    <n v="46"/>
    <n v="1"/>
    <x v="1"/>
    <x v="2"/>
    <n v="3"/>
    <x v="0"/>
    <n v="4230"/>
    <n v="19225"/>
    <n v="0"/>
    <s v="Y"/>
    <x v="1"/>
    <n v="15"/>
    <n v="3"/>
    <n v="3"/>
    <n v="80"/>
    <n v="0"/>
    <n v="6"/>
    <n v="2"/>
    <n v="3"/>
    <n v="5"/>
    <n v="4"/>
    <n v="4"/>
    <n v="3"/>
    <x v="0"/>
    <x v="2"/>
    <x v="2"/>
    <n v="0"/>
  </r>
  <r>
    <x v="33"/>
    <x v="1"/>
    <x v="0"/>
    <n v="548"/>
    <x v="1"/>
    <n v="8"/>
    <n v="4"/>
    <s v="Life Sciences"/>
    <n v="1"/>
    <n v="578"/>
    <n v="3"/>
    <x v="0"/>
    <n v="42"/>
    <n v="3"/>
    <x v="0"/>
    <x v="2"/>
    <n v="3"/>
    <x v="0"/>
    <n v="3780"/>
    <n v="23428"/>
    <n v="7"/>
    <s v="Y"/>
    <x v="1"/>
    <n v="11"/>
    <n v="3"/>
    <n v="3"/>
    <n v="80"/>
    <n v="0"/>
    <n v="19"/>
    <n v="3"/>
    <n v="3"/>
    <n v="1"/>
    <n v="0"/>
    <n v="0"/>
    <n v="0"/>
    <x v="1"/>
    <x v="1"/>
    <x v="2"/>
    <n v="0"/>
  </r>
  <r>
    <x v="13"/>
    <x v="1"/>
    <x v="0"/>
    <n v="1303"/>
    <x v="1"/>
    <n v="2"/>
    <n v="4"/>
    <s v="Life Sciences"/>
    <n v="1"/>
    <n v="579"/>
    <n v="4"/>
    <x v="1"/>
    <n v="62"/>
    <n v="2"/>
    <x v="1"/>
    <x v="1"/>
    <n v="3"/>
    <x v="2"/>
    <n v="2768"/>
    <n v="8416"/>
    <n v="3"/>
    <s v="Y"/>
    <x v="1"/>
    <n v="12"/>
    <n v="3"/>
    <n v="3"/>
    <n v="80"/>
    <n v="1"/>
    <n v="14"/>
    <n v="3"/>
    <n v="3"/>
    <n v="7"/>
    <n v="3"/>
    <n v="5"/>
    <n v="7"/>
    <x v="2"/>
    <x v="0"/>
    <x v="1"/>
    <n v="0"/>
  </r>
  <r>
    <x v="21"/>
    <x v="1"/>
    <x v="0"/>
    <n v="1125"/>
    <x v="0"/>
    <n v="10"/>
    <n v="3"/>
    <s v="Marketing"/>
    <n v="1"/>
    <n v="580"/>
    <n v="3"/>
    <x v="0"/>
    <n v="94"/>
    <n v="2"/>
    <x v="2"/>
    <x v="0"/>
    <n v="4"/>
    <x v="1"/>
    <n v="9071"/>
    <n v="11563"/>
    <n v="2"/>
    <s v="Y"/>
    <x v="0"/>
    <n v="19"/>
    <n v="3"/>
    <n v="3"/>
    <n v="80"/>
    <n v="1"/>
    <n v="15"/>
    <n v="3"/>
    <n v="3"/>
    <n v="3"/>
    <n v="2"/>
    <n v="1"/>
    <n v="2"/>
    <x v="1"/>
    <x v="2"/>
    <x v="3"/>
    <n v="0"/>
  </r>
  <r>
    <x v="12"/>
    <x v="1"/>
    <x v="0"/>
    <n v="1274"/>
    <x v="1"/>
    <n v="9"/>
    <n v="1"/>
    <s v="Life Sciences"/>
    <n v="1"/>
    <n v="581"/>
    <n v="3"/>
    <x v="1"/>
    <n v="33"/>
    <n v="3"/>
    <x v="2"/>
    <x v="3"/>
    <n v="2"/>
    <x v="2"/>
    <n v="10648"/>
    <n v="14394"/>
    <n v="1"/>
    <s v="Y"/>
    <x v="1"/>
    <n v="25"/>
    <n v="4"/>
    <n v="4"/>
    <n v="80"/>
    <n v="1"/>
    <n v="13"/>
    <n v="6"/>
    <n v="4"/>
    <n v="13"/>
    <n v="8"/>
    <n v="0"/>
    <n v="8"/>
    <x v="2"/>
    <x v="3"/>
    <x v="3"/>
    <n v="0"/>
  </r>
  <r>
    <x v="3"/>
    <x v="0"/>
    <x v="0"/>
    <n v="1277"/>
    <x v="1"/>
    <n v="15"/>
    <n v="1"/>
    <s v="Medical"/>
    <n v="1"/>
    <n v="582"/>
    <n v="2"/>
    <x v="1"/>
    <n v="56"/>
    <n v="3"/>
    <x v="2"/>
    <x v="5"/>
    <n v="3"/>
    <x v="1"/>
    <n v="13610"/>
    <n v="24619"/>
    <n v="7"/>
    <s v="Y"/>
    <x v="0"/>
    <n v="12"/>
    <n v="3"/>
    <n v="4"/>
    <n v="80"/>
    <n v="0"/>
    <n v="15"/>
    <n v="2"/>
    <n v="4"/>
    <n v="7"/>
    <n v="6"/>
    <n v="7"/>
    <n v="7"/>
    <x v="2"/>
    <x v="0"/>
    <x v="3"/>
    <n v="1"/>
  </r>
  <r>
    <x v="3"/>
    <x v="0"/>
    <x v="0"/>
    <n v="587"/>
    <x v="1"/>
    <n v="10"/>
    <n v="1"/>
    <s v="Medical"/>
    <n v="1"/>
    <n v="584"/>
    <n v="1"/>
    <x v="1"/>
    <n v="38"/>
    <n v="1"/>
    <x v="1"/>
    <x v="2"/>
    <n v="4"/>
    <x v="2"/>
    <n v="3408"/>
    <n v="6705"/>
    <n v="7"/>
    <s v="Y"/>
    <x v="1"/>
    <n v="13"/>
    <n v="3"/>
    <n v="1"/>
    <n v="80"/>
    <n v="3"/>
    <n v="8"/>
    <n v="2"/>
    <n v="3"/>
    <n v="4"/>
    <n v="3"/>
    <n v="1"/>
    <n v="3"/>
    <x v="2"/>
    <x v="2"/>
    <x v="2"/>
    <n v="1"/>
  </r>
  <r>
    <x v="7"/>
    <x v="1"/>
    <x v="0"/>
    <n v="413"/>
    <x v="0"/>
    <n v="7"/>
    <n v="1"/>
    <s v="Marketing"/>
    <n v="1"/>
    <n v="585"/>
    <n v="4"/>
    <x v="1"/>
    <n v="57"/>
    <n v="3"/>
    <x v="1"/>
    <x v="6"/>
    <n v="2"/>
    <x v="0"/>
    <n v="2983"/>
    <n v="18398"/>
    <n v="0"/>
    <s v="Y"/>
    <x v="1"/>
    <n v="14"/>
    <n v="3"/>
    <n v="1"/>
    <n v="80"/>
    <n v="0"/>
    <n v="4"/>
    <n v="3"/>
    <n v="3"/>
    <n v="3"/>
    <n v="2"/>
    <n v="1"/>
    <n v="2"/>
    <x v="2"/>
    <x v="2"/>
    <x v="1"/>
    <n v="0"/>
  </r>
  <r>
    <x v="10"/>
    <x v="1"/>
    <x v="0"/>
    <n v="1276"/>
    <x v="1"/>
    <n v="16"/>
    <n v="3"/>
    <s v="Life Sciences"/>
    <n v="1"/>
    <n v="586"/>
    <n v="4"/>
    <x v="1"/>
    <n v="72"/>
    <n v="3"/>
    <x v="2"/>
    <x v="4"/>
    <n v="3"/>
    <x v="1"/>
    <n v="7632"/>
    <n v="14295"/>
    <n v="4"/>
    <s v="Y"/>
    <x v="0"/>
    <n v="12"/>
    <n v="3"/>
    <n v="3"/>
    <n v="80"/>
    <n v="0"/>
    <n v="10"/>
    <n v="2"/>
    <n v="3"/>
    <n v="8"/>
    <n v="7"/>
    <n v="0"/>
    <n v="0"/>
    <x v="0"/>
    <x v="0"/>
    <x v="0"/>
    <n v="0"/>
  </r>
  <r>
    <x v="12"/>
    <x v="0"/>
    <x v="1"/>
    <n v="534"/>
    <x v="1"/>
    <n v="20"/>
    <n v="3"/>
    <s v="Life Sciences"/>
    <n v="1"/>
    <n v="587"/>
    <n v="1"/>
    <x v="1"/>
    <n v="66"/>
    <n v="3"/>
    <x v="2"/>
    <x v="4"/>
    <n v="3"/>
    <x v="1"/>
    <n v="9824"/>
    <n v="22908"/>
    <n v="3"/>
    <s v="Y"/>
    <x v="1"/>
    <n v="12"/>
    <n v="3"/>
    <n v="1"/>
    <n v="80"/>
    <n v="0"/>
    <n v="12"/>
    <n v="2"/>
    <n v="3"/>
    <n v="1"/>
    <n v="0"/>
    <n v="0"/>
    <n v="0"/>
    <x v="2"/>
    <x v="1"/>
    <x v="3"/>
    <n v="1"/>
  </r>
  <r>
    <x v="13"/>
    <x v="0"/>
    <x v="1"/>
    <n v="988"/>
    <x v="2"/>
    <n v="23"/>
    <n v="3"/>
    <s v="Human Resources"/>
    <n v="1"/>
    <n v="590"/>
    <n v="2"/>
    <x v="0"/>
    <n v="43"/>
    <n v="3"/>
    <x v="2"/>
    <x v="8"/>
    <n v="1"/>
    <x v="2"/>
    <n v="9950"/>
    <n v="11533"/>
    <n v="9"/>
    <s v="Y"/>
    <x v="0"/>
    <n v="15"/>
    <n v="3"/>
    <n v="3"/>
    <n v="80"/>
    <n v="3"/>
    <n v="11"/>
    <n v="2"/>
    <n v="3"/>
    <n v="3"/>
    <n v="2"/>
    <n v="0"/>
    <n v="2"/>
    <x v="2"/>
    <x v="2"/>
    <x v="3"/>
    <n v="1"/>
  </r>
  <r>
    <x v="19"/>
    <x v="1"/>
    <x v="1"/>
    <n v="1474"/>
    <x v="1"/>
    <n v="5"/>
    <n v="2"/>
    <s v="Other"/>
    <n v="1"/>
    <n v="591"/>
    <n v="2"/>
    <x v="1"/>
    <n v="97"/>
    <n v="3"/>
    <x v="1"/>
    <x v="2"/>
    <n v="3"/>
    <x v="1"/>
    <n v="2093"/>
    <n v="9260"/>
    <n v="4"/>
    <s v="Y"/>
    <x v="1"/>
    <n v="17"/>
    <n v="3"/>
    <n v="4"/>
    <n v="80"/>
    <n v="1"/>
    <n v="8"/>
    <n v="4"/>
    <n v="3"/>
    <n v="2"/>
    <n v="2"/>
    <n v="2"/>
    <n v="0"/>
    <x v="0"/>
    <x v="1"/>
    <x v="1"/>
    <n v="0"/>
  </r>
  <r>
    <x v="9"/>
    <x v="1"/>
    <x v="2"/>
    <n v="635"/>
    <x v="0"/>
    <n v="10"/>
    <n v="4"/>
    <s v="Medical"/>
    <n v="1"/>
    <n v="592"/>
    <n v="2"/>
    <x v="1"/>
    <n v="32"/>
    <n v="3"/>
    <x v="2"/>
    <x v="0"/>
    <n v="4"/>
    <x v="0"/>
    <n v="9980"/>
    <n v="15318"/>
    <n v="1"/>
    <s v="Y"/>
    <x v="1"/>
    <n v="14"/>
    <n v="3"/>
    <n v="4"/>
    <n v="80"/>
    <n v="0"/>
    <n v="10"/>
    <n v="3"/>
    <n v="2"/>
    <n v="10"/>
    <n v="3"/>
    <n v="9"/>
    <n v="7"/>
    <x v="0"/>
    <x v="0"/>
    <x v="3"/>
    <n v="0"/>
  </r>
  <r>
    <x v="15"/>
    <x v="0"/>
    <x v="1"/>
    <n v="1368"/>
    <x v="1"/>
    <n v="4"/>
    <n v="1"/>
    <s v="Technical Degree"/>
    <n v="1"/>
    <n v="593"/>
    <n v="3"/>
    <x v="1"/>
    <n v="99"/>
    <n v="2"/>
    <x v="1"/>
    <x v="2"/>
    <n v="3"/>
    <x v="0"/>
    <n v="3894"/>
    <n v="9129"/>
    <n v="5"/>
    <s v="Y"/>
    <x v="1"/>
    <n v="16"/>
    <n v="3"/>
    <n v="3"/>
    <n v="80"/>
    <n v="0"/>
    <n v="4"/>
    <n v="3"/>
    <n v="3"/>
    <n v="2"/>
    <n v="2"/>
    <n v="1"/>
    <n v="2"/>
    <x v="4"/>
    <x v="1"/>
    <x v="2"/>
    <n v="1"/>
  </r>
  <r>
    <x v="26"/>
    <x v="1"/>
    <x v="0"/>
    <n v="163"/>
    <x v="0"/>
    <n v="2"/>
    <n v="5"/>
    <s v="Marketing"/>
    <n v="1"/>
    <n v="595"/>
    <n v="2"/>
    <x v="0"/>
    <n v="37"/>
    <n v="3"/>
    <x v="0"/>
    <x v="0"/>
    <n v="4"/>
    <x v="1"/>
    <n v="4051"/>
    <n v="19658"/>
    <n v="2"/>
    <s v="Y"/>
    <x v="1"/>
    <n v="14"/>
    <n v="3"/>
    <n v="1"/>
    <n v="80"/>
    <n v="1"/>
    <n v="14"/>
    <n v="2"/>
    <n v="3"/>
    <n v="9"/>
    <n v="7"/>
    <n v="6"/>
    <n v="7"/>
    <x v="1"/>
    <x v="0"/>
    <x v="2"/>
    <n v="0"/>
  </r>
  <r>
    <x v="27"/>
    <x v="1"/>
    <x v="0"/>
    <n v="1117"/>
    <x v="0"/>
    <n v="18"/>
    <n v="5"/>
    <s v="Life Sciences"/>
    <n v="1"/>
    <n v="597"/>
    <n v="1"/>
    <x v="0"/>
    <n v="83"/>
    <n v="3"/>
    <x v="3"/>
    <x v="5"/>
    <n v="2"/>
    <x v="0"/>
    <n v="16835"/>
    <n v="9873"/>
    <n v="3"/>
    <s v="Y"/>
    <x v="1"/>
    <n v="23"/>
    <n v="4"/>
    <n v="4"/>
    <n v="80"/>
    <n v="0"/>
    <n v="37"/>
    <n v="2"/>
    <n v="3"/>
    <n v="10"/>
    <n v="9"/>
    <n v="7"/>
    <n v="7"/>
    <x v="3"/>
    <x v="0"/>
    <x v="3"/>
    <n v="0"/>
  </r>
  <r>
    <x v="0"/>
    <x v="1"/>
    <x v="2"/>
    <n v="267"/>
    <x v="0"/>
    <n v="10"/>
    <n v="2"/>
    <s v="Life Sciences"/>
    <n v="1"/>
    <n v="599"/>
    <n v="4"/>
    <x v="1"/>
    <n v="56"/>
    <n v="3"/>
    <x v="0"/>
    <x v="0"/>
    <n v="4"/>
    <x v="0"/>
    <n v="6230"/>
    <n v="13430"/>
    <n v="7"/>
    <s v="Y"/>
    <x v="1"/>
    <n v="14"/>
    <n v="3"/>
    <n v="4"/>
    <n v="80"/>
    <n v="0"/>
    <n v="16"/>
    <n v="3"/>
    <n v="3"/>
    <n v="14"/>
    <n v="3"/>
    <n v="1"/>
    <n v="10"/>
    <x v="0"/>
    <x v="3"/>
    <x v="0"/>
    <n v="0"/>
  </r>
  <r>
    <x v="10"/>
    <x v="1"/>
    <x v="0"/>
    <n v="619"/>
    <x v="0"/>
    <n v="1"/>
    <n v="3"/>
    <s v="Marketing"/>
    <n v="1"/>
    <n v="600"/>
    <n v="2"/>
    <x v="1"/>
    <n v="85"/>
    <n v="3"/>
    <x v="0"/>
    <x v="0"/>
    <n v="3"/>
    <x v="1"/>
    <n v="4717"/>
    <n v="18659"/>
    <n v="9"/>
    <s v="Y"/>
    <x v="1"/>
    <n v="11"/>
    <n v="3"/>
    <n v="3"/>
    <n v="80"/>
    <n v="0"/>
    <n v="15"/>
    <n v="2"/>
    <n v="3"/>
    <n v="11"/>
    <n v="9"/>
    <n v="6"/>
    <n v="9"/>
    <x v="0"/>
    <x v="3"/>
    <x v="2"/>
    <n v="0"/>
  </r>
  <r>
    <x v="32"/>
    <x v="1"/>
    <x v="0"/>
    <n v="302"/>
    <x v="1"/>
    <n v="6"/>
    <n v="3"/>
    <s v="Life Sciences"/>
    <n v="1"/>
    <n v="601"/>
    <n v="2"/>
    <x v="0"/>
    <n v="75"/>
    <n v="3"/>
    <x v="3"/>
    <x v="3"/>
    <n v="3"/>
    <x v="0"/>
    <n v="13237"/>
    <n v="20364"/>
    <n v="7"/>
    <s v="Y"/>
    <x v="1"/>
    <n v="15"/>
    <n v="3"/>
    <n v="3"/>
    <n v="80"/>
    <n v="0"/>
    <n v="22"/>
    <n v="3"/>
    <n v="3"/>
    <n v="20"/>
    <n v="6"/>
    <n v="5"/>
    <n v="13"/>
    <x v="0"/>
    <x v="3"/>
    <x v="3"/>
    <n v="0"/>
  </r>
  <r>
    <x v="22"/>
    <x v="1"/>
    <x v="1"/>
    <n v="443"/>
    <x v="1"/>
    <n v="8"/>
    <n v="1"/>
    <s v="Life Sciences"/>
    <n v="1"/>
    <n v="602"/>
    <n v="3"/>
    <x v="0"/>
    <n v="48"/>
    <n v="3"/>
    <x v="1"/>
    <x v="2"/>
    <n v="3"/>
    <x v="1"/>
    <n v="3755"/>
    <n v="17872"/>
    <n v="1"/>
    <s v="Y"/>
    <x v="1"/>
    <n v="11"/>
    <n v="3"/>
    <n v="1"/>
    <n v="80"/>
    <n v="1"/>
    <n v="8"/>
    <n v="3"/>
    <n v="3"/>
    <n v="8"/>
    <n v="3"/>
    <n v="0"/>
    <n v="7"/>
    <x v="0"/>
    <x v="0"/>
    <x v="2"/>
    <n v="0"/>
  </r>
  <r>
    <x v="12"/>
    <x v="1"/>
    <x v="0"/>
    <n v="828"/>
    <x v="0"/>
    <n v="2"/>
    <n v="1"/>
    <s v="Life Sciences"/>
    <n v="1"/>
    <n v="604"/>
    <n v="2"/>
    <x v="1"/>
    <n v="77"/>
    <n v="3"/>
    <x v="0"/>
    <x v="0"/>
    <n v="4"/>
    <x v="0"/>
    <n v="6582"/>
    <n v="8346"/>
    <n v="4"/>
    <s v="Y"/>
    <x v="0"/>
    <n v="13"/>
    <n v="3"/>
    <n v="3"/>
    <n v="80"/>
    <n v="0"/>
    <n v="10"/>
    <n v="2"/>
    <n v="4"/>
    <n v="6"/>
    <n v="5"/>
    <n v="0"/>
    <n v="5"/>
    <x v="2"/>
    <x v="0"/>
    <x v="0"/>
    <n v="0"/>
  </r>
  <r>
    <x v="19"/>
    <x v="1"/>
    <x v="0"/>
    <n v="319"/>
    <x v="1"/>
    <n v="24"/>
    <n v="3"/>
    <s v="Medical"/>
    <n v="1"/>
    <n v="605"/>
    <n v="4"/>
    <x v="1"/>
    <n v="56"/>
    <n v="3"/>
    <x v="2"/>
    <x v="3"/>
    <n v="1"/>
    <x v="1"/>
    <n v="7406"/>
    <n v="6950"/>
    <n v="1"/>
    <s v="Y"/>
    <x v="0"/>
    <n v="21"/>
    <n v="4"/>
    <n v="4"/>
    <n v="80"/>
    <n v="1"/>
    <n v="10"/>
    <n v="5"/>
    <n v="2"/>
    <n v="10"/>
    <n v="9"/>
    <n v="5"/>
    <n v="8"/>
    <x v="0"/>
    <x v="0"/>
    <x v="0"/>
    <n v="0"/>
  </r>
  <r>
    <x v="28"/>
    <x v="1"/>
    <x v="0"/>
    <n v="561"/>
    <x v="0"/>
    <n v="2"/>
    <n v="3"/>
    <s v="Other"/>
    <n v="1"/>
    <n v="606"/>
    <n v="4"/>
    <x v="1"/>
    <n v="61"/>
    <n v="3"/>
    <x v="0"/>
    <x v="0"/>
    <n v="2"/>
    <x v="1"/>
    <n v="4805"/>
    <n v="16177"/>
    <n v="0"/>
    <s v="Y"/>
    <x v="1"/>
    <n v="19"/>
    <n v="3"/>
    <n v="2"/>
    <n v="80"/>
    <n v="1"/>
    <n v="9"/>
    <n v="3"/>
    <n v="4"/>
    <n v="8"/>
    <n v="7"/>
    <n v="3"/>
    <n v="7"/>
    <x v="1"/>
    <x v="0"/>
    <x v="2"/>
    <n v="0"/>
  </r>
  <r>
    <x v="25"/>
    <x v="0"/>
    <x v="1"/>
    <n v="426"/>
    <x v="2"/>
    <n v="17"/>
    <n v="4"/>
    <s v="Life Sciences"/>
    <n v="1"/>
    <n v="608"/>
    <n v="2"/>
    <x v="0"/>
    <n v="58"/>
    <n v="3"/>
    <x v="1"/>
    <x v="8"/>
    <n v="3"/>
    <x v="2"/>
    <n v="2741"/>
    <n v="22808"/>
    <n v="0"/>
    <s v="Y"/>
    <x v="0"/>
    <n v="11"/>
    <n v="3"/>
    <n v="2"/>
    <n v="80"/>
    <n v="1"/>
    <n v="8"/>
    <n v="2"/>
    <n v="2"/>
    <n v="7"/>
    <n v="7"/>
    <n v="1"/>
    <n v="0"/>
    <x v="2"/>
    <x v="0"/>
    <x v="1"/>
    <n v="1"/>
  </r>
  <r>
    <x v="11"/>
    <x v="1"/>
    <x v="0"/>
    <n v="232"/>
    <x v="1"/>
    <n v="19"/>
    <n v="3"/>
    <s v="Technical Degree"/>
    <n v="1"/>
    <n v="611"/>
    <n v="4"/>
    <x v="1"/>
    <n v="34"/>
    <n v="3"/>
    <x v="0"/>
    <x v="3"/>
    <n v="4"/>
    <x v="2"/>
    <n v="4262"/>
    <n v="22645"/>
    <n v="4"/>
    <s v="Y"/>
    <x v="1"/>
    <n v="12"/>
    <n v="3"/>
    <n v="2"/>
    <n v="80"/>
    <n v="2"/>
    <n v="8"/>
    <n v="2"/>
    <n v="4"/>
    <n v="3"/>
    <n v="2"/>
    <n v="1"/>
    <n v="2"/>
    <x v="2"/>
    <x v="2"/>
    <x v="2"/>
    <n v="0"/>
  </r>
  <r>
    <x v="3"/>
    <x v="1"/>
    <x v="0"/>
    <n v="922"/>
    <x v="1"/>
    <n v="1"/>
    <n v="5"/>
    <s v="Medical"/>
    <n v="1"/>
    <n v="612"/>
    <n v="1"/>
    <x v="0"/>
    <n v="95"/>
    <n v="4"/>
    <x v="3"/>
    <x v="7"/>
    <n v="3"/>
    <x v="2"/>
    <n v="16184"/>
    <n v="22578"/>
    <n v="4"/>
    <s v="Y"/>
    <x v="1"/>
    <n v="19"/>
    <n v="3"/>
    <n v="3"/>
    <n v="80"/>
    <n v="1"/>
    <n v="10"/>
    <n v="2"/>
    <n v="3"/>
    <n v="6"/>
    <n v="1"/>
    <n v="0"/>
    <n v="5"/>
    <x v="2"/>
    <x v="0"/>
    <x v="3"/>
    <n v="0"/>
  </r>
  <r>
    <x v="12"/>
    <x v="1"/>
    <x v="0"/>
    <n v="688"/>
    <x v="0"/>
    <n v="7"/>
    <n v="3"/>
    <s v="Life Sciences"/>
    <n v="1"/>
    <n v="613"/>
    <n v="3"/>
    <x v="1"/>
    <n v="44"/>
    <n v="2"/>
    <x v="2"/>
    <x v="5"/>
    <n v="4"/>
    <x v="2"/>
    <n v="11557"/>
    <n v="25291"/>
    <n v="9"/>
    <s v="Y"/>
    <x v="1"/>
    <n v="21"/>
    <n v="4"/>
    <n v="3"/>
    <n v="80"/>
    <n v="1"/>
    <n v="10"/>
    <n v="3"/>
    <n v="2"/>
    <n v="5"/>
    <n v="4"/>
    <n v="0"/>
    <n v="1"/>
    <x v="2"/>
    <x v="2"/>
    <x v="3"/>
    <n v="0"/>
  </r>
  <r>
    <x v="41"/>
    <x v="0"/>
    <x v="1"/>
    <n v="1306"/>
    <x v="0"/>
    <n v="5"/>
    <n v="3"/>
    <s v="Marketing"/>
    <n v="1"/>
    <n v="614"/>
    <n v="2"/>
    <x v="1"/>
    <n v="69"/>
    <n v="3"/>
    <x v="1"/>
    <x v="6"/>
    <n v="2"/>
    <x v="0"/>
    <n v="1878"/>
    <n v="8059"/>
    <n v="1"/>
    <s v="Y"/>
    <x v="0"/>
    <n v="14"/>
    <n v="3"/>
    <n v="4"/>
    <n v="80"/>
    <n v="0"/>
    <n v="0"/>
    <n v="3"/>
    <n v="3"/>
    <n v="0"/>
    <n v="0"/>
    <n v="0"/>
    <n v="0"/>
    <x v="4"/>
    <x v="1"/>
    <x v="1"/>
    <n v="1"/>
  </r>
  <r>
    <x v="32"/>
    <x v="1"/>
    <x v="2"/>
    <n v="1094"/>
    <x v="0"/>
    <n v="28"/>
    <n v="3"/>
    <s v="Other"/>
    <n v="1"/>
    <n v="615"/>
    <n v="3"/>
    <x v="1"/>
    <n v="58"/>
    <n v="1"/>
    <x v="2"/>
    <x v="0"/>
    <n v="1"/>
    <x v="2"/>
    <n v="10932"/>
    <n v="11373"/>
    <n v="3"/>
    <s v="Y"/>
    <x v="1"/>
    <n v="15"/>
    <n v="3"/>
    <n v="3"/>
    <n v="80"/>
    <n v="1"/>
    <n v="20"/>
    <n v="2"/>
    <n v="3"/>
    <n v="1"/>
    <n v="0"/>
    <n v="0"/>
    <n v="1"/>
    <x v="0"/>
    <x v="1"/>
    <x v="3"/>
    <n v="0"/>
  </r>
  <r>
    <x v="0"/>
    <x v="1"/>
    <x v="2"/>
    <n v="509"/>
    <x v="1"/>
    <n v="2"/>
    <n v="4"/>
    <s v="Other"/>
    <n v="1"/>
    <n v="616"/>
    <n v="1"/>
    <x v="0"/>
    <n v="62"/>
    <n v="2"/>
    <x v="0"/>
    <x v="4"/>
    <n v="3"/>
    <x v="0"/>
    <n v="6811"/>
    <n v="2112"/>
    <n v="2"/>
    <s v="Y"/>
    <x v="0"/>
    <n v="17"/>
    <n v="3"/>
    <n v="1"/>
    <n v="80"/>
    <n v="0"/>
    <n v="10"/>
    <n v="3"/>
    <n v="3"/>
    <n v="8"/>
    <n v="7"/>
    <n v="0"/>
    <n v="7"/>
    <x v="0"/>
    <x v="0"/>
    <x v="0"/>
    <n v="0"/>
  </r>
  <r>
    <x v="25"/>
    <x v="1"/>
    <x v="0"/>
    <n v="775"/>
    <x v="0"/>
    <n v="29"/>
    <n v="2"/>
    <s v="Medical"/>
    <n v="1"/>
    <n v="618"/>
    <n v="1"/>
    <x v="1"/>
    <n v="45"/>
    <n v="3"/>
    <x v="0"/>
    <x v="0"/>
    <n v="3"/>
    <x v="2"/>
    <n v="4306"/>
    <n v="4267"/>
    <n v="5"/>
    <s v="Y"/>
    <x v="1"/>
    <n v="12"/>
    <n v="3"/>
    <n v="1"/>
    <n v="80"/>
    <n v="2"/>
    <n v="8"/>
    <n v="5"/>
    <n v="3"/>
    <n v="0"/>
    <n v="0"/>
    <n v="0"/>
    <n v="0"/>
    <x v="2"/>
    <x v="1"/>
    <x v="2"/>
    <n v="0"/>
  </r>
  <r>
    <x v="10"/>
    <x v="1"/>
    <x v="0"/>
    <n v="195"/>
    <x v="0"/>
    <n v="1"/>
    <n v="3"/>
    <s v="Medical"/>
    <n v="1"/>
    <n v="620"/>
    <n v="1"/>
    <x v="0"/>
    <n v="80"/>
    <n v="3"/>
    <x v="0"/>
    <x v="0"/>
    <n v="3"/>
    <x v="0"/>
    <n v="4859"/>
    <n v="6698"/>
    <n v="1"/>
    <s v="Y"/>
    <x v="1"/>
    <n v="16"/>
    <n v="3"/>
    <n v="4"/>
    <n v="80"/>
    <n v="0"/>
    <n v="5"/>
    <n v="3"/>
    <n v="3"/>
    <n v="5"/>
    <n v="4"/>
    <n v="0"/>
    <n v="3"/>
    <x v="0"/>
    <x v="2"/>
    <x v="2"/>
    <n v="0"/>
  </r>
  <r>
    <x v="13"/>
    <x v="1"/>
    <x v="0"/>
    <n v="258"/>
    <x v="0"/>
    <n v="21"/>
    <n v="4"/>
    <s v="Life Sciences"/>
    <n v="1"/>
    <n v="621"/>
    <n v="4"/>
    <x v="1"/>
    <n v="74"/>
    <n v="4"/>
    <x v="0"/>
    <x v="0"/>
    <n v="4"/>
    <x v="0"/>
    <n v="5337"/>
    <n v="19921"/>
    <n v="1"/>
    <s v="Y"/>
    <x v="1"/>
    <n v="12"/>
    <n v="3"/>
    <n v="4"/>
    <n v="80"/>
    <n v="0"/>
    <n v="10"/>
    <n v="3"/>
    <n v="3"/>
    <n v="10"/>
    <n v="7"/>
    <n v="5"/>
    <n v="7"/>
    <x v="2"/>
    <x v="0"/>
    <x v="0"/>
    <n v="0"/>
  </r>
  <r>
    <x v="25"/>
    <x v="0"/>
    <x v="0"/>
    <n v="471"/>
    <x v="1"/>
    <n v="24"/>
    <n v="3"/>
    <s v="Technical Degree"/>
    <n v="1"/>
    <n v="622"/>
    <n v="3"/>
    <x v="1"/>
    <n v="66"/>
    <n v="1"/>
    <x v="1"/>
    <x v="2"/>
    <n v="4"/>
    <x v="0"/>
    <n v="2340"/>
    <n v="23213"/>
    <n v="1"/>
    <s v="Y"/>
    <x v="0"/>
    <n v="18"/>
    <n v="3"/>
    <n v="2"/>
    <n v="80"/>
    <n v="0"/>
    <n v="1"/>
    <n v="3"/>
    <n v="1"/>
    <n v="1"/>
    <n v="0"/>
    <n v="0"/>
    <n v="0"/>
    <x v="2"/>
    <x v="1"/>
    <x v="1"/>
    <n v="1"/>
  </r>
  <r>
    <x v="2"/>
    <x v="1"/>
    <x v="0"/>
    <n v="799"/>
    <x v="1"/>
    <n v="1"/>
    <n v="3"/>
    <s v="Technical Degree"/>
    <n v="1"/>
    <n v="623"/>
    <n v="2"/>
    <x v="0"/>
    <n v="59"/>
    <n v="3"/>
    <x v="2"/>
    <x v="3"/>
    <n v="4"/>
    <x v="0"/>
    <n v="7491"/>
    <n v="23848"/>
    <n v="4"/>
    <s v="Y"/>
    <x v="1"/>
    <n v="17"/>
    <n v="3"/>
    <n v="4"/>
    <n v="80"/>
    <n v="0"/>
    <n v="12"/>
    <n v="3"/>
    <n v="4"/>
    <n v="6"/>
    <n v="5"/>
    <n v="1"/>
    <n v="2"/>
    <x v="0"/>
    <x v="0"/>
    <x v="0"/>
    <n v="0"/>
  </r>
  <r>
    <x v="21"/>
    <x v="1"/>
    <x v="1"/>
    <n v="1034"/>
    <x v="1"/>
    <n v="18"/>
    <n v="1"/>
    <s v="Medical"/>
    <n v="1"/>
    <n v="624"/>
    <n v="1"/>
    <x v="0"/>
    <n v="86"/>
    <n v="3"/>
    <x v="2"/>
    <x v="4"/>
    <n v="3"/>
    <x v="1"/>
    <n v="10527"/>
    <n v="8984"/>
    <n v="5"/>
    <s v="Y"/>
    <x v="1"/>
    <n v="11"/>
    <n v="3"/>
    <n v="4"/>
    <n v="80"/>
    <n v="0"/>
    <n v="28"/>
    <n v="3"/>
    <n v="2"/>
    <n v="2"/>
    <n v="2"/>
    <n v="1"/>
    <n v="2"/>
    <x v="1"/>
    <x v="1"/>
    <x v="3"/>
    <n v="0"/>
  </r>
  <r>
    <x v="0"/>
    <x v="1"/>
    <x v="0"/>
    <n v="1276"/>
    <x v="0"/>
    <n v="2"/>
    <n v="5"/>
    <s v="Life Sciences"/>
    <n v="1"/>
    <n v="625"/>
    <n v="2"/>
    <x v="0"/>
    <n v="91"/>
    <n v="3"/>
    <x v="3"/>
    <x v="5"/>
    <n v="1"/>
    <x v="1"/>
    <n v="16595"/>
    <n v="5626"/>
    <n v="7"/>
    <s v="Y"/>
    <x v="1"/>
    <n v="16"/>
    <n v="3"/>
    <n v="2"/>
    <n v="80"/>
    <n v="1"/>
    <n v="22"/>
    <n v="2"/>
    <n v="3"/>
    <n v="18"/>
    <n v="16"/>
    <n v="11"/>
    <n v="8"/>
    <x v="0"/>
    <x v="3"/>
    <x v="3"/>
    <n v="0"/>
  </r>
  <r>
    <x v="2"/>
    <x v="1"/>
    <x v="2"/>
    <n v="142"/>
    <x v="0"/>
    <n v="9"/>
    <n v="4"/>
    <s v="Medical"/>
    <n v="1"/>
    <n v="626"/>
    <n v="1"/>
    <x v="1"/>
    <n v="69"/>
    <n v="3"/>
    <x v="2"/>
    <x v="0"/>
    <n v="2"/>
    <x v="2"/>
    <n v="8834"/>
    <n v="24666"/>
    <n v="1"/>
    <s v="Y"/>
    <x v="1"/>
    <n v="13"/>
    <n v="3"/>
    <n v="4"/>
    <n v="80"/>
    <n v="1"/>
    <n v="9"/>
    <n v="6"/>
    <n v="3"/>
    <n v="9"/>
    <n v="5"/>
    <n v="7"/>
    <n v="7"/>
    <x v="0"/>
    <x v="0"/>
    <x v="3"/>
    <n v="0"/>
  </r>
  <r>
    <x v="39"/>
    <x v="1"/>
    <x v="0"/>
    <n v="956"/>
    <x v="1"/>
    <n v="6"/>
    <n v="2"/>
    <s v="Technical Degree"/>
    <n v="1"/>
    <n v="630"/>
    <n v="4"/>
    <x v="1"/>
    <n v="78"/>
    <n v="3"/>
    <x v="0"/>
    <x v="1"/>
    <n v="1"/>
    <x v="2"/>
    <n v="5577"/>
    <n v="22087"/>
    <n v="3"/>
    <s v="Y"/>
    <x v="0"/>
    <n v="12"/>
    <n v="3"/>
    <n v="2"/>
    <n v="80"/>
    <n v="2"/>
    <n v="18"/>
    <n v="3"/>
    <n v="3"/>
    <n v="10"/>
    <n v="9"/>
    <n v="6"/>
    <n v="9"/>
    <x v="1"/>
    <x v="0"/>
    <x v="0"/>
    <n v="0"/>
  </r>
  <r>
    <x v="5"/>
    <x v="0"/>
    <x v="2"/>
    <n v="1474"/>
    <x v="0"/>
    <n v="11"/>
    <n v="4"/>
    <s v="Other"/>
    <n v="1"/>
    <n v="631"/>
    <n v="4"/>
    <x v="1"/>
    <n v="60"/>
    <n v="4"/>
    <x v="0"/>
    <x v="0"/>
    <n v="3"/>
    <x v="1"/>
    <n v="4707"/>
    <n v="23914"/>
    <n v="8"/>
    <s v="Y"/>
    <x v="1"/>
    <n v="12"/>
    <n v="3"/>
    <n v="4"/>
    <n v="80"/>
    <n v="0"/>
    <n v="6"/>
    <n v="2"/>
    <n v="3"/>
    <n v="4"/>
    <n v="2"/>
    <n v="1"/>
    <n v="2"/>
    <x v="2"/>
    <x v="2"/>
    <x v="2"/>
    <n v="1"/>
  </r>
  <r>
    <x v="17"/>
    <x v="1"/>
    <x v="1"/>
    <n v="535"/>
    <x v="0"/>
    <n v="24"/>
    <n v="3"/>
    <s v="Medical"/>
    <n v="1"/>
    <n v="632"/>
    <n v="4"/>
    <x v="1"/>
    <n v="38"/>
    <n v="3"/>
    <x v="1"/>
    <x v="6"/>
    <n v="4"/>
    <x v="1"/>
    <n v="2400"/>
    <n v="5530"/>
    <n v="0"/>
    <s v="Y"/>
    <x v="1"/>
    <n v="13"/>
    <n v="3"/>
    <n v="3"/>
    <n v="80"/>
    <n v="2"/>
    <n v="3"/>
    <n v="3"/>
    <n v="3"/>
    <n v="2"/>
    <n v="2"/>
    <n v="2"/>
    <n v="1"/>
    <x v="4"/>
    <x v="1"/>
    <x v="1"/>
    <n v="0"/>
  </r>
  <r>
    <x v="8"/>
    <x v="1"/>
    <x v="0"/>
    <n v="1495"/>
    <x v="1"/>
    <n v="10"/>
    <n v="3"/>
    <s v="Medical"/>
    <n v="1"/>
    <n v="634"/>
    <n v="3"/>
    <x v="0"/>
    <n v="76"/>
    <n v="3"/>
    <x v="0"/>
    <x v="4"/>
    <n v="3"/>
    <x v="1"/>
    <n v="9824"/>
    <n v="22174"/>
    <n v="3"/>
    <s v="Y"/>
    <x v="1"/>
    <n v="19"/>
    <n v="3"/>
    <n v="3"/>
    <n v="80"/>
    <n v="1"/>
    <n v="18"/>
    <n v="4"/>
    <n v="3"/>
    <n v="1"/>
    <n v="0"/>
    <n v="0"/>
    <n v="0"/>
    <x v="0"/>
    <x v="1"/>
    <x v="3"/>
    <n v="0"/>
  </r>
  <r>
    <x v="2"/>
    <x v="1"/>
    <x v="0"/>
    <n v="446"/>
    <x v="1"/>
    <n v="1"/>
    <n v="4"/>
    <s v="Life Sciences"/>
    <n v="1"/>
    <n v="635"/>
    <n v="2"/>
    <x v="0"/>
    <n v="65"/>
    <n v="3"/>
    <x v="0"/>
    <x v="3"/>
    <n v="2"/>
    <x v="1"/>
    <n v="6447"/>
    <n v="15701"/>
    <n v="6"/>
    <s v="Y"/>
    <x v="1"/>
    <n v="12"/>
    <n v="3"/>
    <n v="2"/>
    <n v="80"/>
    <n v="1"/>
    <n v="8"/>
    <n v="2"/>
    <n v="2"/>
    <n v="6"/>
    <n v="5"/>
    <n v="4"/>
    <n v="3"/>
    <x v="0"/>
    <x v="0"/>
    <x v="0"/>
    <n v="0"/>
  </r>
  <r>
    <x v="1"/>
    <x v="1"/>
    <x v="0"/>
    <n v="1245"/>
    <x v="1"/>
    <n v="18"/>
    <n v="4"/>
    <s v="Life Sciences"/>
    <n v="1"/>
    <n v="638"/>
    <n v="4"/>
    <x v="1"/>
    <n v="58"/>
    <n v="2"/>
    <x v="4"/>
    <x v="7"/>
    <n v="3"/>
    <x v="2"/>
    <n v="19502"/>
    <n v="2125"/>
    <n v="1"/>
    <s v="Y"/>
    <x v="0"/>
    <n v="17"/>
    <n v="3"/>
    <n v="3"/>
    <n v="80"/>
    <n v="1"/>
    <n v="31"/>
    <n v="5"/>
    <n v="3"/>
    <n v="31"/>
    <n v="9"/>
    <n v="0"/>
    <n v="9"/>
    <x v="1"/>
    <x v="3"/>
    <x v="3"/>
    <n v="0"/>
  </r>
  <r>
    <x v="17"/>
    <x v="1"/>
    <x v="0"/>
    <n v="691"/>
    <x v="1"/>
    <n v="23"/>
    <n v="3"/>
    <s v="Medical"/>
    <n v="1"/>
    <n v="639"/>
    <n v="2"/>
    <x v="1"/>
    <n v="89"/>
    <n v="4"/>
    <x v="1"/>
    <x v="1"/>
    <n v="4"/>
    <x v="1"/>
    <n v="2725"/>
    <n v="21630"/>
    <n v="1"/>
    <s v="Y"/>
    <x v="0"/>
    <n v="11"/>
    <n v="3"/>
    <n v="2"/>
    <n v="80"/>
    <n v="2"/>
    <n v="6"/>
    <n v="3"/>
    <n v="3"/>
    <n v="6"/>
    <n v="5"/>
    <n v="1"/>
    <n v="4"/>
    <x v="4"/>
    <x v="0"/>
    <x v="1"/>
    <n v="0"/>
  </r>
  <r>
    <x v="25"/>
    <x v="1"/>
    <x v="0"/>
    <n v="703"/>
    <x v="0"/>
    <n v="28"/>
    <n v="2"/>
    <s v="Marketing"/>
    <n v="1"/>
    <n v="641"/>
    <n v="1"/>
    <x v="1"/>
    <n v="66"/>
    <n v="3"/>
    <x v="0"/>
    <x v="0"/>
    <n v="2"/>
    <x v="1"/>
    <n v="6272"/>
    <n v="7428"/>
    <n v="1"/>
    <s v="Y"/>
    <x v="1"/>
    <n v="20"/>
    <n v="4"/>
    <n v="4"/>
    <n v="80"/>
    <n v="2"/>
    <n v="6"/>
    <n v="5"/>
    <n v="4"/>
    <n v="5"/>
    <n v="3"/>
    <n v="1"/>
    <n v="4"/>
    <x v="2"/>
    <x v="2"/>
    <x v="0"/>
    <n v="0"/>
  </r>
  <r>
    <x v="17"/>
    <x v="1"/>
    <x v="0"/>
    <n v="823"/>
    <x v="1"/>
    <n v="17"/>
    <n v="2"/>
    <s v="Other"/>
    <n v="1"/>
    <n v="643"/>
    <n v="4"/>
    <x v="1"/>
    <n v="94"/>
    <n v="2"/>
    <x v="1"/>
    <x v="2"/>
    <n v="2"/>
    <x v="1"/>
    <n v="2127"/>
    <n v="9100"/>
    <n v="1"/>
    <s v="Y"/>
    <x v="1"/>
    <n v="21"/>
    <n v="4"/>
    <n v="4"/>
    <n v="80"/>
    <n v="1"/>
    <n v="1"/>
    <n v="2"/>
    <n v="3"/>
    <n v="1"/>
    <n v="0"/>
    <n v="0"/>
    <n v="0"/>
    <x v="4"/>
    <x v="1"/>
    <x v="1"/>
    <n v="0"/>
  </r>
  <r>
    <x v="24"/>
    <x v="1"/>
    <x v="1"/>
    <n v="1246"/>
    <x v="2"/>
    <n v="3"/>
    <n v="3"/>
    <s v="Medical"/>
    <n v="1"/>
    <n v="644"/>
    <n v="1"/>
    <x v="1"/>
    <n v="99"/>
    <n v="3"/>
    <x v="4"/>
    <x v="5"/>
    <n v="2"/>
    <x v="1"/>
    <n v="18200"/>
    <n v="7999"/>
    <n v="1"/>
    <s v="Y"/>
    <x v="1"/>
    <n v="11"/>
    <n v="3"/>
    <n v="3"/>
    <n v="80"/>
    <n v="1"/>
    <n v="32"/>
    <n v="2"/>
    <n v="3"/>
    <n v="32"/>
    <n v="5"/>
    <n v="10"/>
    <n v="7"/>
    <x v="1"/>
    <x v="3"/>
    <x v="3"/>
    <n v="0"/>
  </r>
  <r>
    <x v="36"/>
    <x v="1"/>
    <x v="0"/>
    <n v="622"/>
    <x v="0"/>
    <n v="13"/>
    <n v="1"/>
    <s v="Medical"/>
    <n v="1"/>
    <n v="645"/>
    <n v="2"/>
    <x v="1"/>
    <n v="40"/>
    <n v="3"/>
    <x v="1"/>
    <x v="6"/>
    <n v="3"/>
    <x v="1"/>
    <n v="2096"/>
    <n v="26376"/>
    <n v="1"/>
    <s v="Y"/>
    <x v="1"/>
    <n v="11"/>
    <n v="3"/>
    <n v="3"/>
    <n v="80"/>
    <n v="0"/>
    <n v="7"/>
    <n v="1"/>
    <n v="3"/>
    <n v="7"/>
    <n v="4"/>
    <n v="0"/>
    <n v="6"/>
    <x v="2"/>
    <x v="0"/>
    <x v="1"/>
    <n v="0"/>
  </r>
  <r>
    <x v="17"/>
    <x v="0"/>
    <x v="1"/>
    <n v="1287"/>
    <x v="1"/>
    <n v="7"/>
    <n v="3"/>
    <s v="Life Sciences"/>
    <n v="1"/>
    <n v="647"/>
    <n v="1"/>
    <x v="0"/>
    <n v="55"/>
    <n v="3"/>
    <x v="1"/>
    <x v="2"/>
    <n v="3"/>
    <x v="1"/>
    <n v="2886"/>
    <n v="14168"/>
    <n v="1"/>
    <s v="Y"/>
    <x v="0"/>
    <n v="16"/>
    <n v="3"/>
    <n v="4"/>
    <n v="80"/>
    <n v="1"/>
    <n v="6"/>
    <n v="4"/>
    <n v="3"/>
    <n v="6"/>
    <n v="3"/>
    <n v="1"/>
    <n v="2"/>
    <x v="4"/>
    <x v="0"/>
    <x v="1"/>
    <n v="1"/>
  </r>
  <r>
    <x v="7"/>
    <x v="0"/>
    <x v="1"/>
    <n v="448"/>
    <x v="0"/>
    <n v="12"/>
    <n v="4"/>
    <s v="Life Sciences"/>
    <n v="1"/>
    <n v="648"/>
    <n v="2"/>
    <x v="1"/>
    <n v="74"/>
    <n v="2"/>
    <x v="1"/>
    <x v="6"/>
    <n v="1"/>
    <x v="1"/>
    <n v="2033"/>
    <n v="14470"/>
    <n v="1"/>
    <s v="Y"/>
    <x v="1"/>
    <n v="18"/>
    <n v="3"/>
    <n v="3"/>
    <n v="80"/>
    <n v="1"/>
    <n v="1"/>
    <n v="2"/>
    <n v="4"/>
    <n v="1"/>
    <n v="0"/>
    <n v="0"/>
    <n v="0"/>
    <x v="2"/>
    <x v="1"/>
    <x v="1"/>
    <n v="1"/>
  </r>
  <r>
    <x v="13"/>
    <x v="1"/>
    <x v="0"/>
    <n v="254"/>
    <x v="1"/>
    <n v="1"/>
    <n v="2"/>
    <s v="Life Sciences"/>
    <n v="1"/>
    <n v="649"/>
    <n v="2"/>
    <x v="1"/>
    <n v="83"/>
    <n v="2"/>
    <x v="1"/>
    <x v="1"/>
    <n v="4"/>
    <x v="1"/>
    <n v="3622"/>
    <n v="22794"/>
    <n v="1"/>
    <s v="Y"/>
    <x v="0"/>
    <n v="13"/>
    <n v="3"/>
    <n v="4"/>
    <n v="80"/>
    <n v="1"/>
    <n v="6"/>
    <n v="3"/>
    <n v="3"/>
    <n v="6"/>
    <n v="5"/>
    <n v="1"/>
    <n v="3"/>
    <x v="2"/>
    <x v="0"/>
    <x v="2"/>
    <n v="0"/>
  </r>
  <r>
    <x v="12"/>
    <x v="0"/>
    <x v="0"/>
    <n v="1365"/>
    <x v="0"/>
    <n v="13"/>
    <n v="4"/>
    <s v="Medical"/>
    <n v="1"/>
    <n v="650"/>
    <n v="2"/>
    <x v="1"/>
    <n v="46"/>
    <n v="3"/>
    <x v="0"/>
    <x v="0"/>
    <n v="1"/>
    <x v="2"/>
    <n v="4233"/>
    <n v="11512"/>
    <n v="2"/>
    <s v="Y"/>
    <x v="1"/>
    <n v="17"/>
    <n v="3"/>
    <n v="3"/>
    <n v="80"/>
    <n v="0"/>
    <n v="9"/>
    <n v="2"/>
    <n v="1"/>
    <n v="3"/>
    <n v="1"/>
    <n v="1"/>
    <n v="2"/>
    <x v="2"/>
    <x v="2"/>
    <x v="2"/>
    <n v="1"/>
  </r>
  <r>
    <x v="10"/>
    <x v="1"/>
    <x v="0"/>
    <n v="538"/>
    <x v="1"/>
    <n v="25"/>
    <n v="2"/>
    <s v="Other"/>
    <n v="1"/>
    <n v="652"/>
    <n v="1"/>
    <x v="1"/>
    <n v="54"/>
    <n v="2"/>
    <x v="0"/>
    <x v="2"/>
    <n v="4"/>
    <x v="0"/>
    <n v="3681"/>
    <n v="14004"/>
    <n v="4"/>
    <s v="Y"/>
    <x v="1"/>
    <n v="14"/>
    <n v="3"/>
    <n v="4"/>
    <n v="80"/>
    <n v="0"/>
    <n v="9"/>
    <n v="3"/>
    <n v="3"/>
    <n v="3"/>
    <n v="2"/>
    <n v="0"/>
    <n v="2"/>
    <x v="0"/>
    <x v="2"/>
    <x v="2"/>
    <n v="0"/>
  </r>
  <r>
    <x v="12"/>
    <x v="1"/>
    <x v="0"/>
    <n v="525"/>
    <x v="0"/>
    <n v="6"/>
    <n v="4"/>
    <s v="Medical"/>
    <n v="1"/>
    <n v="653"/>
    <n v="1"/>
    <x v="1"/>
    <n v="66"/>
    <n v="4"/>
    <x v="0"/>
    <x v="0"/>
    <n v="4"/>
    <x v="2"/>
    <n v="5460"/>
    <n v="6219"/>
    <n v="4"/>
    <s v="Y"/>
    <x v="1"/>
    <n v="22"/>
    <n v="4"/>
    <n v="4"/>
    <n v="80"/>
    <n v="2"/>
    <n v="13"/>
    <n v="4"/>
    <n v="4"/>
    <n v="7"/>
    <n v="7"/>
    <n v="5"/>
    <n v="7"/>
    <x v="2"/>
    <x v="0"/>
    <x v="0"/>
    <n v="0"/>
  </r>
  <r>
    <x v="4"/>
    <x v="1"/>
    <x v="0"/>
    <n v="798"/>
    <x v="1"/>
    <n v="6"/>
    <n v="4"/>
    <s v="Medical"/>
    <n v="1"/>
    <n v="655"/>
    <n v="1"/>
    <x v="0"/>
    <n v="66"/>
    <n v="2"/>
    <x v="1"/>
    <x v="1"/>
    <n v="3"/>
    <x v="2"/>
    <n v="2187"/>
    <n v="5013"/>
    <n v="0"/>
    <s v="Y"/>
    <x v="1"/>
    <n v="12"/>
    <n v="3"/>
    <n v="3"/>
    <n v="80"/>
    <n v="2"/>
    <n v="6"/>
    <n v="5"/>
    <n v="2"/>
    <n v="5"/>
    <n v="3"/>
    <n v="0"/>
    <n v="3"/>
    <x v="2"/>
    <x v="2"/>
    <x v="1"/>
    <n v="0"/>
  </r>
  <r>
    <x v="2"/>
    <x v="1"/>
    <x v="0"/>
    <n v="558"/>
    <x v="0"/>
    <n v="2"/>
    <n v="3"/>
    <s v="Marketing"/>
    <n v="1"/>
    <n v="656"/>
    <n v="4"/>
    <x v="1"/>
    <n v="75"/>
    <n v="3"/>
    <x v="0"/>
    <x v="0"/>
    <n v="3"/>
    <x v="1"/>
    <n v="9602"/>
    <n v="3010"/>
    <n v="4"/>
    <s v="Y"/>
    <x v="0"/>
    <n v="11"/>
    <n v="3"/>
    <n v="3"/>
    <n v="80"/>
    <n v="1"/>
    <n v="17"/>
    <n v="3"/>
    <n v="2"/>
    <n v="3"/>
    <n v="0"/>
    <n v="1"/>
    <n v="0"/>
    <x v="0"/>
    <x v="2"/>
    <x v="3"/>
    <n v="0"/>
  </r>
  <r>
    <x v="35"/>
    <x v="1"/>
    <x v="0"/>
    <n v="959"/>
    <x v="1"/>
    <n v="1"/>
    <n v="3"/>
    <s v="Life Sciences"/>
    <n v="1"/>
    <n v="657"/>
    <n v="4"/>
    <x v="0"/>
    <n v="83"/>
    <n v="2"/>
    <x v="1"/>
    <x v="1"/>
    <n v="2"/>
    <x v="0"/>
    <n v="2836"/>
    <n v="11757"/>
    <n v="1"/>
    <s v="Y"/>
    <x v="1"/>
    <n v="13"/>
    <n v="3"/>
    <n v="4"/>
    <n v="80"/>
    <n v="0"/>
    <n v="1"/>
    <n v="0"/>
    <n v="4"/>
    <n v="1"/>
    <n v="0"/>
    <n v="0"/>
    <n v="0"/>
    <x v="4"/>
    <x v="1"/>
    <x v="1"/>
    <n v="0"/>
  </r>
  <r>
    <x v="19"/>
    <x v="1"/>
    <x v="0"/>
    <n v="622"/>
    <x v="1"/>
    <n v="2"/>
    <n v="4"/>
    <s v="Life Sciences"/>
    <n v="1"/>
    <n v="659"/>
    <n v="3"/>
    <x v="0"/>
    <n v="81"/>
    <n v="3"/>
    <x v="0"/>
    <x v="4"/>
    <n v="4"/>
    <x v="1"/>
    <n v="4089"/>
    <n v="5718"/>
    <n v="1"/>
    <s v="Y"/>
    <x v="1"/>
    <n v="13"/>
    <n v="3"/>
    <n v="2"/>
    <n v="80"/>
    <n v="2"/>
    <n v="10"/>
    <n v="4"/>
    <n v="3"/>
    <n v="10"/>
    <n v="2"/>
    <n v="2"/>
    <n v="2"/>
    <x v="0"/>
    <x v="0"/>
    <x v="2"/>
    <n v="0"/>
  </r>
  <r>
    <x v="23"/>
    <x v="1"/>
    <x v="0"/>
    <n v="782"/>
    <x v="1"/>
    <n v="6"/>
    <n v="4"/>
    <s v="Other"/>
    <n v="1"/>
    <n v="661"/>
    <n v="2"/>
    <x v="1"/>
    <n v="50"/>
    <n v="2"/>
    <x v="3"/>
    <x v="7"/>
    <n v="4"/>
    <x v="2"/>
    <n v="16627"/>
    <n v="2671"/>
    <n v="4"/>
    <s v="Y"/>
    <x v="0"/>
    <n v="14"/>
    <n v="3"/>
    <n v="3"/>
    <n v="80"/>
    <n v="1"/>
    <n v="21"/>
    <n v="3"/>
    <n v="2"/>
    <n v="1"/>
    <n v="0"/>
    <n v="0"/>
    <n v="0"/>
    <x v="0"/>
    <x v="1"/>
    <x v="3"/>
    <n v="0"/>
  </r>
  <r>
    <x v="8"/>
    <x v="1"/>
    <x v="0"/>
    <n v="362"/>
    <x v="1"/>
    <n v="1"/>
    <n v="1"/>
    <s v="Life Sciences"/>
    <n v="1"/>
    <n v="662"/>
    <n v="3"/>
    <x v="0"/>
    <n v="43"/>
    <n v="3"/>
    <x v="1"/>
    <x v="1"/>
    <n v="1"/>
    <x v="0"/>
    <n v="2619"/>
    <n v="14561"/>
    <n v="3"/>
    <s v="Y"/>
    <x v="1"/>
    <n v="17"/>
    <n v="3"/>
    <n v="4"/>
    <n v="80"/>
    <n v="0"/>
    <n v="8"/>
    <n v="3"/>
    <n v="2"/>
    <n v="0"/>
    <n v="0"/>
    <n v="0"/>
    <n v="0"/>
    <x v="0"/>
    <x v="1"/>
    <x v="1"/>
    <n v="0"/>
  </r>
  <r>
    <x v="23"/>
    <x v="1"/>
    <x v="1"/>
    <n v="1001"/>
    <x v="1"/>
    <n v="9"/>
    <n v="5"/>
    <s v="Medical"/>
    <n v="1"/>
    <n v="663"/>
    <n v="4"/>
    <x v="1"/>
    <n v="72"/>
    <n v="3"/>
    <x v="0"/>
    <x v="2"/>
    <n v="3"/>
    <x v="2"/>
    <n v="5679"/>
    <n v="19627"/>
    <n v="3"/>
    <s v="Y"/>
    <x v="0"/>
    <n v="13"/>
    <n v="3"/>
    <n v="2"/>
    <n v="80"/>
    <n v="1"/>
    <n v="10"/>
    <n v="3"/>
    <n v="3"/>
    <n v="8"/>
    <n v="7"/>
    <n v="4"/>
    <n v="7"/>
    <x v="0"/>
    <x v="0"/>
    <x v="0"/>
    <n v="0"/>
  </r>
  <r>
    <x v="26"/>
    <x v="1"/>
    <x v="0"/>
    <n v="1236"/>
    <x v="1"/>
    <n v="1"/>
    <n v="4"/>
    <s v="Life Sciences"/>
    <n v="1"/>
    <n v="664"/>
    <n v="4"/>
    <x v="0"/>
    <n v="40"/>
    <n v="2"/>
    <x v="3"/>
    <x v="5"/>
    <n v="1"/>
    <x v="1"/>
    <n v="15402"/>
    <n v="17997"/>
    <n v="7"/>
    <s v="Y"/>
    <x v="1"/>
    <n v="11"/>
    <n v="3"/>
    <n v="1"/>
    <n v="80"/>
    <n v="1"/>
    <n v="21"/>
    <n v="3"/>
    <n v="1"/>
    <n v="3"/>
    <n v="2"/>
    <n v="0"/>
    <n v="2"/>
    <x v="1"/>
    <x v="2"/>
    <x v="3"/>
    <n v="0"/>
  </r>
  <r>
    <x v="20"/>
    <x v="1"/>
    <x v="0"/>
    <n v="1112"/>
    <x v="2"/>
    <n v="1"/>
    <n v="4"/>
    <s v="Life Sciences"/>
    <n v="1"/>
    <n v="665"/>
    <n v="1"/>
    <x v="0"/>
    <n v="50"/>
    <n v="2"/>
    <x v="0"/>
    <x v="8"/>
    <n v="3"/>
    <x v="0"/>
    <n v="5985"/>
    <n v="26894"/>
    <n v="4"/>
    <s v="Y"/>
    <x v="1"/>
    <n v="11"/>
    <n v="3"/>
    <n v="2"/>
    <n v="80"/>
    <n v="0"/>
    <n v="10"/>
    <n v="1"/>
    <n v="4"/>
    <n v="2"/>
    <n v="2"/>
    <n v="0"/>
    <n v="2"/>
    <x v="0"/>
    <x v="1"/>
    <x v="0"/>
    <n v="0"/>
  </r>
  <r>
    <x v="13"/>
    <x v="1"/>
    <x v="0"/>
    <n v="204"/>
    <x v="0"/>
    <n v="14"/>
    <n v="3"/>
    <s v="Technical Degree"/>
    <n v="1"/>
    <n v="666"/>
    <n v="3"/>
    <x v="0"/>
    <n v="31"/>
    <n v="3"/>
    <x v="1"/>
    <x v="6"/>
    <n v="3"/>
    <x v="2"/>
    <n v="2579"/>
    <n v="2912"/>
    <n v="1"/>
    <s v="Y"/>
    <x v="0"/>
    <n v="18"/>
    <n v="3"/>
    <n v="4"/>
    <n v="80"/>
    <n v="2"/>
    <n v="8"/>
    <n v="3"/>
    <n v="3"/>
    <n v="8"/>
    <n v="2"/>
    <n v="0"/>
    <n v="6"/>
    <x v="2"/>
    <x v="0"/>
    <x v="1"/>
    <n v="0"/>
  </r>
  <r>
    <x v="4"/>
    <x v="0"/>
    <x v="0"/>
    <n v="1420"/>
    <x v="0"/>
    <n v="2"/>
    <n v="1"/>
    <s v="Marketing"/>
    <n v="1"/>
    <n v="667"/>
    <n v="3"/>
    <x v="1"/>
    <n v="85"/>
    <n v="3"/>
    <x v="1"/>
    <x v="6"/>
    <n v="1"/>
    <x v="2"/>
    <n v="3041"/>
    <n v="16346"/>
    <n v="0"/>
    <s v="Y"/>
    <x v="1"/>
    <n v="11"/>
    <n v="3"/>
    <n v="2"/>
    <n v="80"/>
    <n v="1"/>
    <n v="5"/>
    <n v="3"/>
    <n v="3"/>
    <n v="4"/>
    <n v="3"/>
    <n v="0"/>
    <n v="2"/>
    <x v="2"/>
    <x v="2"/>
    <x v="2"/>
    <n v="1"/>
  </r>
  <r>
    <x v="18"/>
    <x v="1"/>
    <x v="0"/>
    <n v="1343"/>
    <x v="0"/>
    <n v="22"/>
    <n v="1"/>
    <s v="Technical Degree"/>
    <n v="1"/>
    <n v="669"/>
    <n v="3"/>
    <x v="1"/>
    <n v="49"/>
    <n v="3"/>
    <x v="1"/>
    <x v="6"/>
    <n v="3"/>
    <x v="0"/>
    <n v="3447"/>
    <n v="24444"/>
    <n v="1"/>
    <s v="Y"/>
    <x v="1"/>
    <n v="11"/>
    <n v="3"/>
    <n v="3"/>
    <n v="80"/>
    <n v="0"/>
    <n v="3"/>
    <n v="2"/>
    <n v="3"/>
    <n v="3"/>
    <n v="2"/>
    <n v="1"/>
    <n v="2"/>
    <x v="4"/>
    <x v="2"/>
    <x v="2"/>
    <n v="0"/>
  </r>
  <r>
    <x v="20"/>
    <x v="1"/>
    <x v="0"/>
    <n v="1315"/>
    <x v="1"/>
    <n v="3"/>
    <n v="4"/>
    <s v="Other"/>
    <n v="1"/>
    <n v="671"/>
    <n v="4"/>
    <x v="1"/>
    <n v="35"/>
    <n v="3"/>
    <x v="4"/>
    <x v="5"/>
    <n v="4"/>
    <x v="1"/>
    <n v="19513"/>
    <n v="9358"/>
    <n v="4"/>
    <s v="Y"/>
    <x v="0"/>
    <n v="12"/>
    <n v="3"/>
    <n v="1"/>
    <n v="80"/>
    <n v="1"/>
    <n v="26"/>
    <n v="2"/>
    <n v="4"/>
    <n v="2"/>
    <n v="2"/>
    <n v="0"/>
    <n v="1"/>
    <x v="0"/>
    <x v="1"/>
    <x v="3"/>
    <n v="0"/>
  </r>
  <r>
    <x v="15"/>
    <x v="1"/>
    <x v="0"/>
    <n v="604"/>
    <x v="1"/>
    <n v="6"/>
    <n v="1"/>
    <s v="Medical"/>
    <n v="1"/>
    <n v="675"/>
    <n v="1"/>
    <x v="1"/>
    <n v="69"/>
    <n v="3"/>
    <x v="1"/>
    <x v="1"/>
    <n v="3"/>
    <x v="1"/>
    <n v="2773"/>
    <n v="12145"/>
    <n v="0"/>
    <s v="Y"/>
    <x v="1"/>
    <n v="20"/>
    <n v="4"/>
    <n v="4"/>
    <n v="80"/>
    <n v="0"/>
    <n v="3"/>
    <n v="3"/>
    <n v="3"/>
    <n v="2"/>
    <n v="2"/>
    <n v="2"/>
    <n v="2"/>
    <x v="4"/>
    <x v="1"/>
    <x v="1"/>
    <n v="0"/>
  </r>
  <r>
    <x v="3"/>
    <x v="1"/>
    <x v="0"/>
    <n v="1216"/>
    <x v="0"/>
    <n v="8"/>
    <n v="4"/>
    <s v="Marketing"/>
    <n v="1"/>
    <n v="677"/>
    <n v="3"/>
    <x v="1"/>
    <n v="39"/>
    <n v="3"/>
    <x v="0"/>
    <x v="0"/>
    <n v="3"/>
    <x v="2"/>
    <n v="7104"/>
    <n v="20431"/>
    <n v="0"/>
    <s v="Y"/>
    <x v="1"/>
    <n v="12"/>
    <n v="3"/>
    <n v="4"/>
    <n v="80"/>
    <n v="0"/>
    <n v="6"/>
    <n v="3"/>
    <n v="3"/>
    <n v="5"/>
    <n v="0"/>
    <n v="1"/>
    <n v="2"/>
    <x v="2"/>
    <x v="2"/>
    <x v="0"/>
    <n v="0"/>
  </r>
  <r>
    <x v="5"/>
    <x v="1"/>
    <x v="0"/>
    <n v="646"/>
    <x v="1"/>
    <n v="9"/>
    <n v="4"/>
    <s v="Life Sciences"/>
    <n v="1"/>
    <n v="679"/>
    <n v="1"/>
    <x v="0"/>
    <n v="92"/>
    <n v="3"/>
    <x v="0"/>
    <x v="1"/>
    <n v="4"/>
    <x v="1"/>
    <n v="6322"/>
    <n v="18089"/>
    <n v="1"/>
    <s v="Y"/>
    <x v="0"/>
    <n v="12"/>
    <n v="3"/>
    <n v="4"/>
    <n v="80"/>
    <n v="1"/>
    <n v="6"/>
    <n v="2"/>
    <n v="2"/>
    <n v="6"/>
    <n v="4"/>
    <n v="0"/>
    <n v="5"/>
    <x v="2"/>
    <x v="0"/>
    <x v="0"/>
    <n v="0"/>
  </r>
  <r>
    <x v="7"/>
    <x v="1"/>
    <x v="1"/>
    <n v="160"/>
    <x v="1"/>
    <n v="3"/>
    <n v="3"/>
    <s v="Medical"/>
    <n v="1"/>
    <n v="680"/>
    <n v="3"/>
    <x v="0"/>
    <n v="71"/>
    <n v="3"/>
    <x v="1"/>
    <x v="1"/>
    <n v="3"/>
    <x v="2"/>
    <n v="2083"/>
    <n v="22653"/>
    <n v="1"/>
    <s v="Y"/>
    <x v="1"/>
    <n v="20"/>
    <n v="4"/>
    <n v="3"/>
    <n v="80"/>
    <n v="1"/>
    <n v="1"/>
    <n v="2"/>
    <n v="3"/>
    <n v="1"/>
    <n v="0"/>
    <n v="0"/>
    <n v="0"/>
    <x v="2"/>
    <x v="1"/>
    <x v="1"/>
    <n v="0"/>
  </r>
  <r>
    <x v="16"/>
    <x v="1"/>
    <x v="0"/>
    <n v="238"/>
    <x v="0"/>
    <n v="1"/>
    <n v="1"/>
    <s v="Medical"/>
    <n v="1"/>
    <n v="682"/>
    <n v="4"/>
    <x v="0"/>
    <n v="34"/>
    <n v="3"/>
    <x v="0"/>
    <x v="0"/>
    <n v="1"/>
    <x v="0"/>
    <n v="8381"/>
    <n v="7507"/>
    <n v="7"/>
    <s v="Y"/>
    <x v="1"/>
    <n v="20"/>
    <n v="4"/>
    <n v="4"/>
    <n v="80"/>
    <n v="0"/>
    <n v="18"/>
    <n v="2"/>
    <n v="4"/>
    <n v="14"/>
    <n v="7"/>
    <n v="8"/>
    <n v="10"/>
    <x v="1"/>
    <x v="3"/>
    <x v="3"/>
    <n v="0"/>
  </r>
  <r>
    <x v="13"/>
    <x v="1"/>
    <x v="0"/>
    <n v="1397"/>
    <x v="1"/>
    <n v="1"/>
    <n v="5"/>
    <s v="Life Sciences"/>
    <n v="1"/>
    <n v="683"/>
    <n v="2"/>
    <x v="1"/>
    <n v="42"/>
    <n v="3"/>
    <x v="1"/>
    <x v="1"/>
    <n v="4"/>
    <x v="1"/>
    <n v="2691"/>
    <n v="7660"/>
    <n v="1"/>
    <s v="Y"/>
    <x v="1"/>
    <n v="12"/>
    <n v="3"/>
    <n v="4"/>
    <n v="80"/>
    <n v="1"/>
    <n v="10"/>
    <n v="4"/>
    <n v="2"/>
    <n v="10"/>
    <n v="9"/>
    <n v="8"/>
    <n v="8"/>
    <x v="2"/>
    <x v="0"/>
    <x v="1"/>
    <n v="0"/>
  </r>
  <r>
    <x v="28"/>
    <x v="0"/>
    <x v="1"/>
    <n v="306"/>
    <x v="0"/>
    <n v="26"/>
    <n v="4"/>
    <s v="Life Sciences"/>
    <n v="1"/>
    <n v="684"/>
    <n v="1"/>
    <x v="0"/>
    <n v="100"/>
    <n v="3"/>
    <x v="0"/>
    <x v="0"/>
    <n v="1"/>
    <x v="1"/>
    <n v="4286"/>
    <n v="5630"/>
    <n v="2"/>
    <s v="Y"/>
    <x v="1"/>
    <n v="14"/>
    <n v="3"/>
    <n v="4"/>
    <n v="80"/>
    <n v="2"/>
    <n v="5"/>
    <n v="4"/>
    <n v="3"/>
    <n v="1"/>
    <n v="1"/>
    <n v="0"/>
    <n v="0"/>
    <x v="1"/>
    <x v="1"/>
    <x v="2"/>
    <n v="1"/>
  </r>
  <r>
    <x v="25"/>
    <x v="1"/>
    <x v="0"/>
    <n v="991"/>
    <x v="1"/>
    <n v="6"/>
    <n v="3"/>
    <s v="Life Sciences"/>
    <n v="1"/>
    <n v="686"/>
    <n v="3"/>
    <x v="0"/>
    <n v="71"/>
    <n v="3"/>
    <x v="1"/>
    <x v="2"/>
    <n v="4"/>
    <x v="1"/>
    <n v="2659"/>
    <n v="17759"/>
    <n v="1"/>
    <s v="Y"/>
    <x v="0"/>
    <n v="13"/>
    <n v="3"/>
    <n v="3"/>
    <n v="80"/>
    <n v="1"/>
    <n v="3"/>
    <n v="2"/>
    <n v="3"/>
    <n v="3"/>
    <n v="2"/>
    <n v="0"/>
    <n v="2"/>
    <x v="2"/>
    <x v="2"/>
    <x v="1"/>
    <n v="0"/>
  </r>
  <r>
    <x v="2"/>
    <x v="1"/>
    <x v="0"/>
    <n v="482"/>
    <x v="1"/>
    <n v="3"/>
    <n v="3"/>
    <s v="Other"/>
    <n v="1"/>
    <n v="689"/>
    <n v="3"/>
    <x v="1"/>
    <n v="36"/>
    <n v="3"/>
    <x v="2"/>
    <x v="3"/>
    <n v="3"/>
    <x v="1"/>
    <n v="9434"/>
    <n v="9606"/>
    <n v="1"/>
    <s v="Y"/>
    <x v="1"/>
    <n v="15"/>
    <n v="3"/>
    <n v="3"/>
    <n v="80"/>
    <n v="1"/>
    <n v="10"/>
    <n v="2"/>
    <n v="3"/>
    <n v="10"/>
    <n v="7"/>
    <n v="7"/>
    <n v="8"/>
    <x v="0"/>
    <x v="0"/>
    <x v="3"/>
    <n v="0"/>
  </r>
  <r>
    <x v="11"/>
    <x v="1"/>
    <x v="0"/>
    <n v="1176"/>
    <x v="0"/>
    <n v="3"/>
    <n v="2"/>
    <s v="Medical"/>
    <n v="1"/>
    <n v="690"/>
    <n v="2"/>
    <x v="0"/>
    <n v="62"/>
    <n v="3"/>
    <x v="0"/>
    <x v="0"/>
    <n v="3"/>
    <x v="1"/>
    <n v="5561"/>
    <n v="3487"/>
    <n v="1"/>
    <s v="Y"/>
    <x v="1"/>
    <n v="14"/>
    <n v="3"/>
    <n v="1"/>
    <n v="80"/>
    <n v="1"/>
    <n v="6"/>
    <n v="5"/>
    <n v="2"/>
    <n v="6"/>
    <n v="0"/>
    <n v="1"/>
    <n v="2"/>
    <x v="2"/>
    <x v="0"/>
    <x v="0"/>
    <n v="0"/>
  </r>
  <r>
    <x v="10"/>
    <x v="1"/>
    <x v="0"/>
    <n v="1017"/>
    <x v="1"/>
    <n v="6"/>
    <n v="4"/>
    <s v="Life Sciences"/>
    <n v="1"/>
    <n v="691"/>
    <n v="2"/>
    <x v="1"/>
    <n v="82"/>
    <n v="1"/>
    <x v="0"/>
    <x v="1"/>
    <n v="4"/>
    <x v="0"/>
    <n v="6646"/>
    <n v="19368"/>
    <n v="1"/>
    <s v="Y"/>
    <x v="1"/>
    <n v="13"/>
    <n v="3"/>
    <n v="2"/>
    <n v="80"/>
    <n v="0"/>
    <n v="17"/>
    <n v="3"/>
    <n v="3"/>
    <n v="17"/>
    <n v="11"/>
    <n v="11"/>
    <n v="8"/>
    <x v="0"/>
    <x v="3"/>
    <x v="0"/>
    <n v="0"/>
  </r>
  <r>
    <x v="3"/>
    <x v="1"/>
    <x v="1"/>
    <n v="1296"/>
    <x v="1"/>
    <n v="6"/>
    <n v="3"/>
    <s v="Life Sciences"/>
    <n v="1"/>
    <n v="692"/>
    <n v="3"/>
    <x v="1"/>
    <n v="30"/>
    <n v="3"/>
    <x v="0"/>
    <x v="4"/>
    <n v="4"/>
    <x v="2"/>
    <n v="7725"/>
    <n v="5335"/>
    <n v="3"/>
    <s v="Y"/>
    <x v="1"/>
    <n v="23"/>
    <n v="4"/>
    <n v="3"/>
    <n v="80"/>
    <n v="1"/>
    <n v="15"/>
    <n v="2"/>
    <n v="1"/>
    <n v="13"/>
    <n v="11"/>
    <n v="4"/>
    <n v="7"/>
    <x v="2"/>
    <x v="3"/>
    <x v="0"/>
    <n v="0"/>
  </r>
  <r>
    <x v="33"/>
    <x v="1"/>
    <x v="0"/>
    <n v="397"/>
    <x v="2"/>
    <n v="19"/>
    <n v="4"/>
    <s v="Medical"/>
    <n v="1"/>
    <n v="698"/>
    <n v="3"/>
    <x v="1"/>
    <n v="88"/>
    <n v="3"/>
    <x v="2"/>
    <x v="8"/>
    <n v="2"/>
    <x v="1"/>
    <n v="10725"/>
    <n v="6729"/>
    <n v="2"/>
    <s v="Y"/>
    <x v="1"/>
    <n v="15"/>
    <n v="3"/>
    <n v="3"/>
    <n v="80"/>
    <n v="1"/>
    <n v="16"/>
    <n v="1"/>
    <n v="4"/>
    <n v="9"/>
    <n v="7"/>
    <n v="7"/>
    <n v="1"/>
    <x v="1"/>
    <x v="0"/>
    <x v="3"/>
    <n v="0"/>
  </r>
  <r>
    <x v="9"/>
    <x v="1"/>
    <x v="0"/>
    <n v="913"/>
    <x v="1"/>
    <n v="9"/>
    <n v="2"/>
    <s v="Medical"/>
    <n v="1"/>
    <n v="699"/>
    <n v="2"/>
    <x v="1"/>
    <n v="48"/>
    <n v="2"/>
    <x v="0"/>
    <x v="3"/>
    <n v="2"/>
    <x v="2"/>
    <n v="8847"/>
    <n v="13934"/>
    <n v="2"/>
    <s v="Y"/>
    <x v="0"/>
    <n v="11"/>
    <n v="3"/>
    <n v="3"/>
    <n v="80"/>
    <n v="1"/>
    <n v="13"/>
    <n v="2"/>
    <n v="3"/>
    <n v="3"/>
    <n v="2"/>
    <n v="0"/>
    <n v="2"/>
    <x v="0"/>
    <x v="2"/>
    <x v="3"/>
    <n v="0"/>
  </r>
  <r>
    <x v="4"/>
    <x v="1"/>
    <x v="0"/>
    <n v="1115"/>
    <x v="1"/>
    <n v="3"/>
    <n v="4"/>
    <s v="Medical"/>
    <n v="1"/>
    <n v="700"/>
    <n v="1"/>
    <x v="1"/>
    <n v="54"/>
    <n v="2"/>
    <x v="1"/>
    <x v="1"/>
    <n v="4"/>
    <x v="0"/>
    <n v="2045"/>
    <n v="15174"/>
    <n v="0"/>
    <s v="Y"/>
    <x v="1"/>
    <n v="13"/>
    <n v="3"/>
    <n v="4"/>
    <n v="80"/>
    <n v="0"/>
    <n v="5"/>
    <n v="0"/>
    <n v="3"/>
    <n v="4"/>
    <n v="2"/>
    <n v="1"/>
    <n v="1"/>
    <x v="2"/>
    <x v="2"/>
    <x v="1"/>
    <n v="0"/>
  </r>
  <r>
    <x v="35"/>
    <x v="0"/>
    <x v="0"/>
    <n v="1362"/>
    <x v="1"/>
    <n v="10"/>
    <n v="1"/>
    <s v="Medical"/>
    <n v="1"/>
    <n v="701"/>
    <n v="4"/>
    <x v="1"/>
    <n v="32"/>
    <n v="3"/>
    <x v="1"/>
    <x v="1"/>
    <n v="3"/>
    <x v="0"/>
    <n v="1009"/>
    <n v="26999"/>
    <n v="1"/>
    <s v="Y"/>
    <x v="0"/>
    <n v="11"/>
    <n v="3"/>
    <n v="4"/>
    <n v="80"/>
    <n v="0"/>
    <n v="1"/>
    <n v="5"/>
    <n v="3"/>
    <n v="1"/>
    <n v="0"/>
    <n v="1"/>
    <n v="1"/>
    <x v="4"/>
    <x v="1"/>
    <x v="1"/>
    <n v="1"/>
  </r>
  <r>
    <x v="3"/>
    <x v="0"/>
    <x v="1"/>
    <n v="1076"/>
    <x v="1"/>
    <n v="3"/>
    <n v="3"/>
    <s v="Life Sciences"/>
    <n v="1"/>
    <n v="702"/>
    <n v="1"/>
    <x v="1"/>
    <n v="70"/>
    <n v="3"/>
    <x v="1"/>
    <x v="1"/>
    <n v="1"/>
    <x v="0"/>
    <n v="3348"/>
    <n v="3164"/>
    <n v="1"/>
    <s v="Y"/>
    <x v="0"/>
    <n v="11"/>
    <n v="3"/>
    <n v="1"/>
    <n v="80"/>
    <n v="0"/>
    <n v="10"/>
    <n v="3"/>
    <n v="3"/>
    <n v="10"/>
    <n v="8"/>
    <n v="9"/>
    <n v="7"/>
    <x v="2"/>
    <x v="0"/>
    <x v="2"/>
    <n v="1"/>
  </r>
  <r>
    <x v="10"/>
    <x v="1"/>
    <x v="2"/>
    <n v="727"/>
    <x v="1"/>
    <n v="3"/>
    <n v="3"/>
    <s v="Life Sciences"/>
    <n v="1"/>
    <n v="704"/>
    <n v="3"/>
    <x v="1"/>
    <n v="41"/>
    <n v="2"/>
    <x v="1"/>
    <x v="2"/>
    <n v="3"/>
    <x v="1"/>
    <n v="1281"/>
    <n v="16900"/>
    <n v="1"/>
    <s v="Y"/>
    <x v="1"/>
    <n v="18"/>
    <n v="3"/>
    <n v="3"/>
    <n v="80"/>
    <n v="2"/>
    <n v="1"/>
    <n v="3"/>
    <n v="3"/>
    <n v="1"/>
    <n v="0"/>
    <n v="0"/>
    <n v="0"/>
    <x v="0"/>
    <x v="1"/>
    <x v="1"/>
    <n v="0"/>
  </r>
  <r>
    <x v="30"/>
    <x v="1"/>
    <x v="0"/>
    <n v="885"/>
    <x v="1"/>
    <n v="4"/>
    <n v="3"/>
    <s v="Medical"/>
    <n v="1"/>
    <n v="705"/>
    <n v="1"/>
    <x v="1"/>
    <n v="58"/>
    <n v="4"/>
    <x v="1"/>
    <x v="1"/>
    <n v="1"/>
    <x v="1"/>
    <n v="2819"/>
    <n v="8544"/>
    <n v="2"/>
    <s v="Y"/>
    <x v="1"/>
    <n v="16"/>
    <n v="3"/>
    <n v="1"/>
    <n v="80"/>
    <n v="1"/>
    <n v="5"/>
    <n v="3"/>
    <n v="4"/>
    <n v="3"/>
    <n v="2"/>
    <n v="0"/>
    <n v="2"/>
    <x v="4"/>
    <x v="2"/>
    <x v="1"/>
    <n v="0"/>
  </r>
  <r>
    <x v="36"/>
    <x v="1"/>
    <x v="0"/>
    <n v="810"/>
    <x v="0"/>
    <n v="8"/>
    <n v="3"/>
    <s v="Life Sciences"/>
    <n v="1"/>
    <n v="707"/>
    <n v="4"/>
    <x v="1"/>
    <n v="57"/>
    <n v="4"/>
    <x v="0"/>
    <x v="0"/>
    <n v="2"/>
    <x v="1"/>
    <n v="4851"/>
    <n v="15678"/>
    <n v="0"/>
    <s v="Y"/>
    <x v="1"/>
    <n v="22"/>
    <n v="4"/>
    <n v="3"/>
    <n v="80"/>
    <n v="1"/>
    <n v="4"/>
    <n v="4"/>
    <n v="3"/>
    <n v="3"/>
    <n v="2"/>
    <n v="1"/>
    <n v="2"/>
    <x v="2"/>
    <x v="2"/>
    <x v="2"/>
    <n v="0"/>
  </r>
  <r>
    <x v="8"/>
    <x v="1"/>
    <x v="0"/>
    <n v="243"/>
    <x v="0"/>
    <n v="7"/>
    <n v="4"/>
    <s v="Marketing"/>
    <n v="1"/>
    <n v="709"/>
    <n v="4"/>
    <x v="0"/>
    <n v="46"/>
    <n v="2"/>
    <x v="0"/>
    <x v="0"/>
    <n v="4"/>
    <x v="0"/>
    <n v="4028"/>
    <n v="7791"/>
    <n v="0"/>
    <s v="Y"/>
    <x v="1"/>
    <n v="20"/>
    <n v="4"/>
    <n v="1"/>
    <n v="80"/>
    <n v="0"/>
    <n v="8"/>
    <n v="2"/>
    <n v="3"/>
    <n v="7"/>
    <n v="7"/>
    <n v="0"/>
    <n v="5"/>
    <x v="0"/>
    <x v="0"/>
    <x v="2"/>
    <n v="0"/>
  </r>
  <r>
    <x v="11"/>
    <x v="1"/>
    <x v="1"/>
    <n v="806"/>
    <x v="1"/>
    <n v="1"/>
    <n v="4"/>
    <s v="Life Sciences"/>
    <n v="1"/>
    <n v="710"/>
    <n v="2"/>
    <x v="1"/>
    <n v="76"/>
    <n v="1"/>
    <x v="1"/>
    <x v="1"/>
    <n v="4"/>
    <x v="2"/>
    <n v="2720"/>
    <n v="18959"/>
    <n v="1"/>
    <s v="Y"/>
    <x v="1"/>
    <n v="18"/>
    <n v="3"/>
    <n v="4"/>
    <n v="80"/>
    <n v="1"/>
    <n v="10"/>
    <n v="5"/>
    <n v="3"/>
    <n v="10"/>
    <n v="7"/>
    <n v="2"/>
    <n v="8"/>
    <x v="2"/>
    <x v="0"/>
    <x v="1"/>
    <n v="0"/>
  </r>
  <r>
    <x v="26"/>
    <x v="1"/>
    <x v="0"/>
    <n v="817"/>
    <x v="0"/>
    <n v="2"/>
    <n v="1"/>
    <s v="Marketing"/>
    <n v="1"/>
    <n v="712"/>
    <n v="2"/>
    <x v="1"/>
    <n v="56"/>
    <n v="4"/>
    <x v="0"/>
    <x v="0"/>
    <n v="2"/>
    <x v="1"/>
    <n v="8120"/>
    <n v="18597"/>
    <n v="3"/>
    <s v="Y"/>
    <x v="1"/>
    <n v="12"/>
    <n v="3"/>
    <n v="4"/>
    <n v="80"/>
    <n v="0"/>
    <n v="12"/>
    <n v="3"/>
    <n v="3"/>
    <n v="2"/>
    <n v="2"/>
    <n v="2"/>
    <n v="2"/>
    <x v="1"/>
    <x v="1"/>
    <x v="3"/>
    <n v="0"/>
  </r>
  <r>
    <x v="4"/>
    <x v="1"/>
    <x v="1"/>
    <n v="1410"/>
    <x v="0"/>
    <n v="3"/>
    <n v="1"/>
    <s v="Medical"/>
    <n v="1"/>
    <n v="714"/>
    <n v="4"/>
    <x v="0"/>
    <n v="71"/>
    <n v="4"/>
    <x v="0"/>
    <x v="0"/>
    <n v="4"/>
    <x v="2"/>
    <n v="4647"/>
    <n v="16673"/>
    <n v="1"/>
    <s v="Y"/>
    <x v="0"/>
    <n v="20"/>
    <n v="4"/>
    <n v="2"/>
    <n v="80"/>
    <n v="2"/>
    <n v="6"/>
    <n v="3"/>
    <n v="3"/>
    <n v="6"/>
    <n v="5"/>
    <n v="0"/>
    <n v="4"/>
    <x v="2"/>
    <x v="0"/>
    <x v="2"/>
    <n v="0"/>
  </r>
  <r>
    <x v="2"/>
    <x v="1"/>
    <x v="0"/>
    <n v="1225"/>
    <x v="1"/>
    <n v="10"/>
    <n v="2"/>
    <s v="Life Sciences"/>
    <n v="1"/>
    <n v="715"/>
    <n v="4"/>
    <x v="1"/>
    <n v="80"/>
    <n v="4"/>
    <x v="1"/>
    <x v="1"/>
    <n v="4"/>
    <x v="0"/>
    <n v="4680"/>
    <n v="15232"/>
    <n v="3"/>
    <s v="Y"/>
    <x v="1"/>
    <n v="17"/>
    <n v="3"/>
    <n v="1"/>
    <n v="80"/>
    <n v="0"/>
    <n v="4"/>
    <n v="2"/>
    <n v="3"/>
    <n v="1"/>
    <n v="0"/>
    <n v="0"/>
    <n v="0"/>
    <x v="0"/>
    <x v="1"/>
    <x v="2"/>
    <n v="0"/>
  </r>
  <r>
    <x v="24"/>
    <x v="1"/>
    <x v="0"/>
    <n v="1207"/>
    <x v="1"/>
    <n v="28"/>
    <n v="1"/>
    <s v="Medical"/>
    <n v="1"/>
    <n v="716"/>
    <n v="4"/>
    <x v="1"/>
    <n v="74"/>
    <n v="4"/>
    <x v="1"/>
    <x v="2"/>
    <n v="3"/>
    <x v="1"/>
    <n v="3221"/>
    <n v="3297"/>
    <n v="1"/>
    <s v="Y"/>
    <x v="0"/>
    <n v="11"/>
    <n v="3"/>
    <n v="3"/>
    <n v="80"/>
    <n v="3"/>
    <n v="20"/>
    <n v="3"/>
    <n v="3"/>
    <n v="20"/>
    <n v="8"/>
    <n v="3"/>
    <n v="8"/>
    <x v="1"/>
    <x v="3"/>
    <x v="2"/>
    <n v="0"/>
  </r>
  <r>
    <x v="13"/>
    <x v="1"/>
    <x v="0"/>
    <n v="1442"/>
    <x v="1"/>
    <n v="9"/>
    <n v="3"/>
    <s v="Medical"/>
    <n v="1"/>
    <n v="717"/>
    <n v="4"/>
    <x v="0"/>
    <n v="46"/>
    <n v="2"/>
    <x v="2"/>
    <x v="4"/>
    <n v="2"/>
    <x v="0"/>
    <n v="8621"/>
    <n v="17654"/>
    <n v="1"/>
    <s v="Y"/>
    <x v="1"/>
    <n v="14"/>
    <n v="3"/>
    <n v="2"/>
    <n v="80"/>
    <n v="0"/>
    <n v="9"/>
    <n v="3"/>
    <n v="4"/>
    <n v="8"/>
    <n v="7"/>
    <n v="7"/>
    <n v="7"/>
    <x v="2"/>
    <x v="0"/>
    <x v="3"/>
    <n v="0"/>
  </r>
  <r>
    <x v="17"/>
    <x v="0"/>
    <x v="0"/>
    <n v="693"/>
    <x v="0"/>
    <n v="3"/>
    <n v="2"/>
    <s v="Life Sciences"/>
    <n v="1"/>
    <n v="720"/>
    <n v="1"/>
    <x v="0"/>
    <n v="65"/>
    <n v="3"/>
    <x v="0"/>
    <x v="0"/>
    <n v="3"/>
    <x v="0"/>
    <n v="4577"/>
    <n v="24785"/>
    <n v="9"/>
    <s v="Y"/>
    <x v="1"/>
    <n v="14"/>
    <n v="3"/>
    <n v="1"/>
    <n v="80"/>
    <n v="0"/>
    <n v="4"/>
    <n v="3"/>
    <n v="3"/>
    <n v="2"/>
    <n v="2"/>
    <n v="2"/>
    <n v="0"/>
    <x v="4"/>
    <x v="1"/>
    <x v="2"/>
    <n v="1"/>
  </r>
  <r>
    <x v="22"/>
    <x v="1"/>
    <x v="0"/>
    <n v="408"/>
    <x v="1"/>
    <n v="2"/>
    <n v="4"/>
    <s v="Technical Degree"/>
    <n v="1"/>
    <n v="721"/>
    <n v="4"/>
    <x v="0"/>
    <n v="80"/>
    <n v="2"/>
    <x v="0"/>
    <x v="4"/>
    <n v="3"/>
    <x v="0"/>
    <n v="4553"/>
    <n v="20978"/>
    <n v="1"/>
    <s v="Y"/>
    <x v="1"/>
    <n v="11"/>
    <n v="3"/>
    <n v="1"/>
    <n v="80"/>
    <n v="0"/>
    <n v="20"/>
    <n v="4"/>
    <n v="3"/>
    <n v="20"/>
    <n v="7"/>
    <n v="11"/>
    <n v="10"/>
    <x v="0"/>
    <x v="3"/>
    <x v="2"/>
    <n v="0"/>
  </r>
  <r>
    <x v="5"/>
    <x v="1"/>
    <x v="0"/>
    <n v="929"/>
    <x v="0"/>
    <n v="10"/>
    <n v="3"/>
    <s v="Marketing"/>
    <n v="1"/>
    <n v="722"/>
    <n v="4"/>
    <x v="1"/>
    <n v="55"/>
    <n v="3"/>
    <x v="0"/>
    <x v="0"/>
    <n v="4"/>
    <x v="0"/>
    <n v="5396"/>
    <n v="21703"/>
    <n v="1"/>
    <s v="Y"/>
    <x v="1"/>
    <n v="12"/>
    <n v="3"/>
    <n v="4"/>
    <n v="80"/>
    <n v="0"/>
    <n v="10"/>
    <n v="2"/>
    <n v="2"/>
    <n v="10"/>
    <n v="7"/>
    <n v="0"/>
    <n v="8"/>
    <x v="2"/>
    <x v="0"/>
    <x v="0"/>
    <n v="0"/>
  </r>
  <r>
    <x v="24"/>
    <x v="0"/>
    <x v="1"/>
    <n v="562"/>
    <x v="0"/>
    <n v="8"/>
    <n v="2"/>
    <s v="Technical Degree"/>
    <n v="1"/>
    <n v="723"/>
    <n v="2"/>
    <x v="1"/>
    <n v="50"/>
    <n v="3"/>
    <x v="0"/>
    <x v="0"/>
    <n v="3"/>
    <x v="1"/>
    <n v="6796"/>
    <n v="23452"/>
    <n v="3"/>
    <s v="Y"/>
    <x v="0"/>
    <n v="14"/>
    <n v="3"/>
    <n v="1"/>
    <n v="80"/>
    <n v="1"/>
    <n v="18"/>
    <n v="4"/>
    <n v="3"/>
    <n v="4"/>
    <n v="3"/>
    <n v="1"/>
    <n v="3"/>
    <x v="1"/>
    <x v="2"/>
    <x v="0"/>
    <n v="1"/>
  </r>
  <r>
    <x v="8"/>
    <x v="1"/>
    <x v="0"/>
    <n v="827"/>
    <x v="1"/>
    <n v="1"/>
    <n v="4"/>
    <s v="Life Sciences"/>
    <n v="1"/>
    <n v="724"/>
    <n v="2"/>
    <x v="0"/>
    <n v="33"/>
    <n v="4"/>
    <x v="0"/>
    <x v="4"/>
    <n v="4"/>
    <x v="0"/>
    <n v="7625"/>
    <n v="19383"/>
    <n v="0"/>
    <s v="Y"/>
    <x v="1"/>
    <n v="13"/>
    <n v="3"/>
    <n v="3"/>
    <n v="80"/>
    <n v="0"/>
    <n v="10"/>
    <n v="4"/>
    <n v="2"/>
    <n v="9"/>
    <n v="7"/>
    <n v="1"/>
    <n v="8"/>
    <x v="0"/>
    <x v="0"/>
    <x v="0"/>
    <n v="0"/>
  </r>
  <r>
    <x v="4"/>
    <x v="1"/>
    <x v="0"/>
    <n v="608"/>
    <x v="1"/>
    <n v="1"/>
    <n v="2"/>
    <s v="Life Sciences"/>
    <n v="1"/>
    <n v="725"/>
    <n v="3"/>
    <x v="0"/>
    <n v="68"/>
    <n v="3"/>
    <x v="2"/>
    <x v="3"/>
    <n v="1"/>
    <x v="1"/>
    <n v="7412"/>
    <n v="6009"/>
    <n v="1"/>
    <s v="Y"/>
    <x v="1"/>
    <n v="11"/>
    <n v="3"/>
    <n v="4"/>
    <n v="80"/>
    <n v="0"/>
    <n v="9"/>
    <n v="3"/>
    <n v="3"/>
    <n v="9"/>
    <n v="7"/>
    <n v="0"/>
    <n v="7"/>
    <x v="2"/>
    <x v="0"/>
    <x v="0"/>
    <n v="0"/>
  </r>
  <r>
    <x v="5"/>
    <x v="1"/>
    <x v="0"/>
    <n v="1018"/>
    <x v="1"/>
    <n v="3"/>
    <n v="2"/>
    <s v="Life Sciences"/>
    <n v="1"/>
    <n v="727"/>
    <n v="3"/>
    <x v="0"/>
    <n v="39"/>
    <n v="3"/>
    <x v="2"/>
    <x v="7"/>
    <n v="4"/>
    <x v="0"/>
    <n v="11159"/>
    <n v="19373"/>
    <n v="3"/>
    <s v="Y"/>
    <x v="1"/>
    <n v="15"/>
    <n v="3"/>
    <n v="4"/>
    <n v="80"/>
    <n v="0"/>
    <n v="10"/>
    <n v="6"/>
    <n v="3"/>
    <n v="7"/>
    <n v="7"/>
    <n v="7"/>
    <n v="7"/>
    <x v="2"/>
    <x v="0"/>
    <x v="3"/>
    <n v="0"/>
  </r>
  <r>
    <x v="40"/>
    <x v="1"/>
    <x v="0"/>
    <n v="703"/>
    <x v="0"/>
    <n v="14"/>
    <n v="4"/>
    <s v="Marketing"/>
    <n v="1"/>
    <n v="728"/>
    <n v="4"/>
    <x v="1"/>
    <n v="42"/>
    <n v="3"/>
    <x v="0"/>
    <x v="0"/>
    <n v="1"/>
    <x v="0"/>
    <n v="4960"/>
    <n v="11825"/>
    <n v="2"/>
    <s v="Y"/>
    <x v="1"/>
    <n v="12"/>
    <n v="3"/>
    <n v="4"/>
    <n v="80"/>
    <n v="0"/>
    <n v="20"/>
    <n v="2"/>
    <n v="3"/>
    <n v="7"/>
    <n v="7"/>
    <n v="1"/>
    <n v="7"/>
    <x v="1"/>
    <x v="0"/>
    <x v="2"/>
    <n v="0"/>
  </r>
  <r>
    <x v="32"/>
    <x v="1"/>
    <x v="1"/>
    <n v="580"/>
    <x v="0"/>
    <n v="5"/>
    <n v="4"/>
    <s v="Life Sciences"/>
    <n v="1"/>
    <n v="729"/>
    <n v="4"/>
    <x v="1"/>
    <n v="48"/>
    <n v="2"/>
    <x v="2"/>
    <x v="0"/>
    <n v="1"/>
    <x v="1"/>
    <n v="10475"/>
    <n v="23772"/>
    <n v="5"/>
    <s v="Y"/>
    <x v="0"/>
    <n v="21"/>
    <n v="4"/>
    <n v="3"/>
    <n v="80"/>
    <n v="1"/>
    <n v="20"/>
    <n v="2"/>
    <n v="3"/>
    <n v="18"/>
    <n v="13"/>
    <n v="1"/>
    <n v="12"/>
    <x v="0"/>
    <x v="3"/>
    <x v="3"/>
    <n v="0"/>
  </r>
  <r>
    <x v="16"/>
    <x v="1"/>
    <x v="0"/>
    <n v="970"/>
    <x v="1"/>
    <n v="7"/>
    <n v="3"/>
    <s v="Life Sciences"/>
    <n v="1"/>
    <n v="730"/>
    <n v="3"/>
    <x v="1"/>
    <n v="59"/>
    <n v="4"/>
    <x v="3"/>
    <x v="7"/>
    <n v="3"/>
    <x v="1"/>
    <n v="14814"/>
    <n v="13514"/>
    <n v="3"/>
    <s v="Y"/>
    <x v="1"/>
    <n v="19"/>
    <n v="3"/>
    <n v="3"/>
    <n v="80"/>
    <n v="0"/>
    <n v="32"/>
    <n v="3"/>
    <n v="3"/>
    <n v="5"/>
    <n v="1"/>
    <n v="1"/>
    <n v="3"/>
    <x v="1"/>
    <x v="2"/>
    <x v="3"/>
    <n v="0"/>
  </r>
  <r>
    <x v="0"/>
    <x v="1"/>
    <x v="0"/>
    <n v="427"/>
    <x v="2"/>
    <n v="10"/>
    <n v="4"/>
    <s v="Human Resources"/>
    <n v="1"/>
    <n v="731"/>
    <n v="2"/>
    <x v="1"/>
    <n v="73"/>
    <n v="2"/>
    <x v="4"/>
    <x v="5"/>
    <n v="4"/>
    <x v="2"/>
    <n v="19141"/>
    <n v="8861"/>
    <n v="3"/>
    <s v="Y"/>
    <x v="1"/>
    <n v="15"/>
    <n v="3"/>
    <n v="2"/>
    <n v="80"/>
    <n v="3"/>
    <n v="23"/>
    <n v="2"/>
    <n v="2"/>
    <n v="21"/>
    <n v="6"/>
    <n v="12"/>
    <n v="6"/>
    <x v="0"/>
    <x v="3"/>
    <x v="3"/>
    <n v="0"/>
  </r>
  <r>
    <x v="42"/>
    <x v="1"/>
    <x v="0"/>
    <n v="1179"/>
    <x v="0"/>
    <n v="16"/>
    <n v="4"/>
    <s v="Marketing"/>
    <n v="1"/>
    <n v="732"/>
    <n v="1"/>
    <x v="1"/>
    <n v="84"/>
    <n v="3"/>
    <x v="0"/>
    <x v="0"/>
    <n v="1"/>
    <x v="0"/>
    <n v="5405"/>
    <n v="11924"/>
    <n v="8"/>
    <s v="Y"/>
    <x v="1"/>
    <n v="14"/>
    <n v="3"/>
    <n v="4"/>
    <n v="80"/>
    <n v="0"/>
    <n v="10"/>
    <n v="1"/>
    <n v="3"/>
    <n v="2"/>
    <n v="2"/>
    <n v="2"/>
    <n v="2"/>
    <x v="3"/>
    <x v="1"/>
    <x v="0"/>
    <n v="0"/>
  </r>
  <r>
    <x v="4"/>
    <x v="1"/>
    <x v="1"/>
    <n v="294"/>
    <x v="1"/>
    <n v="10"/>
    <n v="2"/>
    <s v="Life Sciences"/>
    <n v="1"/>
    <n v="733"/>
    <n v="4"/>
    <x v="1"/>
    <n v="32"/>
    <n v="3"/>
    <x v="2"/>
    <x v="3"/>
    <n v="1"/>
    <x v="2"/>
    <n v="8793"/>
    <n v="4809"/>
    <n v="1"/>
    <s v="Y"/>
    <x v="1"/>
    <n v="21"/>
    <n v="4"/>
    <n v="3"/>
    <n v="80"/>
    <n v="2"/>
    <n v="9"/>
    <n v="4"/>
    <n v="2"/>
    <n v="9"/>
    <n v="7"/>
    <n v="1"/>
    <n v="7"/>
    <x v="2"/>
    <x v="0"/>
    <x v="3"/>
    <n v="0"/>
  </r>
  <r>
    <x v="0"/>
    <x v="1"/>
    <x v="0"/>
    <n v="314"/>
    <x v="2"/>
    <n v="1"/>
    <n v="3"/>
    <s v="Human Resources"/>
    <n v="1"/>
    <n v="734"/>
    <n v="4"/>
    <x v="1"/>
    <n v="59"/>
    <n v="2"/>
    <x v="4"/>
    <x v="5"/>
    <n v="3"/>
    <x v="1"/>
    <n v="19189"/>
    <n v="19562"/>
    <n v="1"/>
    <s v="Y"/>
    <x v="1"/>
    <n v="12"/>
    <n v="3"/>
    <n v="2"/>
    <n v="80"/>
    <n v="1"/>
    <n v="22"/>
    <n v="3"/>
    <n v="3"/>
    <n v="22"/>
    <n v="7"/>
    <n v="2"/>
    <n v="10"/>
    <x v="0"/>
    <x v="3"/>
    <x v="3"/>
    <n v="0"/>
  </r>
  <r>
    <x v="24"/>
    <x v="1"/>
    <x v="0"/>
    <n v="316"/>
    <x v="0"/>
    <n v="8"/>
    <n v="4"/>
    <s v="Marketing"/>
    <n v="1"/>
    <n v="738"/>
    <n v="4"/>
    <x v="1"/>
    <n v="54"/>
    <n v="3"/>
    <x v="1"/>
    <x v="6"/>
    <n v="2"/>
    <x v="1"/>
    <n v="3875"/>
    <n v="9983"/>
    <n v="7"/>
    <s v="Y"/>
    <x v="1"/>
    <n v="15"/>
    <n v="3"/>
    <n v="4"/>
    <n v="80"/>
    <n v="1"/>
    <n v="4"/>
    <n v="2"/>
    <n v="3"/>
    <n v="2"/>
    <n v="2"/>
    <n v="2"/>
    <n v="2"/>
    <x v="1"/>
    <x v="1"/>
    <x v="2"/>
    <n v="0"/>
  </r>
  <r>
    <x v="14"/>
    <x v="0"/>
    <x v="0"/>
    <n v="654"/>
    <x v="1"/>
    <n v="1"/>
    <n v="2"/>
    <s v="Life Sciences"/>
    <n v="1"/>
    <n v="741"/>
    <n v="1"/>
    <x v="0"/>
    <n v="67"/>
    <n v="1"/>
    <x v="1"/>
    <x v="1"/>
    <n v="2"/>
    <x v="0"/>
    <n v="2216"/>
    <n v="3872"/>
    <n v="7"/>
    <s v="Y"/>
    <x v="0"/>
    <n v="13"/>
    <n v="3"/>
    <n v="4"/>
    <n v="80"/>
    <n v="0"/>
    <n v="10"/>
    <n v="4"/>
    <n v="3"/>
    <n v="7"/>
    <n v="7"/>
    <n v="3"/>
    <n v="7"/>
    <x v="2"/>
    <x v="0"/>
    <x v="1"/>
    <n v="1"/>
  </r>
  <r>
    <x v="9"/>
    <x v="1"/>
    <x v="2"/>
    <n v="427"/>
    <x v="1"/>
    <n v="8"/>
    <n v="3"/>
    <s v="Life Sciences"/>
    <n v="1"/>
    <n v="742"/>
    <n v="1"/>
    <x v="0"/>
    <n v="63"/>
    <n v="4"/>
    <x v="2"/>
    <x v="7"/>
    <n v="1"/>
    <x v="1"/>
    <n v="11713"/>
    <n v="20335"/>
    <n v="9"/>
    <s v="Y"/>
    <x v="1"/>
    <n v="14"/>
    <n v="3"/>
    <n v="1"/>
    <n v="80"/>
    <n v="1"/>
    <n v="10"/>
    <n v="2"/>
    <n v="3"/>
    <n v="8"/>
    <n v="7"/>
    <n v="0"/>
    <n v="5"/>
    <x v="0"/>
    <x v="0"/>
    <x v="3"/>
    <n v="0"/>
  </r>
  <r>
    <x v="8"/>
    <x v="1"/>
    <x v="0"/>
    <n v="168"/>
    <x v="1"/>
    <n v="1"/>
    <n v="3"/>
    <s v="Life Sciences"/>
    <n v="1"/>
    <n v="743"/>
    <n v="3"/>
    <x v="0"/>
    <n v="81"/>
    <n v="3"/>
    <x v="2"/>
    <x v="3"/>
    <n v="3"/>
    <x v="0"/>
    <n v="7861"/>
    <n v="15397"/>
    <n v="4"/>
    <s v="Y"/>
    <x v="0"/>
    <n v="14"/>
    <n v="3"/>
    <n v="4"/>
    <n v="80"/>
    <n v="0"/>
    <n v="10"/>
    <n v="4"/>
    <n v="4"/>
    <n v="1"/>
    <n v="0"/>
    <n v="0"/>
    <n v="0"/>
    <x v="0"/>
    <x v="1"/>
    <x v="0"/>
    <n v="0"/>
  </r>
  <r>
    <x v="20"/>
    <x v="1"/>
    <x v="2"/>
    <n v="381"/>
    <x v="1"/>
    <n v="24"/>
    <n v="3"/>
    <s v="Medical"/>
    <n v="1"/>
    <n v="744"/>
    <n v="1"/>
    <x v="1"/>
    <n v="49"/>
    <n v="1"/>
    <x v="1"/>
    <x v="2"/>
    <n v="3"/>
    <x v="0"/>
    <n v="3708"/>
    <n v="2104"/>
    <n v="2"/>
    <s v="Y"/>
    <x v="1"/>
    <n v="14"/>
    <n v="3"/>
    <n v="3"/>
    <n v="80"/>
    <n v="0"/>
    <n v="9"/>
    <n v="5"/>
    <n v="3"/>
    <n v="5"/>
    <n v="2"/>
    <n v="1"/>
    <n v="4"/>
    <x v="0"/>
    <x v="2"/>
    <x v="2"/>
    <n v="0"/>
  </r>
  <r>
    <x v="40"/>
    <x v="1"/>
    <x v="1"/>
    <n v="217"/>
    <x v="0"/>
    <n v="3"/>
    <n v="3"/>
    <s v="Medical"/>
    <n v="1"/>
    <n v="746"/>
    <n v="4"/>
    <x v="0"/>
    <n v="49"/>
    <n v="3"/>
    <x v="3"/>
    <x v="0"/>
    <n v="3"/>
    <x v="2"/>
    <n v="13770"/>
    <n v="10225"/>
    <n v="9"/>
    <s v="Y"/>
    <x v="0"/>
    <n v="12"/>
    <n v="3"/>
    <n v="4"/>
    <n v="80"/>
    <n v="2"/>
    <n v="28"/>
    <n v="2"/>
    <n v="2"/>
    <n v="22"/>
    <n v="2"/>
    <n v="11"/>
    <n v="13"/>
    <x v="1"/>
    <x v="3"/>
    <x v="3"/>
    <n v="0"/>
  </r>
  <r>
    <x v="7"/>
    <x v="1"/>
    <x v="0"/>
    <n v="501"/>
    <x v="0"/>
    <n v="27"/>
    <n v="5"/>
    <s v="Marketing"/>
    <n v="1"/>
    <n v="747"/>
    <n v="3"/>
    <x v="1"/>
    <n v="99"/>
    <n v="3"/>
    <x v="0"/>
    <x v="0"/>
    <n v="4"/>
    <x v="2"/>
    <n v="5304"/>
    <n v="25275"/>
    <n v="7"/>
    <s v="Y"/>
    <x v="1"/>
    <n v="23"/>
    <n v="4"/>
    <n v="4"/>
    <n v="80"/>
    <n v="1"/>
    <n v="10"/>
    <n v="2"/>
    <n v="2"/>
    <n v="8"/>
    <n v="7"/>
    <n v="7"/>
    <n v="7"/>
    <x v="2"/>
    <x v="0"/>
    <x v="0"/>
    <n v="0"/>
  </r>
  <r>
    <x v="11"/>
    <x v="1"/>
    <x v="0"/>
    <n v="1396"/>
    <x v="0"/>
    <n v="10"/>
    <n v="3"/>
    <s v="Life Sciences"/>
    <n v="1"/>
    <n v="749"/>
    <n v="3"/>
    <x v="1"/>
    <n v="99"/>
    <n v="3"/>
    <x v="1"/>
    <x v="6"/>
    <n v="3"/>
    <x v="0"/>
    <n v="2642"/>
    <n v="2755"/>
    <n v="1"/>
    <s v="Y"/>
    <x v="1"/>
    <n v="11"/>
    <n v="3"/>
    <n v="3"/>
    <n v="80"/>
    <n v="0"/>
    <n v="1"/>
    <n v="6"/>
    <n v="3"/>
    <n v="1"/>
    <n v="0"/>
    <n v="0"/>
    <n v="0"/>
    <x v="2"/>
    <x v="1"/>
    <x v="1"/>
    <n v="0"/>
  </r>
  <r>
    <x v="19"/>
    <x v="0"/>
    <x v="1"/>
    <n v="933"/>
    <x v="1"/>
    <n v="19"/>
    <n v="3"/>
    <s v="Medical"/>
    <n v="1"/>
    <n v="752"/>
    <n v="3"/>
    <x v="1"/>
    <n v="57"/>
    <n v="4"/>
    <x v="1"/>
    <x v="1"/>
    <n v="3"/>
    <x v="2"/>
    <n v="2759"/>
    <n v="20366"/>
    <n v="6"/>
    <s v="Y"/>
    <x v="0"/>
    <n v="12"/>
    <n v="3"/>
    <n v="4"/>
    <n v="80"/>
    <n v="0"/>
    <n v="7"/>
    <n v="2"/>
    <n v="3"/>
    <n v="2"/>
    <n v="2"/>
    <n v="2"/>
    <n v="2"/>
    <x v="0"/>
    <x v="1"/>
    <x v="1"/>
    <n v="1"/>
  </r>
  <r>
    <x v="23"/>
    <x v="1"/>
    <x v="1"/>
    <n v="775"/>
    <x v="0"/>
    <n v="15"/>
    <n v="3"/>
    <s v="Life Sciences"/>
    <n v="1"/>
    <n v="754"/>
    <n v="4"/>
    <x v="1"/>
    <n v="47"/>
    <n v="2"/>
    <x v="0"/>
    <x v="0"/>
    <n v="4"/>
    <x v="1"/>
    <n v="6804"/>
    <n v="23683"/>
    <n v="3"/>
    <s v="Y"/>
    <x v="1"/>
    <n v="18"/>
    <n v="3"/>
    <n v="3"/>
    <n v="80"/>
    <n v="1"/>
    <n v="7"/>
    <n v="5"/>
    <n v="3"/>
    <n v="2"/>
    <n v="2"/>
    <n v="2"/>
    <n v="2"/>
    <x v="0"/>
    <x v="1"/>
    <x v="0"/>
    <n v="0"/>
  </r>
  <r>
    <x v="13"/>
    <x v="1"/>
    <x v="0"/>
    <n v="970"/>
    <x v="1"/>
    <n v="8"/>
    <n v="2"/>
    <s v="Medical"/>
    <n v="1"/>
    <n v="757"/>
    <n v="2"/>
    <x v="0"/>
    <n v="96"/>
    <n v="3"/>
    <x v="0"/>
    <x v="4"/>
    <n v="3"/>
    <x v="0"/>
    <n v="6142"/>
    <n v="7360"/>
    <n v="3"/>
    <s v="Y"/>
    <x v="1"/>
    <n v="11"/>
    <n v="3"/>
    <n v="4"/>
    <n v="80"/>
    <n v="0"/>
    <n v="10"/>
    <n v="2"/>
    <n v="3"/>
    <n v="5"/>
    <n v="1"/>
    <n v="4"/>
    <n v="3"/>
    <x v="2"/>
    <x v="2"/>
    <x v="0"/>
    <n v="0"/>
  </r>
  <r>
    <x v="30"/>
    <x v="1"/>
    <x v="0"/>
    <n v="650"/>
    <x v="1"/>
    <n v="9"/>
    <n v="1"/>
    <s v="Medical"/>
    <n v="1"/>
    <n v="758"/>
    <n v="2"/>
    <x v="1"/>
    <n v="37"/>
    <n v="3"/>
    <x v="1"/>
    <x v="2"/>
    <n v="1"/>
    <x v="1"/>
    <n v="2500"/>
    <n v="4344"/>
    <n v="1"/>
    <s v="Y"/>
    <x v="1"/>
    <n v="14"/>
    <n v="3"/>
    <n v="4"/>
    <n v="80"/>
    <n v="1"/>
    <n v="5"/>
    <n v="2"/>
    <n v="4"/>
    <n v="4"/>
    <n v="3"/>
    <n v="0"/>
    <n v="2"/>
    <x v="4"/>
    <x v="2"/>
    <x v="1"/>
    <n v="0"/>
  </r>
  <r>
    <x v="22"/>
    <x v="1"/>
    <x v="0"/>
    <n v="141"/>
    <x v="2"/>
    <n v="3"/>
    <n v="3"/>
    <s v="Human Resources"/>
    <n v="1"/>
    <n v="760"/>
    <n v="3"/>
    <x v="0"/>
    <n v="44"/>
    <n v="4"/>
    <x v="0"/>
    <x v="8"/>
    <n v="2"/>
    <x v="1"/>
    <n v="6389"/>
    <n v="18767"/>
    <n v="9"/>
    <s v="Y"/>
    <x v="1"/>
    <n v="15"/>
    <n v="3"/>
    <n v="3"/>
    <n v="80"/>
    <n v="1"/>
    <n v="12"/>
    <n v="3"/>
    <n v="1"/>
    <n v="8"/>
    <n v="3"/>
    <n v="3"/>
    <n v="6"/>
    <x v="0"/>
    <x v="0"/>
    <x v="0"/>
    <n v="0"/>
  </r>
  <r>
    <x v="29"/>
    <x v="1"/>
    <x v="0"/>
    <n v="832"/>
    <x v="1"/>
    <n v="9"/>
    <n v="3"/>
    <s v="Medical"/>
    <n v="1"/>
    <n v="762"/>
    <n v="3"/>
    <x v="1"/>
    <n v="81"/>
    <n v="3"/>
    <x v="3"/>
    <x v="4"/>
    <n v="4"/>
    <x v="1"/>
    <n v="11103"/>
    <n v="20420"/>
    <n v="7"/>
    <s v="Y"/>
    <x v="1"/>
    <n v="11"/>
    <n v="3"/>
    <n v="3"/>
    <n v="80"/>
    <n v="0"/>
    <n v="30"/>
    <n v="1"/>
    <n v="2"/>
    <n v="10"/>
    <n v="7"/>
    <n v="1"/>
    <n v="1"/>
    <x v="3"/>
    <x v="0"/>
    <x v="3"/>
    <n v="0"/>
  </r>
  <r>
    <x v="32"/>
    <x v="1"/>
    <x v="0"/>
    <n v="804"/>
    <x v="1"/>
    <n v="2"/>
    <n v="1"/>
    <s v="Medical"/>
    <n v="1"/>
    <n v="763"/>
    <n v="4"/>
    <x v="0"/>
    <n v="86"/>
    <n v="2"/>
    <x v="1"/>
    <x v="1"/>
    <n v="4"/>
    <x v="0"/>
    <n v="2342"/>
    <n v="22929"/>
    <n v="0"/>
    <s v="Y"/>
    <x v="0"/>
    <n v="20"/>
    <n v="4"/>
    <n v="4"/>
    <n v="80"/>
    <n v="0"/>
    <n v="5"/>
    <n v="2"/>
    <n v="2"/>
    <n v="4"/>
    <n v="2"/>
    <n v="2"/>
    <n v="3"/>
    <x v="0"/>
    <x v="2"/>
    <x v="1"/>
    <n v="0"/>
  </r>
  <r>
    <x v="4"/>
    <x v="1"/>
    <x v="0"/>
    <n v="975"/>
    <x v="1"/>
    <n v="7"/>
    <n v="3"/>
    <s v="Medical"/>
    <n v="1"/>
    <n v="764"/>
    <n v="4"/>
    <x v="0"/>
    <n v="55"/>
    <n v="2"/>
    <x v="0"/>
    <x v="4"/>
    <n v="1"/>
    <x v="0"/>
    <n v="6811"/>
    <n v="23398"/>
    <n v="8"/>
    <s v="Y"/>
    <x v="1"/>
    <n v="19"/>
    <n v="3"/>
    <n v="1"/>
    <n v="80"/>
    <n v="0"/>
    <n v="9"/>
    <n v="2"/>
    <n v="1"/>
    <n v="7"/>
    <n v="6"/>
    <n v="0"/>
    <n v="7"/>
    <x v="2"/>
    <x v="0"/>
    <x v="0"/>
    <n v="0"/>
  </r>
  <r>
    <x v="11"/>
    <x v="1"/>
    <x v="0"/>
    <n v="1090"/>
    <x v="0"/>
    <n v="10"/>
    <n v="3"/>
    <s v="Marketing"/>
    <n v="1"/>
    <n v="766"/>
    <n v="4"/>
    <x v="1"/>
    <n v="83"/>
    <n v="3"/>
    <x v="1"/>
    <x v="6"/>
    <n v="2"/>
    <x v="2"/>
    <n v="2297"/>
    <n v="17967"/>
    <n v="1"/>
    <s v="Y"/>
    <x v="1"/>
    <n v="14"/>
    <n v="3"/>
    <n v="4"/>
    <n v="80"/>
    <n v="2"/>
    <n v="2"/>
    <n v="2"/>
    <n v="3"/>
    <n v="2"/>
    <n v="2"/>
    <n v="2"/>
    <n v="2"/>
    <x v="2"/>
    <x v="1"/>
    <x v="1"/>
    <n v="0"/>
  </r>
  <r>
    <x v="16"/>
    <x v="1"/>
    <x v="0"/>
    <n v="346"/>
    <x v="1"/>
    <n v="6"/>
    <n v="3"/>
    <s v="Life Sciences"/>
    <n v="1"/>
    <n v="769"/>
    <n v="4"/>
    <x v="1"/>
    <n v="86"/>
    <n v="3"/>
    <x v="0"/>
    <x v="2"/>
    <n v="4"/>
    <x v="0"/>
    <n v="2450"/>
    <n v="10919"/>
    <n v="2"/>
    <s v="Y"/>
    <x v="1"/>
    <n v="17"/>
    <n v="3"/>
    <n v="4"/>
    <n v="80"/>
    <n v="0"/>
    <n v="19"/>
    <n v="4"/>
    <n v="3"/>
    <n v="2"/>
    <n v="2"/>
    <n v="2"/>
    <n v="2"/>
    <x v="1"/>
    <x v="1"/>
    <x v="1"/>
    <n v="0"/>
  </r>
  <r>
    <x v="10"/>
    <x v="1"/>
    <x v="2"/>
    <n v="1225"/>
    <x v="1"/>
    <n v="2"/>
    <n v="4"/>
    <s v="Life Sciences"/>
    <n v="1"/>
    <n v="771"/>
    <n v="4"/>
    <x v="0"/>
    <n v="61"/>
    <n v="3"/>
    <x v="0"/>
    <x v="4"/>
    <n v="1"/>
    <x v="2"/>
    <n v="5093"/>
    <n v="4761"/>
    <n v="2"/>
    <s v="Y"/>
    <x v="1"/>
    <n v="11"/>
    <n v="3"/>
    <n v="1"/>
    <n v="80"/>
    <n v="1"/>
    <n v="16"/>
    <n v="2"/>
    <n v="4"/>
    <n v="1"/>
    <n v="0"/>
    <n v="0"/>
    <n v="0"/>
    <x v="0"/>
    <x v="1"/>
    <x v="0"/>
    <n v="0"/>
  </r>
  <r>
    <x v="5"/>
    <x v="1"/>
    <x v="1"/>
    <n v="430"/>
    <x v="1"/>
    <n v="24"/>
    <n v="4"/>
    <s v="Life Sciences"/>
    <n v="1"/>
    <n v="772"/>
    <n v="1"/>
    <x v="1"/>
    <n v="80"/>
    <n v="3"/>
    <x v="0"/>
    <x v="2"/>
    <n v="4"/>
    <x v="1"/>
    <n v="5309"/>
    <n v="21146"/>
    <n v="1"/>
    <s v="Y"/>
    <x v="1"/>
    <n v="15"/>
    <n v="3"/>
    <n v="4"/>
    <n v="80"/>
    <n v="2"/>
    <n v="10"/>
    <n v="2"/>
    <n v="3"/>
    <n v="10"/>
    <n v="8"/>
    <n v="4"/>
    <n v="7"/>
    <x v="2"/>
    <x v="0"/>
    <x v="0"/>
    <n v="0"/>
  </r>
  <r>
    <x v="8"/>
    <x v="1"/>
    <x v="0"/>
    <n v="268"/>
    <x v="1"/>
    <n v="2"/>
    <n v="5"/>
    <s v="Medical"/>
    <n v="1"/>
    <n v="773"/>
    <n v="4"/>
    <x v="1"/>
    <n v="92"/>
    <n v="3"/>
    <x v="1"/>
    <x v="1"/>
    <n v="3"/>
    <x v="1"/>
    <n v="3057"/>
    <n v="20471"/>
    <n v="6"/>
    <s v="Y"/>
    <x v="0"/>
    <n v="13"/>
    <n v="3"/>
    <n v="2"/>
    <n v="80"/>
    <n v="1"/>
    <n v="6"/>
    <n v="0"/>
    <n v="1"/>
    <n v="1"/>
    <n v="0"/>
    <n v="0"/>
    <n v="1"/>
    <x v="0"/>
    <x v="1"/>
    <x v="2"/>
    <n v="0"/>
  </r>
  <r>
    <x v="13"/>
    <x v="1"/>
    <x v="0"/>
    <n v="167"/>
    <x v="1"/>
    <n v="8"/>
    <n v="5"/>
    <s v="Life Sciences"/>
    <n v="1"/>
    <n v="775"/>
    <n v="2"/>
    <x v="0"/>
    <n v="32"/>
    <n v="3"/>
    <x v="0"/>
    <x v="3"/>
    <n v="1"/>
    <x v="2"/>
    <n v="5121"/>
    <n v="4187"/>
    <n v="3"/>
    <s v="Y"/>
    <x v="1"/>
    <n v="14"/>
    <n v="3"/>
    <n v="3"/>
    <n v="80"/>
    <n v="1"/>
    <n v="7"/>
    <n v="3"/>
    <n v="3"/>
    <n v="0"/>
    <n v="0"/>
    <n v="0"/>
    <n v="0"/>
    <x v="2"/>
    <x v="1"/>
    <x v="0"/>
    <n v="0"/>
  </r>
  <r>
    <x v="39"/>
    <x v="1"/>
    <x v="0"/>
    <n v="621"/>
    <x v="0"/>
    <n v="3"/>
    <n v="4"/>
    <s v="Marketing"/>
    <n v="1"/>
    <n v="776"/>
    <n v="3"/>
    <x v="1"/>
    <n v="31"/>
    <n v="2"/>
    <x v="3"/>
    <x v="5"/>
    <n v="1"/>
    <x v="1"/>
    <n v="16856"/>
    <n v="10084"/>
    <n v="1"/>
    <s v="Y"/>
    <x v="1"/>
    <n v="11"/>
    <n v="3"/>
    <n v="1"/>
    <n v="80"/>
    <n v="0"/>
    <n v="34"/>
    <n v="3"/>
    <n v="4"/>
    <n v="34"/>
    <n v="6"/>
    <n v="1"/>
    <n v="16"/>
    <x v="1"/>
    <x v="3"/>
    <x v="3"/>
    <n v="0"/>
  </r>
  <r>
    <x v="3"/>
    <x v="0"/>
    <x v="0"/>
    <n v="527"/>
    <x v="1"/>
    <n v="1"/>
    <n v="4"/>
    <s v="Other"/>
    <n v="1"/>
    <n v="780"/>
    <n v="4"/>
    <x v="1"/>
    <n v="63"/>
    <n v="3"/>
    <x v="1"/>
    <x v="1"/>
    <n v="4"/>
    <x v="0"/>
    <n v="2686"/>
    <n v="5207"/>
    <n v="1"/>
    <s v="Y"/>
    <x v="0"/>
    <n v="13"/>
    <n v="3"/>
    <n v="3"/>
    <n v="80"/>
    <n v="0"/>
    <n v="10"/>
    <n v="2"/>
    <n v="2"/>
    <n v="10"/>
    <n v="9"/>
    <n v="7"/>
    <n v="8"/>
    <x v="2"/>
    <x v="0"/>
    <x v="1"/>
    <n v="1"/>
  </r>
  <r>
    <x v="36"/>
    <x v="1"/>
    <x v="0"/>
    <n v="883"/>
    <x v="0"/>
    <n v="26"/>
    <n v="1"/>
    <s v="Medical"/>
    <n v="1"/>
    <n v="781"/>
    <n v="3"/>
    <x v="0"/>
    <n v="32"/>
    <n v="3"/>
    <x v="0"/>
    <x v="0"/>
    <n v="4"/>
    <x v="0"/>
    <n v="6180"/>
    <n v="22807"/>
    <n v="1"/>
    <s v="Y"/>
    <x v="1"/>
    <n v="23"/>
    <n v="4"/>
    <n v="2"/>
    <n v="80"/>
    <n v="0"/>
    <n v="6"/>
    <n v="5"/>
    <n v="2"/>
    <n v="6"/>
    <n v="5"/>
    <n v="1"/>
    <n v="4"/>
    <x v="2"/>
    <x v="0"/>
    <x v="0"/>
    <n v="0"/>
  </r>
  <r>
    <x v="28"/>
    <x v="1"/>
    <x v="0"/>
    <n v="954"/>
    <x v="0"/>
    <n v="2"/>
    <n v="2"/>
    <s v="Technical Degree"/>
    <n v="1"/>
    <n v="783"/>
    <n v="2"/>
    <x v="1"/>
    <n v="46"/>
    <n v="1"/>
    <x v="0"/>
    <x v="6"/>
    <n v="3"/>
    <x v="0"/>
    <n v="6632"/>
    <n v="12388"/>
    <n v="0"/>
    <s v="Y"/>
    <x v="1"/>
    <n v="13"/>
    <n v="3"/>
    <n v="1"/>
    <n v="80"/>
    <n v="0"/>
    <n v="9"/>
    <n v="3"/>
    <n v="3"/>
    <n v="8"/>
    <n v="7"/>
    <n v="3"/>
    <n v="1"/>
    <x v="1"/>
    <x v="0"/>
    <x v="0"/>
    <n v="0"/>
  </r>
  <r>
    <x v="30"/>
    <x v="1"/>
    <x v="0"/>
    <n v="310"/>
    <x v="1"/>
    <n v="10"/>
    <n v="1"/>
    <s v="Medical"/>
    <n v="1"/>
    <n v="784"/>
    <n v="1"/>
    <x v="1"/>
    <n v="79"/>
    <n v="4"/>
    <x v="1"/>
    <x v="1"/>
    <n v="3"/>
    <x v="0"/>
    <n v="3505"/>
    <n v="19630"/>
    <n v="1"/>
    <s v="Y"/>
    <x v="1"/>
    <n v="18"/>
    <n v="3"/>
    <n v="4"/>
    <n v="80"/>
    <n v="0"/>
    <n v="2"/>
    <n v="3"/>
    <n v="3"/>
    <n v="2"/>
    <n v="2"/>
    <n v="0"/>
    <n v="2"/>
    <x v="4"/>
    <x v="1"/>
    <x v="2"/>
    <n v="0"/>
  </r>
  <r>
    <x v="40"/>
    <x v="0"/>
    <x v="1"/>
    <n v="719"/>
    <x v="0"/>
    <n v="27"/>
    <n v="2"/>
    <s v="Life Sciences"/>
    <n v="1"/>
    <n v="785"/>
    <n v="2"/>
    <x v="0"/>
    <n v="77"/>
    <n v="4"/>
    <x v="0"/>
    <x v="0"/>
    <n v="3"/>
    <x v="0"/>
    <n v="6397"/>
    <n v="10339"/>
    <n v="4"/>
    <s v="Y"/>
    <x v="0"/>
    <n v="12"/>
    <n v="3"/>
    <n v="4"/>
    <n v="80"/>
    <n v="0"/>
    <n v="8"/>
    <n v="2"/>
    <n v="3"/>
    <n v="5"/>
    <n v="4"/>
    <n v="1"/>
    <n v="3"/>
    <x v="1"/>
    <x v="2"/>
    <x v="0"/>
    <n v="1"/>
  </r>
  <r>
    <x v="13"/>
    <x v="1"/>
    <x v="0"/>
    <n v="304"/>
    <x v="0"/>
    <n v="2"/>
    <n v="3"/>
    <s v="Other"/>
    <n v="1"/>
    <n v="786"/>
    <n v="4"/>
    <x v="1"/>
    <n v="60"/>
    <n v="3"/>
    <x v="0"/>
    <x v="0"/>
    <n v="4"/>
    <x v="0"/>
    <n v="6274"/>
    <n v="18686"/>
    <n v="1"/>
    <s v="Y"/>
    <x v="1"/>
    <n v="22"/>
    <n v="4"/>
    <n v="3"/>
    <n v="80"/>
    <n v="0"/>
    <n v="6"/>
    <n v="5"/>
    <n v="3"/>
    <n v="6"/>
    <n v="5"/>
    <n v="1"/>
    <n v="4"/>
    <x v="2"/>
    <x v="0"/>
    <x v="0"/>
    <n v="0"/>
  </r>
  <r>
    <x v="27"/>
    <x v="0"/>
    <x v="0"/>
    <n v="725"/>
    <x v="1"/>
    <n v="2"/>
    <n v="3"/>
    <s v="Medical"/>
    <n v="1"/>
    <n v="787"/>
    <n v="4"/>
    <x v="1"/>
    <n v="78"/>
    <n v="3"/>
    <x v="4"/>
    <x v="5"/>
    <n v="1"/>
    <x v="1"/>
    <n v="19859"/>
    <n v="21199"/>
    <n v="5"/>
    <s v="Y"/>
    <x v="0"/>
    <n v="13"/>
    <n v="3"/>
    <n v="4"/>
    <n v="80"/>
    <n v="1"/>
    <n v="24"/>
    <n v="2"/>
    <n v="3"/>
    <n v="5"/>
    <n v="2"/>
    <n v="1"/>
    <n v="4"/>
    <x v="3"/>
    <x v="2"/>
    <x v="3"/>
    <n v="1"/>
  </r>
  <r>
    <x v="9"/>
    <x v="1"/>
    <x v="2"/>
    <n v="1434"/>
    <x v="0"/>
    <n v="8"/>
    <n v="4"/>
    <s v="Life Sciences"/>
    <n v="1"/>
    <n v="789"/>
    <n v="1"/>
    <x v="1"/>
    <n v="76"/>
    <n v="2"/>
    <x v="2"/>
    <x v="0"/>
    <n v="1"/>
    <x v="0"/>
    <n v="7587"/>
    <n v="14229"/>
    <n v="1"/>
    <s v="Y"/>
    <x v="1"/>
    <n v="15"/>
    <n v="3"/>
    <n v="2"/>
    <n v="80"/>
    <n v="0"/>
    <n v="10"/>
    <n v="1"/>
    <n v="3"/>
    <n v="10"/>
    <n v="7"/>
    <n v="0"/>
    <n v="9"/>
    <x v="0"/>
    <x v="0"/>
    <x v="0"/>
    <n v="0"/>
  </r>
  <r>
    <x v="39"/>
    <x v="1"/>
    <x v="2"/>
    <n v="715"/>
    <x v="1"/>
    <n v="19"/>
    <n v="4"/>
    <s v="Medical"/>
    <n v="1"/>
    <n v="791"/>
    <n v="4"/>
    <x v="1"/>
    <n v="41"/>
    <n v="3"/>
    <x v="1"/>
    <x v="1"/>
    <n v="4"/>
    <x v="1"/>
    <n v="4258"/>
    <n v="26589"/>
    <n v="0"/>
    <s v="Y"/>
    <x v="1"/>
    <n v="18"/>
    <n v="3"/>
    <n v="1"/>
    <n v="80"/>
    <n v="1"/>
    <n v="5"/>
    <n v="3"/>
    <n v="3"/>
    <n v="4"/>
    <n v="3"/>
    <n v="1"/>
    <n v="2"/>
    <x v="1"/>
    <x v="2"/>
    <x v="2"/>
    <n v="0"/>
  </r>
  <r>
    <x v="25"/>
    <x v="1"/>
    <x v="1"/>
    <n v="575"/>
    <x v="1"/>
    <n v="1"/>
    <n v="2"/>
    <s v="Life Sciences"/>
    <n v="1"/>
    <n v="792"/>
    <n v="1"/>
    <x v="0"/>
    <n v="71"/>
    <n v="1"/>
    <x v="1"/>
    <x v="2"/>
    <n v="4"/>
    <x v="2"/>
    <n v="4364"/>
    <n v="5288"/>
    <n v="3"/>
    <s v="Y"/>
    <x v="1"/>
    <n v="14"/>
    <n v="3"/>
    <n v="1"/>
    <n v="80"/>
    <n v="1"/>
    <n v="5"/>
    <n v="2"/>
    <n v="3"/>
    <n v="2"/>
    <n v="2"/>
    <n v="2"/>
    <n v="0"/>
    <x v="2"/>
    <x v="1"/>
    <x v="2"/>
    <n v="0"/>
  </r>
  <r>
    <x v="11"/>
    <x v="1"/>
    <x v="0"/>
    <n v="657"/>
    <x v="1"/>
    <n v="27"/>
    <n v="3"/>
    <s v="Medical"/>
    <n v="1"/>
    <n v="793"/>
    <n v="2"/>
    <x v="0"/>
    <n v="66"/>
    <n v="3"/>
    <x v="0"/>
    <x v="4"/>
    <n v="3"/>
    <x v="1"/>
    <n v="4335"/>
    <n v="25549"/>
    <n v="4"/>
    <s v="Y"/>
    <x v="1"/>
    <n v="12"/>
    <n v="3"/>
    <n v="1"/>
    <n v="80"/>
    <n v="1"/>
    <n v="11"/>
    <n v="3"/>
    <n v="2"/>
    <n v="8"/>
    <n v="7"/>
    <n v="1"/>
    <n v="1"/>
    <x v="2"/>
    <x v="0"/>
    <x v="2"/>
    <n v="0"/>
  </r>
  <r>
    <x v="25"/>
    <x v="0"/>
    <x v="0"/>
    <n v="1146"/>
    <x v="0"/>
    <n v="8"/>
    <n v="3"/>
    <s v="Technical Degree"/>
    <n v="1"/>
    <n v="796"/>
    <n v="4"/>
    <x v="1"/>
    <n v="38"/>
    <n v="2"/>
    <x v="0"/>
    <x v="0"/>
    <n v="1"/>
    <x v="0"/>
    <n v="5326"/>
    <n v="3064"/>
    <n v="6"/>
    <s v="Y"/>
    <x v="1"/>
    <n v="17"/>
    <n v="3"/>
    <n v="3"/>
    <n v="80"/>
    <n v="0"/>
    <n v="6"/>
    <n v="2"/>
    <n v="2"/>
    <n v="4"/>
    <n v="3"/>
    <n v="1"/>
    <n v="2"/>
    <x v="2"/>
    <x v="2"/>
    <x v="0"/>
    <n v="1"/>
  </r>
  <r>
    <x v="13"/>
    <x v="1"/>
    <x v="0"/>
    <n v="182"/>
    <x v="1"/>
    <n v="1"/>
    <n v="4"/>
    <s v="Life Sciences"/>
    <n v="1"/>
    <n v="797"/>
    <n v="2"/>
    <x v="0"/>
    <n v="72"/>
    <n v="4"/>
    <x v="1"/>
    <x v="1"/>
    <n v="4"/>
    <x v="0"/>
    <n v="3280"/>
    <n v="13551"/>
    <n v="2"/>
    <s v="Y"/>
    <x v="1"/>
    <n v="16"/>
    <n v="3"/>
    <n v="3"/>
    <n v="80"/>
    <n v="0"/>
    <n v="10"/>
    <n v="2"/>
    <n v="3"/>
    <n v="4"/>
    <n v="2"/>
    <n v="1"/>
    <n v="3"/>
    <x v="2"/>
    <x v="2"/>
    <x v="2"/>
    <n v="0"/>
  </r>
  <r>
    <x v="33"/>
    <x v="1"/>
    <x v="0"/>
    <n v="376"/>
    <x v="1"/>
    <n v="19"/>
    <n v="4"/>
    <s v="Medical"/>
    <n v="1"/>
    <n v="799"/>
    <n v="4"/>
    <x v="0"/>
    <n v="95"/>
    <n v="3"/>
    <x v="0"/>
    <x v="3"/>
    <n v="1"/>
    <x v="2"/>
    <n v="5485"/>
    <n v="22670"/>
    <n v="9"/>
    <s v="Y"/>
    <x v="0"/>
    <n v="11"/>
    <n v="3"/>
    <n v="2"/>
    <n v="80"/>
    <n v="2"/>
    <n v="9"/>
    <n v="4"/>
    <n v="3"/>
    <n v="5"/>
    <n v="3"/>
    <n v="1"/>
    <n v="4"/>
    <x v="1"/>
    <x v="2"/>
    <x v="0"/>
    <n v="0"/>
  </r>
  <r>
    <x v="4"/>
    <x v="1"/>
    <x v="1"/>
    <n v="829"/>
    <x v="0"/>
    <n v="8"/>
    <n v="1"/>
    <s v="Marketing"/>
    <n v="1"/>
    <n v="800"/>
    <n v="3"/>
    <x v="1"/>
    <n v="84"/>
    <n v="3"/>
    <x v="0"/>
    <x v="0"/>
    <n v="4"/>
    <x v="1"/>
    <n v="4342"/>
    <n v="24008"/>
    <n v="0"/>
    <s v="Y"/>
    <x v="1"/>
    <n v="19"/>
    <n v="3"/>
    <n v="2"/>
    <n v="80"/>
    <n v="1"/>
    <n v="5"/>
    <n v="3"/>
    <n v="3"/>
    <n v="4"/>
    <n v="2"/>
    <n v="1"/>
    <n v="1"/>
    <x v="2"/>
    <x v="2"/>
    <x v="2"/>
    <n v="0"/>
  </r>
  <r>
    <x v="2"/>
    <x v="1"/>
    <x v="0"/>
    <n v="571"/>
    <x v="1"/>
    <n v="10"/>
    <n v="1"/>
    <s v="Life Sciences"/>
    <n v="1"/>
    <n v="802"/>
    <n v="4"/>
    <x v="0"/>
    <n v="82"/>
    <n v="3"/>
    <x v="1"/>
    <x v="1"/>
    <n v="1"/>
    <x v="2"/>
    <n v="2782"/>
    <n v="19905"/>
    <n v="0"/>
    <s v="Y"/>
    <x v="0"/>
    <n v="13"/>
    <n v="3"/>
    <n v="2"/>
    <n v="80"/>
    <n v="2"/>
    <n v="6"/>
    <n v="3"/>
    <n v="2"/>
    <n v="5"/>
    <n v="3"/>
    <n v="4"/>
    <n v="3"/>
    <x v="0"/>
    <x v="2"/>
    <x v="1"/>
    <n v="0"/>
  </r>
  <r>
    <x v="8"/>
    <x v="1"/>
    <x v="1"/>
    <n v="240"/>
    <x v="1"/>
    <n v="2"/>
    <n v="4"/>
    <s v="Life Sciences"/>
    <n v="1"/>
    <n v="803"/>
    <n v="1"/>
    <x v="0"/>
    <n v="75"/>
    <n v="4"/>
    <x v="0"/>
    <x v="3"/>
    <n v="1"/>
    <x v="0"/>
    <n v="5980"/>
    <n v="26085"/>
    <n v="6"/>
    <s v="Y"/>
    <x v="0"/>
    <n v="12"/>
    <n v="3"/>
    <n v="4"/>
    <n v="80"/>
    <n v="0"/>
    <n v="17"/>
    <n v="2"/>
    <n v="3"/>
    <n v="15"/>
    <n v="7"/>
    <n v="4"/>
    <n v="12"/>
    <x v="0"/>
    <x v="3"/>
    <x v="0"/>
    <n v="0"/>
  </r>
  <r>
    <x v="13"/>
    <x v="1"/>
    <x v="0"/>
    <n v="121"/>
    <x v="1"/>
    <n v="2"/>
    <n v="4"/>
    <s v="Medical"/>
    <n v="1"/>
    <n v="804"/>
    <n v="3"/>
    <x v="0"/>
    <n v="86"/>
    <n v="2"/>
    <x v="1"/>
    <x v="1"/>
    <n v="1"/>
    <x v="0"/>
    <n v="4381"/>
    <n v="7530"/>
    <n v="1"/>
    <s v="Y"/>
    <x v="1"/>
    <n v="11"/>
    <n v="3"/>
    <n v="3"/>
    <n v="80"/>
    <n v="0"/>
    <n v="6"/>
    <n v="3"/>
    <n v="3"/>
    <n v="6"/>
    <n v="5"/>
    <n v="1"/>
    <n v="3"/>
    <x v="2"/>
    <x v="0"/>
    <x v="2"/>
    <n v="0"/>
  </r>
  <r>
    <x v="10"/>
    <x v="1"/>
    <x v="0"/>
    <n v="384"/>
    <x v="0"/>
    <n v="8"/>
    <n v="4"/>
    <s v="Life Sciences"/>
    <n v="1"/>
    <n v="805"/>
    <n v="1"/>
    <x v="0"/>
    <n v="72"/>
    <n v="3"/>
    <x v="1"/>
    <x v="6"/>
    <n v="4"/>
    <x v="1"/>
    <n v="2572"/>
    <n v="20317"/>
    <n v="1"/>
    <s v="Y"/>
    <x v="1"/>
    <n v="16"/>
    <n v="3"/>
    <n v="2"/>
    <n v="80"/>
    <n v="1"/>
    <n v="3"/>
    <n v="1"/>
    <n v="2"/>
    <n v="3"/>
    <n v="2"/>
    <n v="0"/>
    <n v="2"/>
    <x v="0"/>
    <x v="2"/>
    <x v="1"/>
    <n v="0"/>
  </r>
  <r>
    <x v="7"/>
    <x v="1"/>
    <x v="0"/>
    <n v="921"/>
    <x v="1"/>
    <n v="1"/>
    <n v="3"/>
    <s v="Life Sciences"/>
    <n v="1"/>
    <n v="806"/>
    <n v="4"/>
    <x v="1"/>
    <n v="38"/>
    <n v="1"/>
    <x v="1"/>
    <x v="2"/>
    <n v="3"/>
    <x v="1"/>
    <n v="3833"/>
    <n v="24375"/>
    <n v="3"/>
    <s v="Y"/>
    <x v="1"/>
    <n v="21"/>
    <n v="4"/>
    <n v="3"/>
    <n v="80"/>
    <n v="2"/>
    <n v="7"/>
    <n v="2"/>
    <n v="3"/>
    <n v="2"/>
    <n v="2"/>
    <n v="0"/>
    <n v="2"/>
    <x v="2"/>
    <x v="1"/>
    <x v="2"/>
    <n v="0"/>
  </r>
  <r>
    <x v="32"/>
    <x v="1"/>
    <x v="1"/>
    <n v="791"/>
    <x v="1"/>
    <n v="2"/>
    <n v="2"/>
    <s v="Medical"/>
    <n v="1"/>
    <n v="807"/>
    <n v="3"/>
    <x v="0"/>
    <n v="38"/>
    <n v="4"/>
    <x v="0"/>
    <x v="4"/>
    <n v="2"/>
    <x v="1"/>
    <n v="4244"/>
    <n v="9931"/>
    <n v="1"/>
    <s v="Y"/>
    <x v="1"/>
    <n v="24"/>
    <n v="4"/>
    <n v="4"/>
    <n v="80"/>
    <n v="1"/>
    <n v="8"/>
    <n v="2"/>
    <n v="3"/>
    <n v="8"/>
    <n v="7"/>
    <n v="3"/>
    <n v="7"/>
    <x v="0"/>
    <x v="0"/>
    <x v="2"/>
    <n v="0"/>
  </r>
  <r>
    <x v="13"/>
    <x v="1"/>
    <x v="0"/>
    <n v="1111"/>
    <x v="0"/>
    <n v="8"/>
    <n v="2"/>
    <s v="Life Sciences"/>
    <n v="1"/>
    <n v="808"/>
    <n v="3"/>
    <x v="0"/>
    <n v="93"/>
    <n v="3"/>
    <x v="0"/>
    <x v="0"/>
    <n v="1"/>
    <x v="1"/>
    <n v="6500"/>
    <n v="13305"/>
    <n v="5"/>
    <s v="Y"/>
    <x v="1"/>
    <n v="17"/>
    <n v="3"/>
    <n v="2"/>
    <n v="80"/>
    <n v="1"/>
    <n v="6"/>
    <n v="1"/>
    <n v="3"/>
    <n v="3"/>
    <n v="2"/>
    <n v="1"/>
    <n v="2"/>
    <x v="2"/>
    <x v="2"/>
    <x v="0"/>
    <n v="0"/>
  </r>
  <r>
    <x v="19"/>
    <x v="1"/>
    <x v="1"/>
    <n v="570"/>
    <x v="1"/>
    <n v="8"/>
    <n v="3"/>
    <s v="Life Sciences"/>
    <n v="1"/>
    <n v="809"/>
    <n v="2"/>
    <x v="1"/>
    <n v="66"/>
    <n v="3"/>
    <x v="4"/>
    <x v="5"/>
    <n v="4"/>
    <x v="2"/>
    <n v="18430"/>
    <n v="16225"/>
    <n v="1"/>
    <s v="Y"/>
    <x v="1"/>
    <n v="13"/>
    <n v="3"/>
    <n v="2"/>
    <n v="80"/>
    <n v="1"/>
    <n v="24"/>
    <n v="4"/>
    <n v="2"/>
    <n v="24"/>
    <n v="7"/>
    <n v="14"/>
    <n v="9"/>
    <x v="0"/>
    <x v="3"/>
    <x v="3"/>
    <n v="0"/>
  </r>
  <r>
    <x v="30"/>
    <x v="0"/>
    <x v="0"/>
    <n v="1243"/>
    <x v="1"/>
    <n v="6"/>
    <n v="3"/>
    <s v="Life Sciences"/>
    <n v="1"/>
    <n v="811"/>
    <n v="3"/>
    <x v="1"/>
    <n v="63"/>
    <n v="4"/>
    <x v="1"/>
    <x v="2"/>
    <n v="1"/>
    <x v="1"/>
    <n v="1601"/>
    <n v="3445"/>
    <n v="1"/>
    <s v="Y"/>
    <x v="0"/>
    <n v="21"/>
    <n v="4"/>
    <n v="3"/>
    <n v="80"/>
    <n v="2"/>
    <n v="1"/>
    <n v="2"/>
    <n v="3"/>
    <n v="0"/>
    <n v="0"/>
    <n v="0"/>
    <n v="0"/>
    <x v="4"/>
    <x v="1"/>
    <x v="1"/>
    <n v="1"/>
  </r>
  <r>
    <x v="17"/>
    <x v="1"/>
    <x v="2"/>
    <n v="1092"/>
    <x v="1"/>
    <n v="9"/>
    <n v="3"/>
    <s v="Life Sciences"/>
    <n v="1"/>
    <n v="812"/>
    <n v="3"/>
    <x v="1"/>
    <n v="60"/>
    <n v="2"/>
    <x v="1"/>
    <x v="2"/>
    <n v="2"/>
    <x v="2"/>
    <n v="2694"/>
    <n v="26551"/>
    <n v="1"/>
    <s v="Y"/>
    <x v="1"/>
    <n v="11"/>
    <n v="3"/>
    <n v="3"/>
    <n v="80"/>
    <n v="3"/>
    <n v="1"/>
    <n v="4"/>
    <n v="3"/>
    <n v="1"/>
    <n v="0"/>
    <n v="0"/>
    <n v="0"/>
    <x v="4"/>
    <x v="1"/>
    <x v="1"/>
    <n v="0"/>
  </r>
  <r>
    <x v="39"/>
    <x v="1"/>
    <x v="0"/>
    <n v="1325"/>
    <x v="1"/>
    <n v="11"/>
    <n v="4"/>
    <s v="Life Sciences"/>
    <n v="1"/>
    <n v="813"/>
    <n v="4"/>
    <x v="0"/>
    <n v="82"/>
    <n v="3"/>
    <x v="0"/>
    <x v="2"/>
    <n v="3"/>
    <x v="1"/>
    <n v="3149"/>
    <n v="21821"/>
    <n v="8"/>
    <s v="Y"/>
    <x v="1"/>
    <n v="20"/>
    <n v="4"/>
    <n v="2"/>
    <n v="80"/>
    <n v="1"/>
    <n v="9"/>
    <n v="3"/>
    <n v="3"/>
    <n v="5"/>
    <n v="2"/>
    <n v="1"/>
    <n v="4"/>
    <x v="1"/>
    <x v="2"/>
    <x v="2"/>
    <n v="0"/>
  </r>
  <r>
    <x v="24"/>
    <x v="1"/>
    <x v="0"/>
    <n v="691"/>
    <x v="1"/>
    <n v="2"/>
    <n v="3"/>
    <s v="Medical"/>
    <n v="1"/>
    <n v="815"/>
    <n v="3"/>
    <x v="1"/>
    <n v="64"/>
    <n v="3"/>
    <x v="3"/>
    <x v="7"/>
    <n v="3"/>
    <x v="1"/>
    <n v="17639"/>
    <n v="6881"/>
    <n v="5"/>
    <s v="Y"/>
    <x v="1"/>
    <n v="16"/>
    <n v="3"/>
    <n v="4"/>
    <n v="80"/>
    <n v="0"/>
    <n v="30"/>
    <n v="3"/>
    <n v="3"/>
    <n v="4"/>
    <n v="3"/>
    <n v="0"/>
    <n v="3"/>
    <x v="1"/>
    <x v="2"/>
    <x v="3"/>
    <n v="0"/>
  </r>
  <r>
    <x v="11"/>
    <x v="0"/>
    <x v="0"/>
    <n v="805"/>
    <x v="1"/>
    <n v="1"/>
    <n v="2"/>
    <s v="Life Sciences"/>
    <n v="1"/>
    <n v="816"/>
    <n v="2"/>
    <x v="0"/>
    <n v="36"/>
    <n v="2"/>
    <x v="1"/>
    <x v="2"/>
    <n v="1"/>
    <x v="1"/>
    <n v="2319"/>
    <n v="6689"/>
    <n v="1"/>
    <s v="Y"/>
    <x v="0"/>
    <n v="11"/>
    <n v="3"/>
    <n v="4"/>
    <n v="80"/>
    <n v="1"/>
    <n v="1"/>
    <n v="1"/>
    <n v="3"/>
    <n v="1"/>
    <n v="0"/>
    <n v="0"/>
    <n v="0"/>
    <x v="2"/>
    <x v="1"/>
    <x v="1"/>
    <n v="1"/>
  </r>
  <r>
    <x v="3"/>
    <x v="1"/>
    <x v="0"/>
    <n v="213"/>
    <x v="1"/>
    <n v="7"/>
    <n v="3"/>
    <s v="Medical"/>
    <n v="1"/>
    <n v="817"/>
    <n v="3"/>
    <x v="1"/>
    <n v="49"/>
    <n v="3"/>
    <x v="2"/>
    <x v="7"/>
    <n v="3"/>
    <x v="1"/>
    <n v="11691"/>
    <n v="25995"/>
    <n v="0"/>
    <s v="Y"/>
    <x v="1"/>
    <n v="11"/>
    <n v="3"/>
    <n v="4"/>
    <n v="80"/>
    <n v="0"/>
    <n v="14"/>
    <n v="3"/>
    <n v="4"/>
    <n v="13"/>
    <n v="9"/>
    <n v="3"/>
    <n v="7"/>
    <x v="2"/>
    <x v="3"/>
    <x v="3"/>
    <n v="0"/>
  </r>
  <r>
    <x v="3"/>
    <x v="0"/>
    <x v="0"/>
    <n v="118"/>
    <x v="0"/>
    <n v="16"/>
    <n v="3"/>
    <s v="Marketing"/>
    <n v="1"/>
    <n v="819"/>
    <n v="1"/>
    <x v="0"/>
    <n v="69"/>
    <n v="3"/>
    <x v="0"/>
    <x v="0"/>
    <n v="1"/>
    <x v="0"/>
    <n v="5324"/>
    <n v="26507"/>
    <n v="5"/>
    <s v="Y"/>
    <x v="1"/>
    <n v="15"/>
    <n v="3"/>
    <n v="3"/>
    <n v="80"/>
    <n v="0"/>
    <n v="6"/>
    <n v="3"/>
    <n v="3"/>
    <n v="3"/>
    <n v="2"/>
    <n v="0"/>
    <n v="2"/>
    <x v="2"/>
    <x v="2"/>
    <x v="0"/>
    <n v="1"/>
  </r>
  <r>
    <x v="40"/>
    <x v="1"/>
    <x v="0"/>
    <n v="202"/>
    <x v="1"/>
    <n v="2"/>
    <n v="2"/>
    <s v="Other"/>
    <n v="1"/>
    <n v="820"/>
    <n v="3"/>
    <x v="0"/>
    <n v="33"/>
    <n v="3"/>
    <x v="3"/>
    <x v="5"/>
    <n v="4"/>
    <x v="1"/>
    <n v="16752"/>
    <n v="12982"/>
    <n v="1"/>
    <s v="Y"/>
    <x v="0"/>
    <n v="11"/>
    <n v="3"/>
    <n v="3"/>
    <n v="80"/>
    <n v="1"/>
    <n v="26"/>
    <n v="3"/>
    <n v="2"/>
    <n v="26"/>
    <n v="14"/>
    <n v="3"/>
    <n v="0"/>
    <x v="1"/>
    <x v="3"/>
    <x v="3"/>
    <n v="0"/>
  </r>
  <r>
    <x v="9"/>
    <x v="1"/>
    <x v="0"/>
    <n v="676"/>
    <x v="1"/>
    <n v="1"/>
    <n v="3"/>
    <s v="Other"/>
    <n v="1"/>
    <n v="823"/>
    <n v="3"/>
    <x v="0"/>
    <n v="35"/>
    <n v="3"/>
    <x v="0"/>
    <x v="3"/>
    <n v="2"/>
    <x v="1"/>
    <n v="5228"/>
    <n v="23361"/>
    <n v="0"/>
    <s v="Y"/>
    <x v="1"/>
    <n v="15"/>
    <n v="3"/>
    <n v="1"/>
    <n v="80"/>
    <n v="1"/>
    <n v="10"/>
    <n v="2"/>
    <n v="3"/>
    <n v="9"/>
    <n v="7"/>
    <n v="0"/>
    <n v="5"/>
    <x v="0"/>
    <x v="0"/>
    <x v="0"/>
    <n v="0"/>
  </r>
  <r>
    <x v="11"/>
    <x v="1"/>
    <x v="0"/>
    <n v="1252"/>
    <x v="1"/>
    <n v="23"/>
    <n v="2"/>
    <s v="Life Sciences"/>
    <n v="1"/>
    <n v="824"/>
    <n v="3"/>
    <x v="1"/>
    <n v="81"/>
    <n v="4"/>
    <x v="1"/>
    <x v="1"/>
    <n v="3"/>
    <x v="1"/>
    <n v="2700"/>
    <n v="23779"/>
    <n v="1"/>
    <s v="Y"/>
    <x v="1"/>
    <n v="24"/>
    <n v="4"/>
    <n v="3"/>
    <n v="80"/>
    <n v="1"/>
    <n v="10"/>
    <n v="3"/>
    <n v="3"/>
    <n v="10"/>
    <n v="7"/>
    <n v="0"/>
    <n v="7"/>
    <x v="2"/>
    <x v="0"/>
    <x v="1"/>
    <n v="0"/>
  </r>
  <r>
    <x v="34"/>
    <x v="0"/>
    <x v="0"/>
    <n v="286"/>
    <x v="1"/>
    <n v="2"/>
    <n v="4"/>
    <s v="Life Sciences"/>
    <n v="1"/>
    <n v="825"/>
    <n v="4"/>
    <x v="1"/>
    <n v="31"/>
    <n v="3"/>
    <x v="4"/>
    <x v="7"/>
    <n v="2"/>
    <x v="0"/>
    <n v="19246"/>
    <n v="25761"/>
    <n v="7"/>
    <s v="Y"/>
    <x v="0"/>
    <n v="12"/>
    <n v="3"/>
    <n v="4"/>
    <n v="80"/>
    <n v="0"/>
    <n v="40"/>
    <n v="2"/>
    <n v="3"/>
    <n v="31"/>
    <n v="15"/>
    <n v="13"/>
    <n v="8"/>
    <x v="3"/>
    <x v="3"/>
    <x v="3"/>
    <n v="1"/>
  </r>
  <r>
    <x v="10"/>
    <x v="1"/>
    <x v="0"/>
    <n v="1258"/>
    <x v="1"/>
    <n v="1"/>
    <n v="4"/>
    <s v="Life Sciences"/>
    <n v="1"/>
    <n v="826"/>
    <n v="4"/>
    <x v="0"/>
    <n v="40"/>
    <n v="4"/>
    <x v="1"/>
    <x v="1"/>
    <n v="3"/>
    <x v="0"/>
    <n v="2506"/>
    <n v="13301"/>
    <n v="3"/>
    <s v="Y"/>
    <x v="1"/>
    <n v="13"/>
    <n v="3"/>
    <n v="3"/>
    <n v="80"/>
    <n v="0"/>
    <n v="7"/>
    <n v="0"/>
    <n v="3"/>
    <n v="2"/>
    <n v="2"/>
    <n v="2"/>
    <n v="2"/>
    <x v="0"/>
    <x v="1"/>
    <x v="1"/>
    <n v="0"/>
  </r>
  <r>
    <x v="19"/>
    <x v="1"/>
    <x v="0"/>
    <n v="932"/>
    <x v="1"/>
    <n v="1"/>
    <n v="2"/>
    <s v="Life Sciences"/>
    <n v="1"/>
    <n v="827"/>
    <n v="4"/>
    <x v="0"/>
    <n v="43"/>
    <n v="2"/>
    <x v="0"/>
    <x v="3"/>
    <n v="4"/>
    <x v="1"/>
    <n v="6062"/>
    <n v="4051"/>
    <n v="9"/>
    <s v="Y"/>
    <x v="0"/>
    <n v="13"/>
    <n v="3"/>
    <n v="4"/>
    <n v="80"/>
    <n v="1"/>
    <n v="8"/>
    <n v="4"/>
    <n v="3"/>
    <n v="4"/>
    <n v="3"/>
    <n v="0"/>
    <n v="2"/>
    <x v="0"/>
    <x v="2"/>
    <x v="0"/>
    <n v="0"/>
  </r>
  <r>
    <x v="14"/>
    <x v="0"/>
    <x v="0"/>
    <n v="890"/>
    <x v="1"/>
    <n v="2"/>
    <n v="4"/>
    <s v="Medical"/>
    <n v="1"/>
    <n v="828"/>
    <n v="3"/>
    <x v="1"/>
    <n v="46"/>
    <n v="3"/>
    <x v="1"/>
    <x v="1"/>
    <n v="3"/>
    <x v="0"/>
    <n v="4382"/>
    <n v="16374"/>
    <n v="6"/>
    <s v="Y"/>
    <x v="1"/>
    <n v="17"/>
    <n v="3"/>
    <n v="4"/>
    <n v="80"/>
    <n v="0"/>
    <n v="5"/>
    <n v="3"/>
    <n v="2"/>
    <n v="2"/>
    <n v="2"/>
    <n v="2"/>
    <n v="1"/>
    <x v="2"/>
    <x v="1"/>
    <x v="2"/>
    <n v="1"/>
  </r>
  <r>
    <x v="9"/>
    <x v="1"/>
    <x v="0"/>
    <n v="1041"/>
    <x v="2"/>
    <n v="13"/>
    <n v="3"/>
    <s v="Human Resources"/>
    <n v="1"/>
    <n v="829"/>
    <n v="3"/>
    <x v="1"/>
    <n v="36"/>
    <n v="3"/>
    <x v="1"/>
    <x v="8"/>
    <n v="2"/>
    <x v="1"/>
    <n v="2143"/>
    <n v="25527"/>
    <n v="4"/>
    <s v="Y"/>
    <x v="1"/>
    <n v="13"/>
    <n v="3"/>
    <n v="2"/>
    <n v="80"/>
    <n v="1"/>
    <n v="8"/>
    <n v="2"/>
    <n v="3"/>
    <n v="5"/>
    <n v="2"/>
    <n v="0"/>
    <n v="4"/>
    <x v="0"/>
    <x v="2"/>
    <x v="1"/>
    <n v="0"/>
  </r>
  <r>
    <x v="5"/>
    <x v="1"/>
    <x v="0"/>
    <n v="859"/>
    <x v="1"/>
    <n v="4"/>
    <n v="3"/>
    <s v="Life Sciences"/>
    <n v="1"/>
    <n v="830"/>
    <n v="3"/>
    <x v="0"/>
    <n v="98"/>
    <n v="2"/>
    <x v="0"/>
    <x v="3"/>
    <n v="3"/>
    <x v="1"/>
    <n v="6162"/>
    <n v="19124"/>
    <n v="1"/>
    <s v="Y"/>
    <x v="1"/>
    <n v="12"/>
    <n v="3"/>
    <n v="3"/>
    <n v="80"/>
    <n v="1"/>
    <n v="14"/>
    <n v="3"/>
    <n v="3"/>
    <n v="14"/>
    <n v="13"/>
    <n v="6"/>
    <n v="8"/>
    <x v="2"/>
    <x v="3"/>
    <x v="0"/>
    <n v="0"/>
  </r>
  <r>
    <x v="32"/>
    <x v="1"/>
    <x v="1"/>
    <n v="720"/>
    <x v="1"/>
    <n v="16"/>
    <n v="4"/>
    <s v="Medical"/>
    <n v="1"/>
    <n v="832"/>
    <n v="1"/>
    <x v="1"/>
    <n v="51"/>
    <n v="2"/>
    <x v="0"/>
    <x v="2"/>
    <n v="3"/>
    <x v="0"/>
    <n v="5094"/>
    <n v="11983"/>
    <n v="6"/>
    <s v="Y"/>
    <x v="1"/>
    <n v="14"/>
    <n v="3"/>
    <n v="4"/>
    <n v="80"/>
    <n v="0"/>
    <n v="10"/>
    <n v="6"/>
    <n v="3"/>
    <n v="1"/>
    <n v="0"/>
    <n v="0"/>
    <n v="0"/>
    <x v="0"/>
    <x v="1"/>
    <x v="0"/>
    <n v="0"/>
  </r>
  <r>
    <x v="7"/>
    <x v="1"/>
    <x v="0"/>
    <n v="946"/>
    <x v="1"/>
    <n v="2"/>
    <n v="3"/>
    <s v="Medical"/>
    <n v="1"/>
    <n v="833"/>
    <n v="3"/>
    <x v="0"/>
    <n v="52"/>
    <n v="2"/>
    <x v="0"/>
    <x v="3"/>
    <n v="4"/>
    <x v="0"/>
    <n v="6877"/>
    <n v="20234"/>
    <n v="5"/>
    <s v="Y"/>
    <x v="0"/>
    <n v="24"/>
    <n v="4"/>
    <n v="2"/>
    <n v="80"/>
    <n v="0"/>
    <n v="12"/>
    <n v="4"/>
    <n v="2"/>
    <n v="0"/>
    <n v="0"/>
    <n v="0"/>
    <n v="0"/>
    <x v="2"/>
    <x v="1"/>
    <x v="0"/>
    <n v="0"/>
  </r>
  <r>
    <x v="28"/>
    <x v="1"/>
    <x v="0"/>
    <n v="252"/>
    <x v="1"/>
    <n v="2"/>
    <n v="3"/>
    <s v="Life Sciences"/>
    <n v="1"/>
    <n v="834"/>
    <n v="2"/>
    <x v="0"/>
    <n v="95"/>
    <n v="2"/>
    <x v="1"/>
    <x v="1"/>
    <n v="3"/>
    <x v="0"/>
    <n v="2274"/>
    <n v="6153"/>
    <n v="1"/>
    <s v="Y"/>
    <x v="1"/>
    <n v="14"/>
    <n v="3"/>
    <n v="4"/>
    <n v="80"/>
    <n v="0"/>
    <n v="1"/>
    <n v="3"/>
    <n v="3"/>
    <n v="1"/>
    <n v="0"/>
    <n v="0"/>
    <n v="0"/>
    <x v="1"/>
    <x v="1"/>
    <x v="1"/>
    <n v="0"/>
  </r>
  <r>
    <x v="19"/>
    <x v="1"/>
    <x v="0"/>
    <n v="933"/>
    <x v="1"/>
    <n v="29"/>
    <n v="3"/>
    <s v="Life Sciences"/>
    <n v="1"/>
    <n v="836"/>
    <n v="2"/>
    <x v="1"/>
    <n v="98"/>
    <n v="3"/>
    <x v="0"/>
    <x v="3"/>
    <n v="2"/>
    <x v="1"/>
    <n v="4434"/>
    <n v="11806"/>
    <n v="1"/>
    <s v="Y"/>
    <x v="1"/>
    <n v="13"/>
    <n v="3"/>
    <n v="4"/>
    <n v="80"/>
    <n v="1"/>
    <n v="10"/>
    <n v="3"/>
    <n v="2"/>
    <n v="9"/>
    <n v="8"/>
    <n v="7"/>
    <n v="8"/>
    <x v="0"/>
    <x v="0"/>
    <x v="2"/>
    <n v="0"/>
  </r>
  <r>
    <x v="8"/>
    <x v="1"/>
    <x v="1"/>
    <n v="471"/>
    <x v="1"/>
    <n v="12"/>
    <n v="3"/>
    <s v="Life Sciences"/>
    <n v="1"/>
    <n v="837"/>
    <n v="1"/>
    <x v="1"/>
    <n v="45"/>
    <n v="2"/>
    <x v="0"/>
    <x v="4"/>
    <n v="1"/>
    <x v="2"/>
    <n v="6288"/>
    <n v="4284"/>
    <n v="2"/>
    <s v="Y"/>
    <x v="1"/>
    <n v="15"/>
    <n v="3"/>
    <n v="3"/>
    <n v="80"/>
    <n v="1"/>
    <n v="13"/>
    <n v="3"/>
    <n v="2"/>
    <n v="4"/>
    <n v="3"/>
    <n v="1"/>
    <n v="2"/>
    <x v="0"/>
    <x v="2"/>
    <x v="0"/>
    <n v="0"/>
  </r>
  <r>
    <x v="13"/>
    <x v="1"/>
    <x v="1"/>
    <n v="702"/>
    <x v="1"/>
    <n v="16"/>
    <n v="4"/>
    <s v="Life Sciences"/>
    <n v="1"/>
    <n v="838"/>
    <n v="3"/>
    <x v="0"/>
    <n v="100"/>
    <n v="2"/>
    <x v="1"/>
    <x v="1"/>
    <n v="4"/>
    <x v="0"/>
    <n v="2553"/>
    <n v="8306"/>
    <n v="1"/>
    <s v="Y"/>
    <x v="1"/>
    <n v="16"/>
    <n v="3"/>
    <n v="3"/>
    <n v="80"/>
    <n v="0"/>
    <n v="6"/>
    <n v="3"/>
    <n v="3"/>
    <n v="5"/>
    <n v="2"/>
    <n v="1"/>
    <n v="3"/>
    <x v="2"/>
    <x v="2"/>
    <x v="1"/>
    <n v="0"/>
  </r>
  <r>
    <x v="1"/>
    <x v="0"/>
    <x v="0"/>
    <n v="1184"/>
    <x v="0"/>
    <n v="11"/>
    <n v="3"/>
    <s v="Marketing"/>
    <n v="1"/>
    <n v="840"/>
    <n v="3"/>
    <x v="0"/>
    <n v="43"/>
    <n v="3"/>
    <x v="2"/>
    <x v="0"/>
    <n v="4"/>
    <x v="1"/>
    <n v="7654"/>
    <n v="5860"/>
    <n v="1"/>
    <s v="Y"/>
    <x v="1"/>
    <n v="18"/>
    <n v="3"/>
    <n v="1"/>
    <n v="80"/>
    <n v="2"/>
    <n v="9"/>
    <n v="3"/>
    <n v="4"/>
    <n v="9"/>
    <n v="8"/>
    <n v="7"/>
    <n v="7"/>
    <x v="1"/>
    <x v="0"/>
    <x v="0"/>
    <n v="1"/>
  </r>
  <r>
    <x v="27"/>
    <x v="0"/>
    <x v="0"/>
    <n v="436"/>
    <x v="0"/>
    <n v="2"/>
    <n v="1"/>
    <s v="Medical"/>
    <n v="1"/>
    <n v="842"/>
    <n v="3"/>
    <x v="1"/>
    <n v="37"/>
    <n v="3"/>
    <x v="0"/>
    <x v="0"/>
    <n v="4"/>
    <x v="0"/>
    <n v="5160"/>
    <n v="21519"/>
    <n v="4"/>
    <s v="Y"/>
    <x v="1"/>
    <n v="16"/>
    <n v="3"/>
    <n v="3"/>
    <n v="80"/>
    <n v="0"/>
    <n v="12"/>
    <n v="3"/>
    <n v="2"/>
    <n v="9"/>
    <n v="7"/>
    <n v="7"/>
    <n v="3"/>
    <x v="3"/>
    <x v="0"/>
    <x v="0"/>
    <n v="1"/>
  </r>
  <r>
    <x v="23"/>
    <x v="1"/>
    <x v="0"/>
    <n v="589"/>
    <x v="1"/>
    <n v="14"/>
    <n v="2"/>
    <s v="Life Sciences"/>
    <n v="1"/>
    <n v="843"/>
    <n v="2"/>
    <x v="1"/>
    <n v="94"/>
    <n v="3"/>
    <x v="3"/>
    <x v="7"/>
    <n v="1"/>
    <x v="1"/>
    <n v="17159"/>
    <n v="5200"/>
    <n v="6"/>
    <s v="Y"/>
    <x v="1"/>
    <n v="24"/>
    <n v="4"/>
    <n v="3"/>
    <n v="80"/>
    <n v="1"/>
    <n v="22"/>
    <n v="3"/>
    <n v="3"/>
    <n v="4"/>
    <n v="1"/>
    <n v="1"/>
    <n v="0"/>
    <x v="0"/>
    <x v="2"/>
    <x v="3"/>
    <n v="0"/>
  </r>
  <r>
    <x v="4"/>
    <x v="1"/>
    <x v="0"/>
    <n v="269"/>
    <x v="1"/>
    <n v="5"/>
    <n v="1"/>
    <s v="Technical Degree"/>
    <n v="1"/>
    <n v="844"/>
    <n v="3"/>
    <x v="1"/>
    <n v="42"/>
    <n v="2"/>
    <x v="2"/>
    <x v="7"/>
    <n v="4"/>
    <x v="2"/>
    <n v="12808"/>
    <n v="8842"/>
    <n v="1"/>
    <s v="Y"/>
    <x v="0"/>
    <n v="16"/>
    <n v="3"/>
    <n v="2"/>
    <n v="80"/>
    <n v="1"/>
    <n v="9"/>
    <n v="3"/>
    <n v="3"/>
    <n v="9"/>
    <n v="8"/>
    <n v="0"/>
    <n v="8"/>
    <x v="2"/>
    <x v="0"/>
    <x v="3"/>
    <n v="0"/>
  </r>
  <r>
    <x v="10"/>
    <x v="1"/>
    <x v="0"/>
    <n v="950"/>
    <x v="1"/>
    <n v="7"/>
    <n v="3"/>
    <s v="Other"/>
    <n v="1"/>
    <n v="845"/>
    <n v="3"/>
    <x v="1"/>
    <n v="59"/>
    <n v="3"/>
    <x v="2"/>
    <x v="3"/>
    <n v="3"/>
    <x v="0"/>
    <n v="10221"/>
    <n v="18869"/>
    <n v="3"/>
    <s v="Y"/>
    <x v="1"/>
    <n v="21"/>
    <n v="4"/>
    <n v="2"/>
    <n v="80"/>
    <n v="0"/>
    <n v="17"/>
    <n v="3"/>
    <n v="4"/>
    <n v="8"/>
    <n v="5"/>
    <n v="1"/>
    <n v="6"/>
    <x v="0"/>
    <x v="0"/>
    <x v="3"/>
    <n v="0"/>
  </r>
  <r>
    <x v="14"/>
    <x v="1"/>
    <x v="0"/>
    <n v="760"/>
    <x v="0"/>
    <n v="2"/>
    <n v="4"/>
    <s v="Marketing"/>
    <n v="1"/>
    <n v="846"/>
    <n v="2"/>
    <x v="0"/>
    <n v="81"/>
    <n v="3"/>
    <x v="0"/>
    <x v="0"/>
    <n v="2"/>
    <x v="1"/>
    <n v="4779"/>
    <n v="3698"/>
    <n v="1"/>
    <s v="Y"/>
    <x v="0"/>
    <n v="20"/>
    <n v="4"/>
    <n v="1"/>
    <n v="80"/>
    <n v="0"/>
    <n v="8"/>
    <n v="2"/>
    <n v="3"/>
    <n v="8"/>
    <n v="7"/>
    <n v="7"/>
    <n v="5"/>
    <x v="2"/>
    <x v="0"/>
    <x v="2"/>
    <n v="0"/>
  </r>
  <r>
    <x v="13"/>
    <x v="1"/>
    <x v="0"/>
    <n v="829"/>
    <x v="2"/>
    <n v="3"/>
    <n v="2"/>
    <s v="Human Resources"/>
    <n v="1"/>
    <n v="847"/>
    <n v="3"/>
    <x v="1"/>
    <n v="88"/>
    <n v="3"/>
    <x v="1"/>
    <x v="8"/>
    <n v="4"/>
    <x v="1"/>
    <n v="3737"/>
    <n v="2243"/>
    <n v="0"/>
    <s v="Y"/>
    <x v="1"/>
    <n v="19"/>
    <n v="3"/>
    <n v="3"/>
    <n v="80"/>
    <n v="1"/>
    <n v="4"/>
    <n v="1"/>
    <n v="1"/>
    <n v="3"/>
    <n v="2"/>
    <n v="0"/>
    <n v="2"/>
    <x v="2"/>
    <x v="2"/>
    <x v="2"/>
    <n v="0"/>
  </r>
  <r>
    <x v="25"/>
    <x v="0"/>
    <x v="1"/>
    <n v="887"/>
    <x v="1"/>
    <n v="5"/>
    <n v="2"/>
    <s v="Medical"/>
    <n v="1"/>
    <n v="848"/>
    <n v="3"/>
    <x v="0"/>
    <n v="88"/>
    <n v="2"/>
    <x v="1"/>
    <x v="1"/>
    <n v="3"/>
    <x v="1"/>
    <n v="2366"/>
    <n v="20898"/>
    <n v="1"/>
    <s v="Y"/>
    <x v="0"/>
    <n v="14"/>
    <n v="3"/>
    <n v="1"/>
    <n v="80"/>
    <n v="1"/>
    <n v="8"/>
    <n v="2"/>
    <n v="3"/>
    <n v="8"/>
    <n v="7"/>
    <n v="1"/>
    <n v="7"/>
    <x v="2"/>
    <x v="0"/>
    <x v="1"/>
    <n v="1"/>
  </r>
  <r>
    <x v="4"/>
    <x v="1"/>
    <x v="2"/>
    <n v="443"/>
    <x v="1"/>
    <n v="3"/>
    <n v="3"/>
    <s v="Medical"/>
    <n v="1"/>
    <n v="850"/>
    <n v="4"/>
    <x v="1"/>
    <n v="50"/>
    <n v="3"/>
    <x v="1"/>
    <x v="1"/>
    <n v="4"/>
    <x v="1"/>
    <n v="1706"/>
    <n v="16571"/>
    <n v="1"/>
    <s v="Y"/>
    <x v="1"/>
    <n v="11"/>
    <n v="3"/>
    <n v="3"/>
    <n v="80"/>
    <n v="3"/>
    <n v="0"/>
    <n v="6"/>
    <n v="2"/>
    <n v="0"/>
    <n v="0"/>
    <n v="0"/>
    <n v="0"/>
    <x v="2"/>
    <x v="1"/>
    <x v="1"/>
    <n v="0"/>
  </r>
  <r>
    <x v="31"/>
    <x v="1"/>
    <x v="0"/>
    <n v="1318"/>
    <x v="0"/>
    <n v="26"/>
    <n v="4"/>
    <s v="Marketing"/>
    <n v="1"/>
    <n v="851"/>
    <n v="1"/>
    <x v="0"/>
    <n v="66"/>
    <n v="3"/>
    <x v="3"/>
    <x v="5"/>
    <n v="3"/>
    <x v="1"/>
    <n v="16307"/>
    <n v="5594"/>
    <n v="2"/>
    <s v="Y"/>
    <x v="1"/>
    <n v="14"/>
    <n v="3"/>
    <n v="3"/>
    <n v="80"/>
    <n v="1"/>
    <n v="29"/>
    <n v="2"/>
    <n v="2"/>
    <n v="20"/>
    <n v="6"/>
    <n v="4"/>
    <n v="17"/>
    <x v="1"/>
    <x v="3"/>
    <x v="3"/>
    <n v="0"/>
  </r>
  <r>
    <x v="20"/>
    <x v="1"/>
    <x v="0"/>
    <n v="625"/>
    <x v="1"/>
    <n v="4"/>
    <n v="3"/>
    <s v="Medical"/>
    <n v="1"/>
    <n v="852"/>
    <n v="4"/>
    <x v="1"/>
    <n v="50"/>
    <n v="3"/>
    <x v="0"/>
    <x v="4"/>
    <n v="2"/>
    <x v="0"/>
    <n v="5933"/>
    <n v="5197"/>
    <n v="9"/>
    <s v="Y"/>
    <x v="1"/>
    <n v="12"/>
    <n v="3"/>
    <n v="4"/>
    <n v="80"/>
    <n v="0"/>
    <n v="10"/>
    <n v="2"/>
    <n v="2"/>
    <n v="5"/>
    <n v="2"/>
    <n v="2"/>
    <n v="3"/>
    <x v="0"/>
    <x v="2"/>
    <x v="0"/>
    <n v="0"/>
  </r>
  <r>
    <x v="36"/>
    <x v="1"/>
    <x v="0"/>
    <n v="180"/>
    <x v="1"/>
    <n v="2"/>
    <n v="1"/>
    <s v="Medical"/>
    <n v="1"/>
    <n v="854"/>
    <n v="1"/>
    <x v="1"/>
    <n v="65"/>
    <n v="4"/>
    <x v="1"/>
    <x v="1"/>
    <n v="1"/>
    <x v="0"/>
    <n v="3424"/>
    <n v="21632"/>
    <n v="7"/>
    <s v="Y"/>
    <x v="1"/>
    <n v="13"/>
    <n v="3"/>
    <n v="3"/>
    <n v="80"/>
    <n v="0"/>
    <n v="6"/>
    <n v="3"/>
    <n v="2"/>
    <n v="4"/>
    <n v="3"/>
    <n v="0"/>
    <n v="1"/>
    <x v="2"/>
    <x v="2"/>
    <x v="2"/>
    <n v="0"/>
  </r>
  <r>
    <x v="3"/>
    <x v="1"/>
    <x v="0"/>
    <n v="586"/>
    <x v="0"/>
    <n v="1"/>
    <n v="3"/>
    <s v="Medical"/>
    <n v="1"/>
    <n v="855"/>
    <n v="1"/>
    <x v="1"/>
    <n v="48"/>
    <n v="4"/>
    <x v="0"/>
    <x v="0"/>
    <n v="1"/>
    <x v="2"/>
    <n v="4037"/>
    <n v="21816"/>
    <n v="1"/>
    <s v="Y"/>
    <x v="1"/>
    <n v="22"/>
    <n v="4"/>
    <n v="1"/>
    <n v="80"/>
    <n v="1"/>
    <n v="9"/>
    <n v="5"/>
    <n v="3"/>
    <n v="9"/>
    <n v="8"/>
    <n v="0"/>
    <n v="8"/>
    <x v="2"/>
    <x v="0"/>
    <x v="2"/>
    <n v="0"/>
  </r>
  <r>
    <x v="10"/>
    <x v="1"/>
    <x v="0"/>
    <n v="1343"/>
    <x v="1"/>
    <n v="27"/>
    <n v="1"/>
    <s v="Medical"/>
    <n v="1"/>
    <n v="856"/>
    <n v="3"/>
    <x v="0"/>
    <n v="53"/>
    <n v="2"/>
    <x v="1"/>
    <x v="1"/>
    <n v="1"/>
    <x v="0"/>
    <n v="2559"/>
    <n v="17852"/>
    <n v="1"/>
    <s v="Y"/>
    <x v="1"/>
    <n v="11"/>
    <n v="3"/>
    <n v="4"/>
    <n v="80"/>
    <n v="0"/>
    <n v="6"/>
    <n v="3"/>
    <n v="2"/>
    <n v="6"/>
    <n v="5"/>
    <n v="1"/>
    <n v="1"/>
    <x v="0"/>
    <x v="0"/>
    <x v="1"/>
    <n v="0"/>
  </r>
  <r>
    <x v="9"/>
    <x v="1"/>
    <x v="0"/>
    <n v="928"/>
    <x v="0"/>
    <n v="1"/>
    <n v="2"/>
    <s v="Life Sciences"/>
    <n v="1"/>
    <n v="857"/>
    <n v="2"/>
    <x v="1"/>
    <n v="56"/>
    <n v="3"/>
    <x v="0"/>
    <x v="0"/>
    <n v="4"/>
    <x v="1"/>
    <n v="6201"/>
    <n v="2823"/>
    <n v="1"/>
    <s v="Y"/>
    <x v="0"/>
    <n v="14"/>
    <n v="3"/>
    <n v="4"/>
    <n v="80"/>
    <n v="1"/>
    <n v="18"/>
    <n v="1"/>
    <n v="2"/>
    <n v="18"/>
    <n v="14"/>
    <n v="4"/>
    <n v="11"/>
    <x v="0"/>
    <x v="3"/>
    <x v="0"/>
    <n v="0"/>
  </r>
  <r>
    <x v="5"/>
    <x v="1"/>
    <x v="0"/>
    <n v="117"/>
    <x v="0"/>
    <n v="13"/>
    <n v="4"/>
    <s v="Life Sciences"/>
    <n v="1"/>
    <n v="859"/>
    <n v="2"/>
    <x v="1"/>
    <n v="73"/>
    <n v="3"/>
    <x v="0"/>
    <x v="0"/>
    <n v="4"/>
    <x v="2"/>
    <n v="4403"/>
    <n v="9250"/>
    <n v="2"/>
    <s v="Y"/>
    <x v="1"/>
    <n v="11"/>
    <n v="3"/>
    <n v="3"/>
    <n v="80"/>
    <n v="1"/>
    <n v="8"/>
    <n v="3"/>
    <n v="2"/>
    <n v="5"/>
    <n v="2"/>
    <n v="0"/>
    <n v="3"/>
    <x v="2"/>
    <x v="2"/>
    <x v="2"/>
    <n v="0"/>
  </r>
  <r>
    <x v="7"/>
    <x v="1"/>
    <x v="1"/>
    <n v="1012"/>
    <x v="1"/>
    <n v="5"/>
    <n v="4"/>
    <s v="Life Sciences"/>
    <n v="1"/>
    <n v="861"/>
    <n v="2"/>
    <x v="1"/>
    <n v="75"/>
    <n v="2"/>
    <x v="1"/>
    <x v="1"/>
    <n v="4"/>
    <x v="2"/>
    <n v="3761"/>
    <n v="2373"/>
    <n v="9"/>
    <s v="Y"/>
    <x v="1"/>
    <n v="12"/>
    <n v="3"/>
    <n v="2"/>
    <n v="80"/>
    <n v="1"/>
    <n v="10"/>
    <n v="3"/>
    <n v="2"/>
    <n v="5"/>
    <n v="4"/>
    <n v="0"/>
    <n v="3"/>
    <x v="2"/>
    <x v="2"/>
    <x v="2"/>
    <n v="0"/>
  </r>
  <r>
    <x v="16"/>
    <x v="1"/>
    <x v="0"/>
    <n v="661"/>
    <x v="0"/>
    <n v="7"/>
    <n v="2"/>
    <s v="Marketing"/>
    <n v="1"/>
    <n v="862"/>
    <n v="1"/>
    <x v="0"/>
    <n v="78"/>
    <n v="2"/>
    <x v="2"/>
    <x v="0"/>
    <n v="4"/>
    <x v="1"/>
    <n v="10934"/>
    <n v="20715"/>
    <n v="7"/>
    <s v="Y"/>
    <x v="0"/>
    <n v="18"/>
    <n v="3"/>
    <n v="4"/>
    <n v="80"/>
    <n v="1"/>
    <n v="35"/>
    <n v="3"/>
    <n v="3"/>
    <n v="5"/>
    <n v="2"/>
    <n v="0"/>
    <n v="4"/>
    <x v="1"/>
    <x v="2"/>
    <x v="3"/>
    <n v="0"/>
  </r>
  <r>
    <x v="28"/>
    <x v="1"/>
    <x v="0"/>
    <n v="930"/>
    <x v="0"/>
    <n v="9"/>
    <n v="3"/>
    <s v="Marketing"/>
    <n v="1"/>
    <n v="864"/>
    <n v="4"/>
    <x v="1"/>
    <n v="74"/>
    <n v="3"/>
    <x v="2"/>
    <x v="0"/>
    <n v="1"/>
    <x v="2"/>
    <n v="10761"/>
    <n v="19239"/>
    <n v="4"/>
    <s v="Y"/>
    <x v="0"/>
    <n v="12"/>
    <n v="3"/>
    <n v="3"/>
    <n v="80"/>
    <n v="1"/>
    <n v="18"/>
    <n v="2"/>
    <n v="3"/>
    <n v="5"/>
    <n v="4"/>
    <n v="0"/>
    <n v="2"/>
    <x v="1"/>
    <x v="2"/>
    <x v="3"/>
    <n v="0"/>
  </r>
  <r>
    <x v="5"/>
    <x v="1"/>
    <x v="0"/>
    <n v="638"/>
    <x v="1"/>
    <n v="8"/>
    <n v="2"/>
    <s v="Medical"/>
    <n v="1"/>
    <n v="865"/>
    <n v="3"/>
    <x v="0"/>
    <n v="91"/>
    <n v="4"/>
    <x v="0"/>
    <x v="1"/>
    <n v="3"/>
    <x v="1"/>
    <n v="5175"/>
    <n v="22162"/>
    <n v="5"/>
    <s v="Y"/>
    <x v="1"/>
    <n v="12"/>
    <n v="3"/>
    <n v="3"/>
    <n v="80"/>
    <n v="1"/>
    <n v="9"/>
    <n v="3"/>
    <n v="2"/>
    <n v="5"/>
    <n v="3"/>
    <n v="1"/>
    <n v="3"/>
    <x v="2"/>
    <x v="2"/>
    <x v="0"/>
    <n v="0"/>
  </r>
  <r>
    <x v="39"/>
    <x v="1"/>
    <x v="1"/>
    <n v="890"/>
    <x v="1"/>
    <n v="25"/>
    <n v="4"/>
    <s v="Medical"/>
    <n v="1"/>
    <n v="867"/>
    <n v="3"/>
    <x v="0"/>
    <n v="81"/>
    <n v="2"/>
    <x v="3"/>
    <x v="3"/>
    <n v="4"/>
    <x v="1"/>
    <n v="13826"/>
    <n v="19028"/>
    <n v="3"/>
    <s v="Y"/>
    <x v="1"/>
    <n v="22"/>
    <n v="4"/>
    <n v="3"/>
    <n v="80"/>
    <n v="0"/>
    <n v="31"/>
    <n v="3"/>
    <n v="3"/>
    <n v="9"/>
    <n v="8"/>
    <n v="0"/>
    <n v="0"/>
    <x v="1"/>
    <x v="0"/>
    <x v="3"/>
    <n v="0"/>
  </r>
  <r>
    <x v="2"/>
    <x v="1"/>
    <x v="0"/>
    <n v="342"/>
    <x v="0"/>
    <n v="16"/>
    <n v="4"/>
    <s v="Marketing"/>
    <n v="1"/>
    <n v="868"/>
    <n v="4"/>
    <x v="1"/>
    <n v="66"/>
    <n v="2"/>
    <x v="0"/>
    <x v="0"/>
    <n v="3"/>
    <x v="2"/>
    <n v="6334"/>
    <n v="24558"/>
    <n v="4"/>
    <s v="Y"/>
    <x v="1"/>
    <n v="19"/>
    <n v="3"/>
    <n v="4"/>
    <n v="80"/>
    <n v="2"/>
    <n v="9"/>
    <n v="2"/>
    <n v="3"/>
    <n v="1"/>
    <n v="0"/>
    <n v="0"/>
    <n v="0"/>
    <x v="0"/>
    <x v="1"/>
    <x v="0"/>
    <n v="0"/>
  </r>
  <r>
    <x v="14"/>
    <x v="1"/>
    <x v="0"/>
    <n v="1169"/>
    <x v="2"/>
    <n v="8"/>
    <n v="2"/>
    <s v="Medical"/>
    <n v="1"/>
    <n v="869"/>
    <n v="2"/>
    <x v="1"/>
    <n v="63"/>
    <n v="2"/>
    <x v="1"/>
    <x v="8"/>
    <n v="4"/>
    <x v="2"/>
    <n v="4936"/>
    <n v="23965"/>
    <n v="1"/>
    <s v="Y"/>
    <x v="1"/>
    <n v="13"/>
    <n v="3"/>
    <n v="4"/>
    <n v="80"/>
    <n v="1"/>
    <n v="6"/>
    <n v="6"/>
    <n v="3"/>
    <n v="5"/>
    <n v="1"/>
    <n v="0"/>
    <n v="4"/>
    <x v="2"/>
    <x v="2"/>
    <x v="2"/>
    <n v="0"/>
  </r>
  <r>
    <x v="15"/>
    <x v="1"/>
    <x v="0"/>
    <n v="1230"/>
    <x v="1"/>
    <n v="1"/>
    <n v="2"/>
    <s v="Life Sciences"/>
    <n v="1"/>
    <n v="872"/>
    <n v="4"/>
    <x v="1"/>
    <n v="33"/>
    <n v="2"/>
    <x v="0"/>
    <x v="3"/>
    <n v="4"/>
    <x v="1"/>
    <n v="4775"/>
    <n v="19146"/>
    <n v="6"/>
    <s v="Y"/>
    <x v="1"/>
    <n v="22"/>
    <n v="4"/>
    <n v="1"/>
    <n v="80"/>
    <n v="2"/>
    <n v="4"/>
    <n v="2"/>
    <n v="1"/>
    <n v="2"/>
    <n v="2"/>
    <n v="2"/>
    <n v="2"/>
    <x v="4"/>
    <x v="1"/>
    <x v="2"/>
    <n v="0"/>
  </r>
  <r>
    <x v="20"/>
    <x v="1"/>
    <x v="0"/>
    <n v="986"/>
    <x v="1"/>
    <n v="8"/>
    <n v="4"/>
    <s v="Life Sciences"/>
    <n v="1"/>
    <n v="874"/>
    <n v="1"/>
    <x v="1"/>
    <n v="62"/>
    <n v="4"/>
    <x v="1"/>
    <x v="2"/>
    <n v="4"/>
    <x v="1"/>
    <n v="2818"/>
    <n v="5044"/>
    <n v="2"/>
    <s v="Y"/>
    <x v="0"/>
    <n v="24"/>
    <n v="4"/>
    <n v="3"/>
    <n v="80"/>
    <n v="1"/>
    <n v="10"/>
    <n v="2"/>
    <n v="2"/>
    <n v="3"/>
    <n v="2"/>
    <n v="0"/>
    <n v="2"/>
    <x v="0"/>
    <x v="2"/>
    <x v="1"/>
    <n v="0"/>
  </r>
  <r>
    <x v="19"/>
    <x v="1"/>
    <x v="1"/>
    <n v="1271"/>
    <x v="1"/>
    <n v="2"/>
    <n v="1"/>
    <s v="Medical"/>
    <n v="1"/>
    <n v="875"/>
    <n v="2"/>
    <x v="1"/>
    <n v="35"/>
    <n v="3"/>
    <x v="1"/>
    <x v="1"/>
    <n v="4"/>
    <x v="0"/>
    <n v="2515"/>
    <n v="9068"/>
    <n v="5"/>
    <s v="Y"/>
    <x v="0"/>
    <n v="14"/>
    <n v="3"/>
    <n v="4"/>
    <n v="80"/>
    <n v="0"/>
    <n v="8"/>
    <n v="2"/>
    <n v="3"/>
    <n v="2"/>
    <n v="1"/>
    <n v="2"/>
    <n v="2"/>
    <x v="0"/>
    <x v="1"/>
    <x v="1"/>
    <n v="0"/>
  </r>
  <r>
    <x v="9"/>
    <x v="1"/>
    <x v="0"/>
    <n v="1278"/>
    <x v="2"/>
    <n v="8"/>
    <n v="3"/>
    <s v="Life Sciences"/>
    <n v="1"/>
    <n v="878"/>
    <n v="1"/>
    <x v="1"/>
    <n v="77"/>
    <n v="2"/>
    <x v="1"/>
    <x v="8"/>
    <n v="1"/>
    <x v="1"/>
    <n v="2342"/>
    <n v="8635"/>
    <n v="0"/>
    <s v="Y"/>
    <x v="1"/>
    <n v="21"/>
    <n v="4"/>
    <n v="3"/>
    <n v="80"/>
    <n v="0"/>
    <n v="6"/>
    <n v="3"/>
    <n v="3"/>
    <n v="5"/>
    <n v="4"/>
    <n v="0"/>
    <n v="3"/>
    <x v="0"/>
    <x v="2"/>
    <x v="1"/>
    <n v="0"/>
  </r>
  <r>
    <x v="36"/>
    <x v="1"/>
    <x v="0"/>
    <n v="141"/>
    <x v="0"/>
    <n v="3"/>
    <n v="1"/>
    <s v="Other"/>
    <n v="1"/>
    <n v="879"/>
    <n v="3"/>
    <x v="1"/>
    <n v="98"/>
    <n v="3"/>
    <x v="0"/>
    <x v="0"/>
    <n v="1"/>
    <x v="1"/>
    <n v="4194"/>
    <n v="14363"/>
    <n v="1"/>
    <s v="Y"/>
    <x v="0"/>
    <n v="18"/>
    <n v="3"/>
    <n v="4"/>
    <n v="80"/>
    <n v="0"/>
    <n v="5"/>
    <n v="3"/>
    <n v="3"/>
    <n v="5"/>
    <n v="3"/>
    <n v="0"/>
    <n v="3"/>
    <x v="2"/>
    <x v="2"/>
    <x v="2"/>
    <n v="0"/>
  </r>
  <r>
    <x v="10"/>
    <x v="1"/>
    <x v="0"/>
    <n v="607"/>
    <x v="1"/>
    <n v="9"/>
    <n v="3"/>
    <s v="Life Sciences"/>
    <n v="1"/>
    <n v="880"/>
    <n v="4"/>
    <x v="0"/>
    <n v="66"/>
    <n v="2"/>
    <x v="2"/>
    <x v="3"/>
    <n v="3"/>
    <x v="1"/>
    <n v="10685"/>
    <n v="23457"/>
    <n v="1"/>
    <s v="Y"/>
    <x v="0"/>
    <n v="20"/>
    <n v="4"/>
    <n v="2"/>
    <n v="80"/>
    <n v="1"/>
    <n v="17"/>
    <n v="2"/>
    <n v="3"/>
    <n v="17"/>
    <n v="14"/>
    <n v="5"/>
    <n v="15"/>
    <x v="0"/>
    <x v="3"/>
    <x v="3"/>
    <n v="0"/>
  </r>
  <r>
    <x v="10"/>
    <x v="0"/>
    <x v="1"/>
    <n v="130"/>
    <x v="1"/>
    <n v="25"/>
    <n v="4"/>
    <s v="Life Sciences"/>
    <n v="1"/>
    <n v="881"/>
    <n v="4"/>
    <x v="0"/>
    <n v="96"/>
    <n v="3"/>
    <x v="1"/>
    <x v="1"/>
    <n v="2"/>
    <x v="2"/>
    <n v="2022"/>
    <n v="16612"/>
    <n v="1"/>
    <s v="Y"/>
    <x v="0"/>
    <n v="19"/>
    <n v="3"/>
    <n v="1"/>
    <n v="80"/>
    <n v="1"/>
    <n v="10"/>
    <n v="3"/>
    <n v="2"/>
    <n v="10"/>
    <n v="2"/>
    <n v="7"/>
    <n v="8"/>
    <x v="0"/>
    <x v="0"/>
    <x v="1"/>
    <n v="1"/>
  </r>
  <r>
    <x v="5"/>
    <x v="1"/>
    <x v="2"/>
    <n v="300"/>
    <x v="1"/>
    <n v="1"/>
    <n v="3"/>
    <s v="Life Sciences"/>
    <n v="1"/>
    <n v="882"/>
    <n v="4"/>
    <x v="1"/>
    <n v="61"/>
    <n v="3"/>
    <x v="1"/>
    <x v="2"/>
    <n v="4"/>
    <x v="2"/>
    <n v="2314"/>
    <n v="9148"/>
    <n v="0"/>
    <s v="Y"/>
    <x v="1"/>
    <n v="12"/>
    <n v="3"/>
    <n v="2"/>
    <n v="80"/>
    <n v="1"/>
    <n v="4"/>
    <n v="2"/>
    <n v="3"/>
    <n v="3"/>
    <n v="0"/>
    <n v="0"/>
    <n v="2"/>
    <x v="2"/>
    <x v="2"/>
    <x v="1"/>
    <n v="0"/>
  </r>
  <r>
    <x v="36"/>
    <x v="1"/>
    <x v="0"/>
    <n v="583"/>
    <x v="0"/>
    <n v="4"/>
    <n v="1"/>
    <s v="Marketing"/>
    <n v="1"/>
    <n v="885"/>
    <n v="3"/>
    <x v="1"/>
    <n v="87"/>
    <n v="2"/>
    <x v="0"/>
    <x v="0"/>
    <n v="1"/>
    <x v="1"/>
    <n v="4256"/>
    <n v="18154"/>
    <n v="1"/>
    <s v="Y"/>
    <x v="1"/>
    <n v="12"/>
    <n v="3"/>
    <n v="1"/>
    <n v="80"/>
    <n v="0"/>
    <n v="5"/>
    <n v="1"/>
    <n v="4"/>
    <n v="5"/>
    <n v="2"/>
    <n v="0"/>
    <n v="3"/>
    <x v="2"/>
    <x v="2"/>
    <x v="2"/>
    <n v="0"/>
  </r>
  <r>
    <x v="1"/>
    <x v="1"/>
    <x v="0"/>
    <n v="1418"/>
    <x v="1"/>
    <n v="1"/>
    <n v="3"/>
    <s v="Technical Degree"/>
    <n v="1"/>
    <n v="887"/>
    <n v="3"/>
    <x v="0"/>
    <n v="36"/>
    <n v="3"/>
    <x v="1"/>
    <x v="1"/>
    <n v="1"/>
    <x v="1"/>
    <n v="3580"/>
    <n v="10554"/>
    <n v="2"/>
    <s v="Y"/>
    <x v="1"/>
    <n v="16"/>
    <n v="3"/>
    <n v="2"/>
    <n v="80"/>
    <n v="1"/>
    <n v="7"/>
    <n v="2"/>
    <n v="3"/>
    <n v="4"/>
    <n v="2"/>
    <n v="0"/>
    <n v="2"/>
    <x v="1"/>
    <x v="2"/>
    <x v="2"/>
    <n v="0"/>
  </r>
  <r>
    <x v="17"/>
    <x v="1"/>
    <x v="2"/>
    <n v="1269"/>
    <x v="1"/>
    <n v="4"/>
    <n v="1"/>
    <s v="Life Sciences"/>
    <n v="1"/>
    <n v="888"/>
    <n v="1"/>
    <x v="1"/>
    <n v="46"/>
    <n v="2"/>
    <x v="1"/>
    <x v="2"/>
    <n v="4"/>
    <x v="1"/>
    <n v="3162"/>
    <n v="10778"/>
    <n v="0"/>
    <s v="Y"/>
    <x v="1"/>
    <n v="17"/>
    <n v="3"/>
    <n v="4"/>
    <n v="80"/>
    <n v="0"/>
    <n v="6"/>
    <n v="2"/>
    <n v="2"/>
    <n v="5"/>
    <n v="2"/>
    <n v="3"/>
    <n v="4"/>
    <x v="4"/>
    <x v="2"/>
    <x v="2"/>
    <n v="0"/>
  </r>
  <r>
    <x v="5"/>
    <x v="1"/>
    <x v="1"/>
    <n v="379"/>
    <x v="0"/>
    <n v="5"/>
    <n v="2"/>
    <s v="Life Sciences"/>
    <n v="1"/>
    <n v="889"/>
    <n v="2"/>
    <x v="1"/>
    <n v="48"/>
    <n v="3"/>
    <x v="0"/>
    <x v="0"/>
    <n v="2"/>
    <x v="1"/>
    <n v="6524"/>
    <n v="8891"/>
    <n v="1"/>
    <s v="Y"/>
    <x v="1"/>
    <n v="14"/>
    <n v="3"/>
    <n v="4"/>
    <n v="80"/>
    <n v="1"/>
    <n v="10"/>
    <n v="3"/>
    <n v="3"/>
    <n v="10"/>
    <n v="8"/>
    <n v="5"/>
    <n v="3"/>
    <x v="2"/>
    <x v="0"/>
    <x v="0"/>
    <n v="0"/>
  </r>
  <r>
    <x v="8"/>
    <x v="1"/>
    <x v="0"/>
    <n v="395"/>
    <x v="0"/>
    <n v="9"/>
    <n v="3"/>
    <s v="Marketing"/>
    <n v="1"/>
    <n v="893"/>
    <n v="2"/>
    <x v="1"/>
    <n v="98"/>
    <n v="2"/>
    <x v="1"/>
    <x v="6"/>
    <n v="2"/>
    <x v="1"/>
    <n v="2899"/>
    <n v="12102"/>
    <n v="0"/>
    <s v="Y"/>
    <x v="1"/>
    <n v="19"/>
    <n v="3"/>
    <n v="4"/>
    <n v="80"/>
    <n v="1"/>
    <n v="3"/>
    <n v="3"/>
    <n v="3"/>
    <n v="2"/>
    <n v="2"/>
    <n v="1"/>
    <n v="2"/>
    <x v="0"/>
    <x v="1"/>
    <x v="1"/>
    <n v="0"/>
  </r>
  <r>
    <x v="19"/>
    <x v="1"/>
    <x v="0"/>
    <n v="1265"/>
    <x v="1"/>
    <n v="3"/>
    <n v="3"/>
    <s v="Life Sciences"/>
    <n v="1"/>
    <n v="894"/>
    <n v="3"/>
    <x v="0"/>
    <n v="95"/>
    <n v="4"/>
    <x v="0"/>
    <x v="2"/>
    <n v="4"/>
    <x v="1"/>
    <n v="5231"/>
    <n v="23726"/>
    <n v="2"/>
    <s v="Y"/>
    <x v="0"/>
    <n v="13"/>
    <n v="3"/>
    <n v="2"/>
    <n v="80"/>
    <n v="1"/>
    <n v="17"/>
    <n v="1"/>
    <n v="2"/>
    <n v="5"/>
    <n v="3"/>
    <n v="1"/>
    <n v="3"/>
    <x v="0"/>
    <x v="2"/>
    <x v="0"/>
    <n v="0"/>
  </r>
  <r>
    <x v="12"/>
    <x v="1"/>
    <x v="0"/>
    <n v="1222"/>
    <x v="1"/>
    <n v="11"/>
    <n v="4"/>
    <s v="Life Sciences"/>
    <n v="1"/>
    <n v="895"/>
    <n v="4"/>
    <x v="1"/>
    <n v="48"/>
    <n v="3"/>
    <x v="1"/>
    <x v="1"/>
    <n v="4"/>
    <x v="1"/>
    <n v="2356"/>
    <n v="14871"/>
    <n v="3"/>
    <s v="Y"/>
    <x v="0"/>
    <n v="19"/>
    <n v="3"/>
    <n v="2"/>
    <n v="80"/>
    <n v="1"/>
    <n v="8"/>
    <n v="2"/>
    <n v="3"/>
    <n v="6"/>
    <n v="4"/>
    <n v="0"/>
    <n v="2"/>
    <x v="2"/>
    <x v="0"/>
    <x v="1"/>
    <n v="0"/>
  </r>
  <r>
    <x v="11"/>
    <x v="0"/>
    <x v="0"/>
    <n v="341"/>
    <x v="0"/>
    <n v="1"/>
    <n v="3"/>
    <s v="Medical"/>
    <n v="1"/>
    <n v="896"/>
    <n v="2"/>
    <x v="0"/>
    <n v="48"/>
    <n v="2"/>
    <x v="1"/>
    <x v="6"/>
    <n v="3"/>
    <x v="2"/>
    <n v="2800"/>
    <n v="23522"/>
    <n v="6"/>
    <s v="Y"/>
    <x v="0"/>
    <n v="19"/>
    <n v="3"/>
    <n v="3"/>
    <n v="80"/>
    <n v="3"/>
    <n v="5"/>
    <n v="3"/>
    <n v="3"/>
    <n v="3"/>
    <n v="2"/>
    <n v="0"/>
    <n v="2"/>
    <x v="2"/>
    <x v="2"/>
    <x v="1"/>
    <n v="1"/>
  </r>
  <r>
    <x v="16"/>
    <x v="1"/>
    <x v="0"/>
    <n v="868"/>
    <x v="0"/>
    <n v="8"/>
    <n v="3"/>
    <s v="Marketing"/>
    <n v="1"/>
    <n v="897"/>
    <n v="1"/>
    <x v="1"/>
    <n v="73"/>
    <n v="3"/>
    <x v="3"/>
    <x v="0"/>
    <n v="4"/>
    <x v="1"/>
    <n v="11836"/>
    <n v="22789"/>
    <n v="5"/>
    <s v="Y"/>
    <x v="1"/>
    <n v="14"/>
    <n v="3"/>
    <n v="3"/>
    <n v="80"/>
    <n v="1"/>
    <n v="28"/>
    <n v="3"/>
    <n v="3"/>
    <n v="2"/>
    <n v="0"/>
    <n v="2"/>
    <n v="2"/>
    <x v="1"/>
    <x v="1"/>
    <x v="3"/>
    <n v="0"/>
  </r>
  <r>
    <x v="10"/>
    <x v="1"/>
    <x v="0"/>
    <n v="672"/>
    <x v="1"/>
    <n v="25"/>
    <n v="3"/>
    <s v="Technical Degree"/>
    <n v="1"/>
    <n v="899"/>
    <n v="4"/>
    <x v="1"/>
    <n v="78"/>
    <n v="2"/>
    <x v="2"/>
    <x v="3"/>
    <n v="2"/>
    <x v="1"/>
    <n v="10903"/>
    <n v="9129"/>
    <n v="3"/>
    <s v="Y"/>
    <x v="1"/>
    <n v="16"/>
    <n v="3"/>
    <n v="1"/>
    <n v="80"/>
    <n v="0"/>
    <n v="16"/>
    <n v="2"/>
    <n v="3"/>
    <n v="13"/>
    <n v="10"/>
    <n v="4"/>
    <n v="8"/>
    <x v="0"/>
    <x v="3"/>
    <x v="3"/>
    <n v="0"/>
  </r>
  <r>
    <x v="2"/>
    <x v="1"/>
    <x v="1"/>
    <n v="1231"/>
    <x v="0"/>
    <n v="21"/>
    <n v="2"/>
    <s v="Medical"/>
    <n v="1"/>
    <n v="900"/>
    <n v="3"/>
    <x v="0"/>
    <n v="54"/>
    <n v="3"/>
    <x v="1"/>
    <x v="6"/>
    <n v="4"/>
    <x v="1"/>
    <n v="2973"/>
    <n v="21222"/>
    <n v="5"/>
    <s v="Y"/>
    <x v="1"/>
    <n v="15"/>
    <n v="3"/>
    <n v="2"/>
    <n v="80"/>
    <n v="1"/>
    <n v="10"/>
    <n v="3"/>
    <n v="3"/>
    <n v="5"/>
    <n v="4"/>
    <n v="0"/>
    <n v="0"/>
    <x v="0"/>
    <x v="2"/>
    <x v="1"/>
    <n v="0"/>
  </r>
  <r>
    <x v="16"/>
    <x v="1"/>
    <x v="0"/>
    <n v="102"/>
    <x v="1"/>
    <n v="23"/>
    <n v="4"/>
    <s v="Life Sciences"/>
    <n v="1"/>
    <n v="901"/>
    <n v="4"/>
    <x v="0"/>
    <n v="72"/>
    <n v="3"/>
    <x v="3"/>
    <x v="7"/>
    <n v="4"/>
    <x v="0"/>
    <n v="14275"/>
    <n v="20206"/>
    <n v="6"/>
    <s v="Y"/>
    <x v="1"/>
    <n v="18"/>
    <n v="3"/>
    <n v="3"/>
    <n v="80"/>
    <n v="0"/>
    <n v="33"/>
    <n v="0"/>
    <n v="3"/>
    <n v="12"/>
    <n v="9"/>
    <n v="3"/>
    <n v="8"/>
    <x v="1"/>
    <x v="3"/>
    <x v="3"/>
    <n v="0"/>
  </r>
  <r>
    <x v="23"/>
    <x v="1"/>
    <x v="1"/>
    <n v="422"/>
    <x v="1"/>
    <n v="1"/>
    <n v="3"/>
    <s v="Life Sciences"/>
    <n v="1"/>
    <n v="902"/>
    <n v="4"/>
    <x v="0"/>
    <n v="33"/>
    <n v="3"/>
    <x v="0"/>
    <x v="4"/>
    <n v="4"/>
    <x v="1"/>
    <n v="5562"/>
    <n v="21782"/>
    <n v="4"/>
    <s v="Y"/>
    <x v="1"/>
    <n v="13"/>
    <n v="3"/>
    <n v="2"/>
    <n v="80"/>
    <n v="1"/>
    <n v="12"/>
    <n v="2"/>
    <n v="2"/>
    <n v="5"/>
    <n v="2"/>
    <n v="2"/>
    <n v="2"/>
    <x v="0"/>
    <x v="2"/>
    <x v="0"/>
    <n v="0"/>
  </r>
  <r>
    <x v="40"/>
    <x v="1"/>
    <x v="0"/>
    <n v="249"/>
    <x v="0"/>
    <n v="2"/>
    <n v="2"/>
    <s v="Marketing"/>
    <n v="1"/>
    <n v="903"/>
    <n v="3"/>
    <x v="0"/>
    <n v="35"/>
    <n v="3"/>
    <x v="0"/>
    <x v="0"/>
    <n v="4"/>
    <x v="1"/>
    <n v="4537"/>
    <n v="17783"/>
    <n v="0"/>
    <s v="Y"/>
    <x v="0"/>
    <n v="22"/>
    <n v="4"/>
    <n v="1"/>
    <n v="80"/>
    <n v="1"/>
    <n v="8"/>
    <n v="2"/>
    <n v="3"/>
    <n v="7"/>
    <n v="6"/>
    <n v="7"/>
    <n v="7"/>
    <x v="1"/>
    <x v="0"/>
    <x v="2"/>
    <n v="0"/>
  </r>
  <r>
    <x v="2"/>
    <x v="1"/>
    <x v="2"/>
    <n v="1252"/>
    <x v="0"/>
    <n v="19"/>
    <n v="2"/>
    <s v="Medical"/>
    <n v="1"/>
    <n v="904"/>
    <n v="1"/>
    <x v="1"/>
    <n v="32"/>
    <n v="3"/>
    <x v="2"/>
    <x v="0"/>
    <n v="2"/>
    <x v="0"/>
    <n v="7642"/>
    <n v="4814"/>
    <n v="1"/>
    <s v="Y"/>
    <x v="0"/>
    <n v="13"/>
    <n v="3"/>
    <n v="4"/>
    <n v="80"/>
    <n v="0"/>
    <n v="10"/>
    <n v="2"/>
    <n v="3"/>
    <n v="10"/>
    <n v="0"/>
    <n v="0"/>
    <n v="9"/>
    <x v="0"/>
    <x v="0"/>
    <x v="0"/>
    <n v="0"/>
  </r>
  <r>
    <x v="24"/>
    <x v="1"/>
    <x v="2"/>
    <n v="881"/>
    <x v="1"/>
    <n v="2"/>
    <n v="4"/>
    <s v="Life Sciences"/>
    <n v="1"/>
    <n v="905"/>
    <n v="1"/>
    <x v="1"/>
    <n v="98"/>
    <n v="3"/>
    <x v="3"/>
    <x v="5"/>
    <n v="1"/>
    <x v="2"/>
    <n v="17924"/>
    <n v="4544"/>
    <n v="1"/>
    <s v="Y"/>
    <x v="1"/>
    <n v="11"/>
    <n v="3"/>
    <n v="4"/>
    <n v="80"/>
    <n v="1"/>
    <n v="31"/>
    <n v="3"/>
    <n v="3"/>
    <n v="31"/>
    <n v="6"/>
    <n v="14"/>
    <n v="7"/>
    <x v="1"/>
    <x v="3"/>
    <x v="3"/>
    <n v="0"/>
  </r>
  <r>
    <x v="22"/>
    <x v="1"/>
    <x v="0"/>
    <n v="1383"/>
    <x v="2"/>
    <n v="2"/>
    <n v="3"/>
    <s v="Life Sciences"/>
    <n v="1"/>
    <n v="909"/>
    <n v="4"/>
    <x v="0"/>
    <n v="42"/>
    <n v="2"/>
    <x v="0"/>
    <x v="8"/>
    <n v="4"/>
    <x v="1"/>
    <n v="5204"/>
    <n v="7790"/>
    <n v="8"/>
    <s v="Y"/>
    <x v="1"/>
    <n v="11"/>
    <n v="3"/>
    <n v="3"/>
    <n v="80"/>
    <n v="2"/>
    <n v="13"/>
    <n v="2"/>
    <n v="3"/>
    <n v="5"/>
    <n v="4"/>
    <n v="0"/>
    <n v="4"/>
    <x v="0"/>
    <x v="2"/>
    <x v="0"/>
    <n v="0"/>
  </r>
  <r>
    <x v="3"/>
    <x v="1"/>
    <x v="0"/>
    <n v="1075"/>
    <x v="2"/>
    <n v="3"/>
    <n v="2"/>
    <s v="Human Resources"/>
    <n v="1"/>
    <n v="910"/>
    <n v="4"/>
    <x v="1"/>
    <n v="57"/>
    <n v="3"/>
    <x v="1"/>
    <x v="8"/>
    <n v="2"/>
    <x v="2"/>
    <n v="2277"/>
    <n v="22650"/>
    <n v="3"/>
    <s v="Y"/>
    <x v="0"/>
    <n v="11"/>
    <n v="3"/>
    <n v="3"/>
    <n v="80"/>
    <n v="1"/>
    <n v="7"/>
    <n v="4"/>
    <n v="4"/>
    <n v="4"/>
    <n v="3"/>
    <n v="0"/>
    <n v="3"/>
    <x v="2"/>
    <x v="2"/>
    <x v="1"/>
    <n v="0"/>
  </r>
  <r>
    <x v="5"/>
    <x v="0"/>
    <x v="0"/>
    <n v="374"/>
    <x v="1"/>
    <n v="25"/>
    <n v="4"/>
    <s v="Life Sciences"/>
    <n v="1"/>
    <n v="911"/>
    <n v="1"/>
    <x v="1"/>
    <n v="87"/>
    <n v="3"/>
    <x v="1"/>
    <x v="2"/>
    <n v="4"/>
    <x v="0"/>
    <n v="2795"/>
    <n v="18016"/>
    <n v="1"/>
    <s v="Y"/>
    <x v="0"/>
    <n v="24"/>
    <n v="4"/>
    <n v="3"/>
    <n v="80"/>
    <n v="0"/>
    <n v="1"/>
    <n v="2"/>
    <n v="1"/>
    <n v="1"/>
    <n v="0"/>
    <n v="0"/>
    <n v="1"/>
    <x v="2"/>
    <x v="1"/>
    <x v="1"/>
    <n v="1"/>
  </r>
  <r>
    <x v="11"/>
    <x v="1"/>
    <x v="0"/>
    <n v="1086"/>
    <x v="1"/>
    <n v="7"/>
    <n v="1"/>
    <s v="Medical"/>
    <n v="1"/>
    <n v="912"/>
    <n v="1"/>
    <x v="0"/>
    <n v="62"/>
    <n v="2"/>
    <x v="1"/>
    <x v="2"/>
    <n v="4"/>
    <x v="2"/>
    <n v="2532"/>
    <n v="6054"/>
    <n v="6"/>
    <s v="Y"/>
    <x v="1"/>
    <n v="14"/>
    <n v="3"/>
    <n v="3"/>
    <n v="80"/>
    <n v="3"/>
    <n v="8"/>
    <n v="5"/>
    <n v="3"/>
    <n v="4"/>
    <n v="3"/>
    <n v="0"/>
    <n v="3"/>
    <x v="2"/>
    <x v="2"/>
    <x v="1"/>
    <n v="0"/>
  </r>
  <r>
    <x v="20"/>
    <x v="1"/>
    <x v="0"/>
    <n v="661"/>
    <x v="1"/>
    <n v="9"/>
    <n v="2"/>
    <s v="Life Sciences"/>
    <n v="1"/>
    <n v="913"/>
    <n v="2"/>
    <x v="1"/>
    <n v="61"/>
    <n v="3"/>
    <x v="1"/>
    <x v="1"/>
    <n v="1"/>
    <x v="1"/>
    <n v="2559"/>
    <n v="7508"/>
    <n v="1"/>
    <s v="Y"/>
    <x v="0"/>
    <n v="13"/>
    <n v="3"/>
    <n v="4"/>
    <n v="80"/>
    <n v="0"/>
    <n v="8"/>
    <n v="0"/>
    <n v="3"/>
    <n v="8"/>
    <n v="7"/>
    <n v="7"/>
    <n v="1"/>
    <x v="0"/>
    <x v="0"/>
    <x v="1"/>
    <n v="0"/>
  </r>
  <r>
    <x v="14"/>
    <x v="1"/>
    <x v="0"/>
    <n v="821"/>
    <x v="0"/>
    <n v="5"/>
    <n v="4"/>
    <s v="Medical"/>
    <n v="1"/>
    <n v="916"/>
    <n v="1"/>
    <x v="1"/>
    <n v="98"/>
    <n v="3"/>
    <x v="0"/>
    <x v="0"/>
    <n v="4"/>
    <x v="0"/>
    <n v="4908"/>
    <n v="24252"/>
    <n v="1"/>
    <s v="Y"/>
    <x v="1"/>
    <n v="14"/>
    <n v="3"/>
    <n v="2"/>
    <n v="80"/>
    <n v="0"/>
    <n v="4"/>
    <n v="3"/>
    <n v="3"/>
    <n v="4"/>
    <n v="2"/>
    <n v="0"/>
    <n v="2"/>
    <x v="2"/>
    <x v="2"/>
    <x v="2"/>
    <n v="0"/>
  </r>
  <r>
    <x v="34"/>
    <x v="0"/>
    <x v="1"/>
    <n v="781"/>
    <x v="1"/>
    <n v="2"/>
    <n v="1"/>
    <s v="Life Sciences"/>
    <n v="1"/>
    <n v="918"/>
    <n v="4"/>
    <x v="1"/>
    <n v="57"/>
    <n v="2"/>
    <x v="1"/>
    <x v="2"/>
    <n v="4"/>
    <x v="2"/>
    <n v="2380"/>
    <n v="13384"/>
    <n v="9"/>
    <s v="Y"/>
    <x v="0"/>
    <n v="14"/>
    <n v="3"/>
    <n v="4"/>
    <n v="80"/>
    <n v="1"/>
    <n v="3"/>
    <n v="3"/>
    <n v="2"/>
    <n v="1"/>
    <n v="0"/>
    <n v="0"/>
    <n v="0"/>
    <x v="3"/>
    <x v="1"/>
    <x v="1"/>
    <n v="1"/>
  </r>
  <r>
    <x v="23"/>
    <x v="1"/>
    <x v="0"/>
    <n v="177"/>
    <x v="1"/>
    <n v="8"/>
    <n v="3"/>
    <s v="Life Sciences"/>
    <n v="1"/>
    <n v="920"/>
    <n v="1"/>
    <x v="0"/>
    <n v="55"/>
    <n v="3"/>
    <x v="0"/>
    <x v="3"/>
    <n v="2"/>
    <x v="2"/>
    <n v="4765"/>
    <n v="23814"/>
    <n v="4"/>
    <s v="Y"/>
    <x v="1"/>
    <n v="21"/>
    <n v="4"/>
    <n v="3"/>
    <n v="80"/>
    <n v="1"/>
    <n v="4"/>
    <n v="2"/>
    <n v="4"/>
    <n v="1"/>
    <n v="0"/>
    <n v="0"/>
    <n v="0"/>
    <x v="0"/>
    <x v="1"/>
    <x v="2"/>
    <n v="0"/>
  </r>
  <r>
    <x v="35"/>
    <x v="0"/>
    <x v="0"/>
    <n v="500"/>
    <x v="0"/>
    <n v="2"/>
    <n v="3"/>
    <s v="Medical"/>
    <n v="1"/>
    <n v="922"/>
    <n v="3"/>
    <x v="0"/>
    <n v="49"/>
    <n v="2"/>
    <x v="1"/>
    <x v="6"/>
    <n v="3"/>
    <x v="0"/>
    <n v="2044"/>
    <n v="22052"/>
    <n v="1"/>
    <s v="Y"/>
    <x v="1"/>
    <n v="13"/>
    <n v="3"/>
    <n v="4"/>
    <n v="80"/>
    <n v="0"/>
    <n v="2"/>
    <n v="3"/>
    <n v="2"/>
    <n v="2"/>
    <n v="2"/>
    <n v="0"/>
    <n v="2"/>
    <x v="4"/>
    <x v="1"/>
    <x v="1"/>
    <n v="1"/>
  </r>
  <r>
    <x v="18"/>
    <x v="0"/>
    <x v="0"/>
    <n v="1427"/>
    <x v="1"/>
    <n v="18"/>
    <n v="1"/>
    <s v="Other"/>
    <n v="1"/>
    <n v="923"/>
    <n v="4"/>
    <x v="0"/>
    <n v="65"/>
    <n v="3"/>
    <x v="1"/>
    <x v="1"/>
    <n v="4"/>
    <x v="0"/>
    <n v="2693"/>
    <n v="8870"/>
    <n v="1"/>
    <s v="Y"/>
    <x v="1"/>
    <n v="19"/>
    <n v="3"/>
    <n v="1"/>
    <n v="80"/>
    <n v="0"/>
    <n v="1"/>
    <n v="3"/>
    <n v="2"/>
    <n v="1"/>
    <n v="0"/>
    <n v="0"/>
    <n v="0"/>
    <x v="4"/>
    <x v="1"/>
    <x v="1"/>
    <n v="1"/>
  </r>
  <r>
    <x v="9"/>
    <x v="1"/>
    <x v="0"/>
    <n v="1425"/>
    <x v="1"/>
    <n v="14"/>
    <n v="1"/>
    <s v="Life Sciences"/>
    <n v="1"/>
    <n v="924"/>
    <n v="3"/>
    <x v="1"/>
    <n v="68"/>
    <n v="3"/>
    <x v="0"/>
    <x v="4"/>
    <n v="4"/>
    <x v="1"/>
    <n v="6586"/>
    <n v="4821"/>
    <n v="0"/>
    <s v="Y"/>
    <x v="0"/>
    <n v="17"/>
    <n v="3"/>
    <n v="1"/>
    <n v="80"/>
    <n v="1"/>
    <n v="17"/>
    <n v="2"/>
    <n v="2"/>
    <n v="16"/>
    <n v="8"/>
    <n v="4"/>
    <n v="11"/>
    <x v="0"/>
    <x v="3"/>
    <x v="0"/>
    <n v="0"/>
  </r>
  <r>
    <x v="40"/>
    <x v="1"/>
    <x v="0"/>
    <n v="1454"/>
    <x v="0"/>
    <n v="2"/>
    <n v="4"/>
    <s v="Life Sciences"/>
    <n v="1"/>
    <n v="925"/>
    <n v="4"/>
    <x v="0"/>
    <n v="65"/>
    <n v="2"/>
    <x v="1"/>
    <x v="6"/>
    <n v="4"/>
    <x v="0"/>
    <n v="3294"/>
    <n v="13137"/>
    <n v="1"/>
    <s v="Y"/>
    <x v="0"/>
    <n v="18"/>
    <n v="3"/>
    <n v="1"/>
    <n v="80"/>
    <n v="0"/>
    <n v="3"/>
    <n v="3"/>
    <n v="2"/>
    <n v="3"/>
    <n v="2"/>
    <n v="1"/>
    <n v="2"/>
    <x v="1"/>
    <x v="2"/>
    <x v="2"/>
    <n v="0"/>
  </r>
  <r>
    <x v="15"/>
    <x v="0"/>
    <x v="0"/>
    <n v="617"/>
    <x v="1"/>
    <n v="3"/>
    <n v="1"/>
    <s v="Life Sciences"/>
    <n v="1"/>
    <n v="926"/>
    <n v="2"/>
    <x v="0"/>
    <n v="34"/>
    <n v="3"/>
    <x v="0"/>
    <x v="3"/>
    <n v="3"/>
    <x v="1"/>
    <n v="4171"/>
    <n v="10022"/>
    <n v="0"/>
    <s v="Y"/>
    <x v="0"/>
    <n v="19"/>
    <n v="3"/>
    <n v="1"/>
    <n v="80"/>
    <n v="1"/>
    <n v="4"/>
    <n v="3"/>
    <n v="4"/>
    <n v="3"/>
    <n v="2"/>
    <n v="0"/>
    <n v="2"/>
    <x v="4"/>
    <x v="2"/>
    <x v="2"/>
    <n v="1"/>
  </r>
  <r>
    <x v="0"/>
    <x v="0"/>
    <x v="0"/>
    <n v="1085"/>
    <x v="1"/>
    <n v="2"/>
    <n v="4"/>
    <s v="Life Sciences"/>
    <n v="1"/>
    <n v="927"/>
    <n v="2"/>
    <x v="0"/>
    <n v="57"/>
    <n v="1"/>
    <x v="1"/>
    <x v="2"/>
    <n v="4"/>
    <x v="2"/>
    <n v="2778"/>
    <n v="17725"/>
    <n v="4"/>
    <s v="Y"/>
    <x v="0"/>
    <n v="13"/>
    <n v="3"/>
    <n v="3"/>
    <n v="80"/>
    <n v="1"/>
    <n v="10"/>
    <n v="1"/>
    <n v="2"/>
    <n v="7"/>
    <n v="7"/>
    <n v="1"/>
    <n v="0"/>
    <x v="0"/>
    <x v="0"/>
    <x v="1"/>
    <n v="1"/>
  </r>
  <r>
    <x v="14"/>
    <x v="1"/>
    <x v="0"/>
    <n v="995"/>
    <x v="1"/>
    <n v="9"/>
    <n v="3"/>
    <s v="Medical"/>
    <n v="1"/>
    <n v="930"/>
    <n v="3"/>
    <x v="0"/>
    <n v="77"/>
    <n v="3"/>
    <x v="1"/>
    <x v="1"/>
    <n v="3"/>
    <x v="2"/>
    <n v="2377"/>
    <n v="9834"/>
    <n v="5"/>
    <s v="Y"/>
    <x v="1"/>
    <n v="18"/>
    <n v="3"/>
    <n v="2"/>
    <n v="80"/>
    <n v="1"/>
    <n v="6"/>
    <n v="2"/>
    <n v="3"/>
    <n v="2"/>
    <n v="2"/>
    <n v="2"/>
    <n v="2"/>
    <x v="2"/>
    <x v="1"/>
    <x v="1"/>
    <n v="0"/>
  </r>
  <r>
    <x v="22"/>
    <x v="0"/>
    <x v="0"/>
    <n v="1122"/>
    <x v="1"/>
    <n v="6"/>
    <n v="3"/>
    <s v="Medical"/>
    <n v="1"/>
    <n v="932"/>
    <n v="4"/>
    <x v="1"/>
    <n v="70"/>
    <n v="3"/>
    <x v="1"/>
    <x v="2"/>
    <n v="1"/>
    <x v="1"/>
    <n v="2404"/>
    <n v="4303"/>
    <n v="7"/>
    <s v="Y"/>
    <x v="0"/>
    <n v="21"/>
    <n v="4"/>
    <n v="4"/>
    <n v="80"/>
    <n v="0"/>
    <n v="8"/>
    <n v="2"/>
    <n v="1"/>
    <n v="2"/>
    <n v="2"/>
    <n v="2"/>
    <n v="2"/>
    <x v="0"/>
    <x v="1"/>
    <x v="1"/>
    <n v="1"/>
  </r>
  <r>
    <x v="4"/>
    <x v="1"/>
    <x v="0"/>
    <n v="618"/>
    <x v="1"/>
    <n v="4"/>
    <n v="3"/>
    <s v="Life Sciences"/>
    <n v="1"/>
    <n v="933"/>
    <n v="2"/>
    <x v="0"/>
    <n v="76"/>
    <n v="3"/>
    <x v="1"/>
    <x v="1"/>
    <n v="3"/>
    <x v="0"/>
    <n v="2318"/>
    <n v="17808"/>
    <n v="1"/>
    <s v="Y"/>
    <x v="1"/>
    <n v="19"/>
    <n v="3"/>
    <n v="3"/>
    <n v="80"/>
    <n v="0"/>
    <n v="1"/>
    <n v="2"/>
    <n v="3"/>
    <n v="1"/>
    <n v="1"/>
    <n v="0"/>
    <n v="0"/>
    <x v="2"/>
    <x v="1"/>
    <x v="1"/>
    <n v="0"/>
  </r>
  <r>
    <x v="13"/>
    <x v="1"/>
    <x v="0"/>
    <n v="546"/>
    <x v="1"/>
    <n v="10"/>
    <n v="3"/>
    <s v="Life Sciences"/>
    <n v="1"/>
    <n v="934"/>
    <n v="2"/>
    <x v="1"/>
    <n v="83"/>
    <n v="3"/>
    <x v="1"/>
    <x v="2"/>
    <n v="2"/>
    <x v="2"/>
    <n v="2008"/>
    <n v="6896"/>
    <n v="1"/>
    <s v="Y"/>
    <x v="1"/>
    <n v="14"/>
    <n v="3"/>
    <n v="2"/>
    <n v="80"/>
    <n v="2"/>
    <n v="1"/>
    <n v="3"/>
    <n v="3"/>
    <n v="1"/>
    <n v="0"/>
    <n v="1"/>
    <n v="0"/>
    <x v="2"/>
    <x v="1"/>
    <x v="1"/>
    <n v="0"/>
  </r>
  <r>
    <x v="19"/>
    <x v="1"/>
    <x v="0"/>
    <n v="462"/>
    <x v="0"/>
    <n v="14"/>
    <n v="2"/>
    <s v="Medical"/>
    <n v="1"/>
    <n v="936"/>
    <n v="3"/>
    <x v="0"/>
    <n v="68"/>
    <n v="2"/>
    <x v="0"/>
    <x v="0"/>
    <n v="3"/>
    <x v="0"/>
    <n v="6244"/>
    <n v="7824"/>
    <n v="7"/>
    <s v="Y"/>
    <x v="1"/>
    <n v="17"/>
    <n v="3"/>
    <n v="1"/>
    <n v="80"/>
    <n v="0"/>
    <n v="10"/>
    <n v="6"/>
    <n v="3"/>
    <n v="5"/>
    <n v="4"/>
    <n v="0"/>
    <n v="3"/>
    <x v="0"/>
    <x v="2"/>
    <x v="0"/>
    <n v="0"/>
  </r>
  <r>
    <x v="3"/>
    <x v="1"/>
    <x v="0"/>
    <n v="1198"/>
    <x v="1"/>
    <n v="1"/>
    <n v="4"/>
    <s v="Other"/>
    <n v="1"/>
    <n v="939"/>
    <n v="3"/>
    <x v="1"/>
    <n v="100"/>
    <n v="2"/>
    <x v="1"/>
    <x v="1"/>
    <n v="1"/>
    <x v="0"/>
    <n v="2799"/>
    <n v="3339"/>
    <n v="3"/>
    <s v="Y"/>
    <x v="0"/>
    <n v="11"/>
    <n v="3"/>
    <n v="2"/>
    <n v="80"/>
    <n v="0"/>
    <n v="6"/>
    <n v="1"/>
    <n v="3"/>
    <n v="3"/>
    <n v="2"/>
    <n v="0"/>
    <n v="2"/>
    <x v="2"/>
    <x v="2"/>
    <x v="1"/>
    <n v="0"/>
  </r>
  <r>
    <x v="34"/>
    <x v="1"/>
    <x v="0"/>
    <n v="1272"/>
    <x v="1"/>
    <n v="5"/>
    <n v="3"/>
    <s v="Technical Degree"/>
    <n v="1"/>
    <n v="940"/>
    <n v="3"/>
    <x v="0"/>
    <n v="37"/>
    <n v="2"/>
    <x v="2"/>
    <x v="4"/>
    <n v="2"/>
    <x v="2"/>
    <n v="10552"/>
    <n v="9255"/>
    <n v="2"/>
    <s v="Y"/>
    <x v="0"/>
    <n v="13"/>
    <n v="3"/>
    <n v="4"/>
    <n v="80"/>
    <n v="1"/>
    <n v="24"/>
    <n v="3"/>
    <n v="3"/>
    <n v="6"/>
    <n v="0"/>
    <n v="0"/>
    <n v="4"/>
    <x v="3"/>
    <x v="0"/>
    <x v="3"/>
    <n v="0"/>
  </r>
  <r>
    <x v="12"/>
    <x v="1"/>
    <x v="0"/>
    <n v="154"/>
    <x v="0"/>
    <n v="7"/>
    <n v="4"/>
    <s v="Life Sciences"/>
    <n v="1"/>
    <n v="941"/>
    <n v="2"/>
    <x v="1"/>
    <n v="41"/>
    <n v="2"/>
    <x v="1"/>
    <x v="6"/>
    <n v="3"/>
    <x v="1"/>
    <n v="2329"/>
    <n v="11737"/>
    <n v="3"/>
    <s v="Y"/>
    <x v="1"/>
    <n v="15"/>
    <n v="3"/>
    <n v="2"/>
    <n v="80"/>
    <n v="0"/>
    <n v="13"/>
    <n v="2"/>
    <n v="4"/>
    <n v="7"/>
    <n v="7"/>
    <n v="5"/>
    <n v="2"/>
    <x v="2"/>
    <x v="0"/>
    <x v="1"/>
    <n v="0"/>
  </r>
  <r>
    <x v="10"/>
    <x v="1"/>
    <x v="0"/>
    <n v="1137"/>
    <x v="1"/>
    <n v="21"/>
    <n v="1"/>
    <s v="Life Sciences"/>
    <n v="1"/>
    <n v="942"/>
    <n v="4"/>
    <x v="0"/>
    <n v="51"/>
    <n v="3"/>
    <x v="0"/>
    <x v="4"/>
    <n v="4"/>
    <x v="1"/>
    <n v="4014"/>
    <n v="19170"/>
    <n v="1"/>
    <s v="Y"/>
    <x v="0"/>
    <n v="25"/>
    <n v="4"/>
    <n v="4"/>
    <n v="80"/>
    <n v="1"/>
    <n v="10"/>
    <n v="2"/>
    <n v="1"/>
    <n v="10"/>
    <n v="6"/>
    <n v="0"/>
    <n v="7"/>
    <x v="0"/>
    <x v="0"/>
    <x v="2"/>
    <n v="0"/>
  </r>
  <r>
    <x v="1"/>
    <x v="1"/>
    <x v="0"/>
    <n v="527"/>
    <x v="1"/>
    <n v="8"/>
    <n v="2"/>
    <s v="Other"/>
    <n v="1"/>
    <n v="944"/>
    <n v="1"/>
    <x v="0"/>
    <n v="51"/>
    <n v="3"/>
    <x v="2"/>
    <x v="2"/>
    <n v="2"/>
    <x v="1"/>
    <n v="7403"/>
    <n v="22477"/>
    <n v="4"/>
    <s v="Y"/>
    <x v="1"/>
    <n v="11"/>
    <n v="3"/>
    <n v="3"/>
    <n v="80"/>
    <n v="1"/>
    <n v="29"/>
    <n v="3"/>
    <n v="2"/>
    <n v="26"/>
    <n v="9"/>
    <n v="1"/>
    <n v="7"/>
    <x v="1"/>
    <x v="3"/>
    <x v="0"/>
    <n v="0"/>
  </r>
  <r>
    <x v="26"/>
    <x v="1"/>
    <x v="0"/>
    <n v="1469"/>
    <x v="1"/>
    <n v="20"/>
    <n v="4"/>
    <s v="Medical"/>
    <n v="1"/>
    <n v="945"/>
    <n v="4"/>
    <x v="1"/>
    <n v="51"/>
    <n v="3"/>
    <x v="1"/>
    <x v="1"/>
    <n v="3"/>
    <x v="1"/>
    <n v="2259"/>
    <n v="5543"/>
    <n v="4"/>
    <s v="Y"/>
    <x v="1"/>
    <n v="17"/>
    <n v="3"/>
    <n v="1"/>
    <n v="80"/>
    <n v="2"/>
    <n v="13"/>
    <n v="2"/>
    <n v="2"/>
    <n v="0"/>
    <n v="0"/>
    <n v="0"/>
    <n v="0"/>
    <x v="1"/>
    <x v="1"/>
    <x v="1"/>
    <n v="0"/>
  </r>
  <r>
    <x v="12"/>
    <x v="1"/>
    <x v="2"/>
    <n v="1188"/>
    <x v="0"/>
    <n v="20"/>
    <n v="2"/>
    <s v="Marketing"/>
    <n v="1"/>
    <n v="947"/>
    <n v="4"/>
    <x v="0"/>
    <n v="45"/>
    <n v="3"/>
    <x v="0"/>
    <x v="0"/>
    <n v="3"/>
    <x v="1"/>
    <n v="6932"/>
    <n v="24406"/>
    <n v="1"/>
    <s v="Y"/>
    <x v="1"/>
    <n v="13"/>
    <n v="3"/>
    <n v="4"/>
    <n v="80"/>
    <n v="1"/>
    <n v="9"/>
    <n v="2"/>
    <n v="2"/>
    <n v="9"/>
    <n v="8"/>
    <n v="0"/>
    <n v="0"/>
    <x v="2"/>
    <x v="0"/>
    <x v="0"/>
    <n v="0"/>
  </r>
  <r>
    <x v="9"/>
    <x v="1"/>
    <x v="0"/>
    <n v="188"/>
    <x v="1"/>
    <n v="7"/>
    <n v="4"/>
    <s v="Other"/>
    <n v="1"/>
    <n v="949"/>
    <n v="2"/>
    <x v="1"/>
    <n v="65"/>
    <n v="3"/>
    <x v="1"/>
    <x v="1"/>
    <n v="4"/>
    <x v="0"/>
    <n v="4678"/>
    <n v="23293"/>
    <n v="2"/>
    <s v="Y"/>
    <x v="1"/>
    <n v="18"/>
    <n v="3"/>
    <n v="3"/>
    <n v="80"/>
    <n v="0"/>
    <n v="8"/>
    <n v="6"/>
    <n v="3"/>
    <n v="6"/>
    <n v="2"/>
    <n v="0"/>
    <n v="1"/>
    <x v="0"/>
    <x v="0"/>
    <x v="2"/>
    <n v="0"/>
  </r>
  <r>
    <x v="8"/>
    <x v="1"/>
    <x v="0"/>
    <n v="1333"/>
    <x v="1"/>
    <n v="1"/>
    <n v="3"/>
    <s v="Technical Degree"/>
    <n v="1"/>
    <n v="950"/>
    <n v="4"/>
    <x v="0"/>
    <n v="80"/>
    <n v="3"/>
    <x v="2"/>
    <x v="7"/>
    <n v="1"/>
    <x v="1"/>
    <n v="13582"/>
    <n v="16292"/>
    <n v="1"/>
    <s v="Y"/>
    <x v="1"/>
    <n v="13"/>
    <n v="3"/>
    <n v="2"/>
    <n v="80"/>
    <n v="1"/>
    <n v="15"/>
    <n v="3"/>
    <n v="3"/>
    <n v="15"/>
    <n v="12"/>
    <n v="5"/>
    <n v="11"/>
    <x v="0"/>
    <x v="3"/>
    <x v="3"/>
    <n v="0"/>
  </r>
  <r>
    <x v="5"/>
    <x v="1"/>
    <x v="2"/>
    <n v="1184"/>
    <x v="1"/>
    <n v="1"/>
    <n v="3"/>
    <s v="Life Sciences"/>
    <n v="1"/>
    <n v="951"/>
    <n v="3"/>
    <x v="0"/>
    <n v="70"/>
    <n v="2"/>
    <x v="1"/>
    <x v="2"/>
    <n v="2"/>
    <x v="1"/>
    <n v="2332"/>
    <n v="3974"/>
    <n v="6"/>
    <s v="Y"/>
    <x v="1"/>
    <n v="20"/>
    <n v="4"/>
    <n v="3"/>
    <n v="80"/>
    <n v="0"/>
    <n v="5"/>
    <n v="3"/>
    <n v="3"/>
    <n v="3"/>
    <n v="0"/>
    <n v="0"/>
    <n v="2"/>
    <x v="2"/>
    <x v="2"/>
    <x v="1"/>
    <n v="0"/>
  </r>
  <r>
    <x v="36"/>
    <x v="0"/>
    <x v="0"/>
    <n v="867"/>
    <x v="0"/>
    <n v="19"/>
    <n v="2"/>
    <s v="Marketing"/>
    <n v="1"/>
    <n v="952"/>
    <n v="3"/>
    <x v="1"/>
    <n v="36"/>
    <n v="2"/>
    <x v="1"/>
    <x v="6"/>
    <n v="2"/>
    <x v="1"/>
    <n v="2413"/>
    <n v="18798"/>
    <n v="1"/>
    <s v="Y"/>
    <x v="0"/>
    <n v="18"/>
    <n v="3"/>
    <n v="3"/>
    <n v="80"/>
    <n v="3"/>
    <n v="1"/>
    <n v="2"/>
    <n v="3"/>
    <n v="1"/>
    <n v="0"/>
    <n v="0"/>
    <n v="0"/>
    <x v="2"/>
    <x v="1"/>
    <x v="1"/>
    <n v="1"/>
  </r>
  <r>
    <x v="32"/>
    <x v="1"/>
    <x v="0"/>
    <n v="658"/>
    <x v="0"/>
    <n v="10"/>
    <n v="4"/>
    <s v="Marketing"/>
    <n v="1"/>
    <n v="954"/>
    <n v="1"/>
    <x v="1"/>
    <n v="67"/>
    <n v="2"/>
    <x v="2"/>
    <x v="0"/>
    <n v="2"/>
    <x v="2"/>
    <n v="9705"/>
    <n v="20652"/>
    <n v="2"/>
    <s v="Y"/>
    <x v="1"/>
    <n v="12"/>
    <n v="3"/>
    <n v="2"/>
    <n v="80"/>
    <n v="1"/>
    <n v="11"/>
    <n v="2"/>
    <n v="2"/>
    <n v="1"/>
    <n v="0"/>
    <n v="0"/>
    <n v="0"/>
    <x v="0"/>
    <x v="1"/>
    <x v="3"/>
    <n v="0"/>
  </r>
  <r>
    <x v="25"/>
    <x v="1"/>
    <x v="1"/>
    <n v="1283"/>
    <x v="0"/>
    <n v="1"/>
    <n v="3"/>
    <s v="Medical"/>
    <n v="1"/>
    <n v="956"/>
    <n v="3"/>
    <x v="1"/>
    <n v="52"/>
    <n v="2"/>
    <x v="0"/>
    <x v="0"/>
    <n v="1"/>
    <x v="0"/>
    <n v="4294"/>
    <n v="11148"/>
    <n v="1"/>
    <s v="Y"/>
    <x v="1"/>
    <n v="12"/>
    <n v="3"/>
    <n v="2"/>
    <n v="80"/>
    <n v="0"/>
    <n v="7"/>
    <n v="2"/>
    <n v="3"/>
    <n v="7"/>
    <n v="7"/>
    <n v="0"/>
    <n v="7"/>
    <x v="2"/>
    <x v="0"/>
    <x v="2"/>
    <n v="0"/>
  </r>
  <r>
    <x v="0"/>
    <x v="1"/>
    <x v="0"/>
    <n v="263"/>
    <x v="1"/>
    <n v="6"/>
    <n v="3"/>
    <s v="Medical"/>
    <n v="1"/>
    <n v="957"/>
    <n v="4"/>
    <x v="1"/>
    <n v="59"/>
    <n v="3"/>
    <x v="1"/>
    <x v="2"/>
    <n v="1"/>
    <x v="0"/>
    <n v="4721"/>
    <n v="3119"/>
    <n v="2"/>
    <s v="Y"/>
    <x v="0"/>
    <n v="13"/>
    <n v="3"/>
    <n v="3"/>
    <n v="80"/>
    <n v="0"/>
    <n v="20"/>
    <n v="3"/>
    <n v="3"/>
    <n v="18"/>
    <n v="13"/>
    <n v="2"/>
    <n v="17"/>
    <x v="0"/>
    <x v="3"/>
    <x v="2"/>
    <n v="0"/>
  </r>
  <r>
    <x v="9"/>
    <x v="1"/>
    <x v="0"/>
    <n v="938"/>
    <x v="1"/>
    <n v="2"/>
    <n v="4"/>
    <s v="Medical"/>
    <n v="1"/>
    <n v="958"/>
    <n v="3"/>
    <x v="1"/>
    <n v="79"/>
    <n v="3"/>
    <x v="1"/>
    <x v="2"/>
    <n v="3"/>
    <x v="0"/>
    <n v="2519"/>
    <n v="12287"/>
    <n v="4"/>
    <s v="Y"/>
    <x v="1"/>
    <n v="21"/>
    <n v="4"/>
    <n v="3"/>
    <n v="80"/>
    <n v="0"/>
    <n v="16"/>
    <n v="6"/>
    <n v="3"/>
    <n v="11"/>
    <n v="8"/>
    <n v="3"/>
    <n v="9"/>
    <x v="0"/>
    <x v="3"/>
    <x v="1"/>
    <n v="0"/>
  </r>
  <r>
    <x v="37"/>
    <x v="0"/>
    <x v="0"/>
    <n v="419"/>
    <x v="0"/>
    <n v="21"/>
    <n v="3"/>
    <s v="Other"/>
    <n v="1"/>
    <n v="959"/>
    <n v="4"/>
    <x v="1"/>
    <n v="37"/>
    <n v="2"/>
    <x v="1"/>
    <x v="6"/>
    <n v="2"/>
    <x v="0"/>
    <n v="2121"/>
    <n v="9947"/>
    <n v="1"/>
    <s v="Y"/>
    <x v="0"/>
    <n v="13"/>
    <n v="3"/>
    <n v="2"/>
    <n v="80"/>
    <n v="0"/>
    <n v="1"/>
    <n v="3"/>
    <n v="4"/>
    <n v="1"/>
    <n v="0"/>
    <n v="0"/>
    <n v="0"/>
    <x v="4"/>
    <x v="1"/>
    <x v="1"/>
    <n v="1"/>
  </r>
  <r>
    <x v="35"/>
    <x v="0"/>
    <x v="0"/>
    <n v="129"/>
    <x v="1"/>
    <n v="4"/>
    <n v="3"/>
    <s v="Technical Degree"/>
    <n v="1"/>
    <n v="960"/>
    <n v="1"/>
    <x v="1"/>
    <n v="84"/>
    <n v="3"/>
    <x v="1"/>
    <x v="2"/>
    <n v="1"/>
    <x v="0"/>
    <n v="2973"/>
    <n v="13008"/>
    <n v="1"/>
    <s v="Y"/>
    <x v="1"/>
    <n v="19"/>
    <n v="3"/>
    <n v="2"/>
    <n v="80"/>
    <n v="0"/>
    <n v="1"/>
    <n v="2"/>
    <n v="3"/>
    <n v="1"/>
    <n v="0"/>
    <n v="0"/>
    <n v="0"/>
    <x v="4"/>
    <x v="1"/>
    <x v="1"/>
    <n v="1"/>
  </r>
  <r>
    <x v="12"/>
    <x v="1"/>
    <x v="0"/>
    <n v="616"/>
    <x v="1"/>
    <n v="12"/>
    <n v="3"/>
    <s v="Medical"/>
    <n v="1"/>
    <n v="961"/>
    <n v="4"/>
    <x v="0"/>
    <n v="41"/>
    <n v="3"/>
    <x v="0"/>
    <x v="4"/>
    <n v="4"/>
    <x v="1"/>
    <n v="5855"/>
    <n v="17369"/>
    <n v="0"/>
    <s v="Y"/>
    <x v="0"/>
    <n v="11"/>
    <n v="3"/>
    <n v="3"/>
    <n v="80"/>
    <n v="2"/>
    <n v="10"/>
    <n v="2"/>
    <n v="1"/>
    <n v="9"/>
    <n v="7"/>
    <n v="8"/>
    <n v="5"/>
    <x v="2"/>
    <x v="0"/>
    <x v="0"/>
    <n v="0"/>
  </r>
  <r>
    <x v="32"/>
    <x v="1"/>
    <x v="1"/>
    <n v="1469"/>
    <x v="1"/>
    <n v="9"/>
    <n v="4"/>
    <s v="Medical"/>
    <n v="1"/>
    <n v="964"/>
    <n v="4"/>
    <x v="1"/>
    <n v="35"/>
    <n v="3"/>
    <x v="1"/>
    <x v="1"/>
    <n v="2"/>
    <x v="2"/>
    <n v="3617"/>
    <n v="25063"/>
    <n v="8"/>
    <s v="Y"/>
    <x v="0"/>
    <n v="14"/>
    <n v="3"/>
    <n v="4"/>
    <n v="80"/>
    <n v="1"/>
    <n v="3"/>
    <n v="2"/>
    <n v="3"/>
    <n v="1"/>
    <n v="1"/>
    <n v="0"/>
    <n v="0"/>
    <x v="0"/>
    <x v="1"/>
    <x v="2"/>
    <n v="0"/>
  </r>
  <r>
    <x v="5"/>
    <x v="1"/>
    <x v="0"/>
    <n v="498"/>
    <x v="1"/>
    <n v="3"/>
    <n v="4"/>
    <s v="Medical"/>
    <n v="1"/>
    <n v="966"/>
    <n v="3"/>
    <x v="0"/>
    <n v="93"/>
    <n v="3"/>
    <x v="0"/>
    <x v="3"/>
    <n v="1"/>
    <x v="1"/>
    <n v="6725"/>
    <n v="13554"/>
    <n v="1"/>
    <s v="Y"/>
    <x v="1"/>
    <n v="12"/>
    <n v="3"/>
    <n v="3"/>
    <n v="80"/>
    <n v="1"/>
    <n v="8"/>
    <n v="2"/>
    <n v="4"/>
    <n v="8"/>
    <n v="7"/>
    <n v="6"/>
    <n v="3"/>
    <x v="2"/>
    <x v="0"/>
    <x v="0"/>
    <n v="0"/>
  </r>
  <r>
    <x v="9"/>
    <x v="0"/>
    <x v="0"/>
    <n v="530"/>
    <x v="0"/>
    <n v="3"/>
    <n v="1"/>
    <s v="Life Sciences"/>
    <n v="1"/>
    <n v="967"/>
    <n v="3"/>
    <x v="1"/>
    <n v="51"/>
    <n v="2"/>
    <x v="2"/>
    <x v="0"/>
    <n v="4"/>
    <x v="1"/>
    <n v="10325"/>
    <n v="5518"/>
    <n v="1"/>
    <s v="Y"/>
    <x v="0"/>
    <n v="11"/>
    <n v="3"/>
    <n v="1"/>
    <n v="80"/>
    <n v="1"/>
    <n v="16"/>
    <n v="6"/>
    <n v="3"/>
    <n v="16"/>
    <n v="7"/>
    <n v="3"/>
    <n v="7"/>
    <x v="0"/>
    <x v="3"/>
    <x v="3"/>
    <n v="1"/>
  </r>
  <r>
    <x v="3"/>
    <x v="1"/>
    <x v="0"/>
    <n v="1069"/>
    <x v="1"/>
    <n v="1"/>
    <n v="3"/>
    <s v="Life Sciences"/>
    <n v="1"/>
    <n v="969"/>
    <n v="2"/>
    <x v="0"/>
    <n v="42"/>
    <n v="2"/>
    <x v="0"/>
    <x v="4"/>
    <n v="4"/>
    <x v="0"/>
    <n v="6949"/>
    <n v="12291"/>
    <n v="0"/>
    <s v="Y"/>
    <x v="1"/>
    <n v="14"/>
    <n v="3"/>
    <n v="1"/>
    <n v="80"/>
    <n v="0"/>
    <n v="6"/>
    <n v="3"/>
    <n v="3"/>
    <n v="5"/>
    <n v="0"/>
    <n v="1"/>
    <n v="4"/>
    <x v="2"/>
    <x v="2"/>
    <x v="0"/>
    <n v="0"/>
  </r>
  <r>
    <x v="2"/>
    <x v="0"/>
    <x v="0"/>
    <n v="625"/>
    <x v="0"/>
    <n v="1"/>
    <n v="4"/>
    <s v="Life Sciences"/>
    <n v="1"/>
    <n v="970"/>
    <n v="1"/>
    <x v="1"/>
    <n v="46"/>
    <n v="2"/>
    <x v="2"/>
    <x v="0"/>
    <n v="3"/>
    <x v="1"/>
    <n v="10609"/>
    <n v="14922"/>
    <n v="5"/>
    <s v="Y"/>
    <x v="1"/>
    <n v="11"/>
    <n v="3"/>
    <n v="3"/>
    <n v="80"/>
    <n v="0"/>
    <n v="17"/>
    <n v="2"/>
    <n v="1"/>
    <n v="14"/>
    <n v="1"/>
    <n v="11"/>
    <n v="7"/>
    <x v="0"/>
    <x v="3"/>
    <x v="3"/>
    <n v="1"/>
  </r>
  <r>
    <x v="28"/>
    <x v="1"/>
    <x v="2"/>
    <n v="805"/>
    <x v="1"/>
    <n v="4"/>
    <n v="2"/>
    <s v="Life Sciences"/>
    <n v="1"/>
    <n v="972"/>
    <n v="3"/>
    <x v="1"/>
    <n v="57"/>
    <n v="3"/>
    <x v="0"/>
    <x v="2"/>
    <n v="2"/>
    <x v="1"/>
    <n v="4447"/>
    <n v="23163"/>
    <n v="1"/>
    <s v="Y"/>
    <x v="1"/>
    <n v="12"/>
    <n v="3"/>
    <n v="2"/>
    <n v="80"/>
    <n v="0"/>
    <n v="9"/>
    <n v="5"/>
    <n v="2"/>
    <n v="9"/>
    <n v="7"/>
    <n v="0"/>
    <n v="8"/>
    <x v="1"/>
    <x v="0"/>
    <x v="2"/>
    <n v="0"/>
  </r>
  <r>
    <x v="11"/>
    <x v="1"/>
    <x v="1"/>
    <n v="1404"/>
    <x v="0"/>
    <n v="20"/>
    <n v="3"/>
    <s v="Technical Degree"/>
    <n v="1"/>
    <n v="974"/>
    <n v="3"/>
    <x v="0"/>
    <n v="84"/>
    <n v="3"/>
    <x v="1"/>
    <x v="6"/>
    <n v="4"/>
    <x v="1"/>
    <n v="2157"/>
    <n v="18203"/>
    <n v="1"/>
    <s v="Y"/>
    <x v="1"/>
    <n v="15"/>
    <n v="3"/>
    <n v="2"/>
    <n v="80"/>
    <n v="1"/>
    <n v="3"/>
    <n v="5"/>
    <n v="3"/>
    <n v="3"/>
    <n v="1"/>
    <n v="0"/>
    <n v="2"/>
    <x v="2"/>
    <x v="2"/>
    <x v="1"/>
    <n v="0"/>
  </r>
  <r>
    <x v="10"/>
    <x v="1"/>
    <x v="0"/>
    <n v="1219"/>
    <x v="0"/>
    <n v="18"/>
    <n v="3"/>
    <s v="Medical"/>
    <n v="1"/>
    <n v="975"/>
    <n v="3"/>
    <x v="0"/>
    <n v="86"/>
    <n v="3"/>
    <x v="0"/>
    <x v="0"/>
    <n v="3"/>
    <x v="1"/>
    <n v="4601"/>
    <n v="6179"/>
    <n v="1"/>
    <s v="Y"/>
    <x v="1"/>
    <n v="16"/>
    <n v="3"/>
    <n v="2"/>
    <n v="80"/>
    <n v="0"/>
    <n v="5"/>
    <n v="3"/>
    <n v="3"/>
    <n v="5"/>
    <n v="2"/>
    <n v="1"/>
    <n v="0"/>
    <x v="0"/>
    <x v="2"/>
    <x v="2"/>
    <n v="0"/>
  </r>
  <r>
    <x v="39"/>
    <x v="1"/>
    <x v="0"/>
    <n v="1053"/>
    <x v="1"/>
    <n v="1"/>
    <n v="2"/>
    <s v="Life Sciences"/>
    <n v="1"/>
    <n v="976"/>
    <n v="4"/>
    <x v="1"/>
    <n v="70"/>
    <n v="3"/>
    <x v="3"/>
    <x v="5"/>
    <n v="4"/>
    <x v="1"/>
    <n v="17099"/>
    <n v="13829"/>
    <n v="2"/>
    <s v="Y"/>
    <x v="1"/>
    <n v="15"/>
    <n v="3"/>
    <n v="2"/>
    <n v="80"/>
    <n v="1"/>
    <n v="26"/>
    <n v="2"/>
    <n v="2"/>
    <n v="9"/>
    <n v="8"/>
    <n v="7"/>
    <n v="8"/>
    <x v="1"/>
    <x v="0"/>
    <x v="3"/>
    <n v="0"/>
  </r>
  <r>
    <x v="34"/>
    <x v="0"/>
    <x v="0"/>
    <n v="289"/>
    <x v="1"/>
    <n v="2"/>
    <n v="3"/>
    <s v="Technical Degree"/>
    <n v="1"/>
    <n v="977"/>
    <n v="4"/>
    <x v="1"/>
    <n v="51"/>
    <n v="3"/>
    <x v="1"/>
    <x v="1"/>
    <n v="3"/>
    <x v="0"/>
    <n v="2479"/>
    <n v="26227"/>
    <n v="4"/>
    <s v="Y"/>
    <x v="1"/>
    <n v="24"/>
    <n v="4"/>
    <n v="1"/>
    <n v="80"/>
    <n v="0"/>
    <n v="7"/>
    <n v="4"/>
    <n v="3"/>
    <n v="1"/>
    <n v="0"/>
    <n v="0"/>
    <n v="0"/>
    <x v="3"/>
    <x v="1"/>
    <x v="1"/>
    <n v="1"/>
  </r>
  <r>
    <x v="16"/>
    <x v="1"/>
    <x v="0"/>
    <n v="1376"/>
    <x v="0"/>
    <n v="2"/>
    <n v="2"/>
    <s v="Medical"/>
    <n v="1"/>
    <n v="981"/>
    <n v="3"/>
    <x v="1"/>
    <n v="45"/>
    <n v="3"/>
    <x v="3"/>
    <x v="5"/>
    <n v="3"/>
    <x v="2"/>
    <n v="14852"/>
    <n v="13938"/>
    <n v="6"/>
    <s v="Y"/>
    <x v="1"/>
    <n v="13"/>
    <n v="3"/>
    <n v="3"/>
    <n v="80"/>
    <n v="1"/>
    <n v="22"/>
    <n v="3"/>
    <n v="4"/>
    <n v="17"/>
    <n v="13"/>
    <n v="15"/>
    <n v="2"/>
    <x v="1"/>
    <x v="3"/>
    <x v="3"/>
    <n v="0"/>
  </r>
  <r>
    <x v="7"/>
    <x v="1"/>
    <x v="0"/>
    <n v="231"/>
    <x v="0"/>
    <n v="8"/>
    <n v="2"/>
    <s v="Other"/>
    <n v="1"/>
    <n v="982"/>
    <n v="3"/>
    <x v="1"/>
    <n v="62"/>
    <n v="3"/>
    <x v="2"/>
    <x v="0"/>
    <n v="3"/>
    <x v="2"/>
    <n v="7264"/>
    <n v="9977"/>
    <n v="5"/>
    <s v="Y"/>
    <x v="1"/>
    <n v="11"/>
    <n v="3"/>
    <n v="1"/>
    <n v="80"/>
    <n v="1"/>
    <n v="10"/>
    <n v="2"/>
    <n v="4"/>
    <n v="8"/>
    <n v="4"/>
    <n v="7"/>
    <n v="7"/>
    <x v="2"/>
    <x v="0"/>
    <x v="0"/>
    <n v="0"/>
  </r>
  <r>
    <x v="8"/>
    <x v="1"/>
    <x v="2"/>
    <n v="152"/>
    <x v="0"/>
    <n v="10"/>
    <n v="3"/>
    <s v="Technical Degree"/>
    <n v="1"/>
    <n v="983"/>
    <n v="3"/>
    <x v="0"/>
    <n v="85"/>
    <n v="3"/>
    <x v="0"/>
    <x v="0"/>
    <n v="4"/>
    <x v="0"/>
    <n v="5666"/>
    <n v="19899"/>
    <n v="1"/>
    <s v="Y"/>
    <x v="0"/>
    <n v="13"/>
    <n v="3"/>
    <n v="2"/>
    <n v="80"/>
    <n v="0"/>
    <n v="6"/>
    <n v="1"/>
    <n v="3"/>
    <n v="5"/>
    <n v="3"/>
    <n v="1"/>
    <n v="3"/>
    <x v="0"/>
    <x v="2"/>
    <x v="0"/>
    <n v="0"/>
  </r>
  <r>
    <x v="10"/>
    <x v="1"/>
    <x v="0"/>
    <n v="882"/>
    <x v="0"/>
    <n v="3"/>
    <n v="4"/>
    <s v="Life Sciences"/>
    <n v="1"/>
    <n v="984"/>
    <n v="4"/>
    <x v="1"/>
    <n v="92"/>
    <n v="3"/>
    <x v="2"/>
    <x v="0"/>
    <n v="4"/>
    <x v="2"/>
    <n v="7823"/>
    <n v="6812"/>
    <n v="6"/>
    <s v="Y"/>
    <x v="1"/>
    <n v="13"/>
    <n v="3"/>
    <n v="2"/>
    <n v="80"/>
    <n v="1"/>
    <n v="12"/>
    <n v="2"/>
    <n v="3"/>
    <n v="10"/>
    <n v="9"/>
    <n v="0"/>
    <n v="8"/>
    <x v="0"/>
    <x v="0"/>
    <x v="0"/>
    <n v="0"/>
  </r>
  <r>
    <x v="22"/>
    <x v="1"/>
    <x v="0"/>
    <n v="903"/>
    <x v="0"/>
    <n v="2"/>
    <n v="5"/>
    <s v="Life Sciences"/>
    <n v="1"/>
    <n v="985"/>
    <n v="1"/>
    <x v="1"/>
    <n v="41"/>
    <n v="4"/>
    <x v="2"/>
    <x v="0"/>
    <n v="3"/>
    <x v="0"/>
    <n v="7880"/>
    <n v="2560"/>
    <n v="0"/>
    <s v="Y"/>
    <x v="1"/>
    <n v="18"/>
    <n v="3"/>
    <n v="4"/>
    <n v="80"/>
    <n v="0"/>
    <n v="9"/>
    <n v="3"/>
    <n v="3"/>
    <n v="8"/>
    <n v="7"/>
    <n v="0"/>
    <n v="7"/>
    <x v="0"/>
    <x v="0"/>
    <x v="0"/>
    <n v="0"/>
  </r>
  <r>
    <x v="32"/>
    <x v="0"/>
    <x v="2"/>
    <n v="1479"/>
    <x v="0"/>
    <n v="24"/>
    <n v="3"/>
    <s v="Life Sciences"/>
    <n v="1"/>
    <n v="986"/>
    <n v="2"/>
    <x v="0"/>
    <n v="100"/>
    <n v="4"/>
    <x v="3"/>
    <x v="0"/>
    <n v="2"/>
    <x v="0"/>
    <n v="13194"/>
    <n v="17071"/>
    <n v="4"/>
    <s v="Y"/>
    <x v="0"/>
    <n v="16"/>
    <n v="3"/>
    <n v="4"/>
    <n v="80"/>
    <n v="0"/>
    <n v="22"/>
    <n v="2"/>
    <n v="2"/>
    <n v="1"/>
    <n v="0"/>
    <n v="0"/>
    <n v="0"/>
    <x v="0"/>
    <x v="1"/>
    <x v="3"/>
    <n v="1"/>
  </r>
  <r>
    <x v="40"/>
    <x v="1"/>
    <x v="1"/>
    <n v="1379"/>
    <x v="1"/>
    <n v="16"/>
    <n v="4"/>
    <s v="Medical"/>
    <n v="1"/>
    <n v="987"/>
    <n v="3"/>
    <x v="1"/>
    <n v="64"/>
    <n v="4"/>
    <x v="0"/>
    <x v="3"/>
    <n v="3"/>
    <x v="2"/>
    <n v="5067"/>
    <n v="6759"/>
    <n v="1"/>
    <s v="Y"/>
    <x v="0"/>
    <n v="19"/>
    <n v="3"/>
    <n v="3"/>
    <n v="80"/>
    <n v="0"/>
    <n v="20"/>
    <n v="3"/>
    <n v="4"/>
    <n v="19"/>
    <n v="10"/>
    <n v="2"/>
    <n v="7"/>
    <x v="1"/>
    <x v="3"/>
    <x v="0"/>
    <n v="0"/>
  </r>
  <r>
    <x v="9"/>
    <x v="1"/>
    <x v="2"/>
    <n v="1229"/>
    <x v="0"/>
    <n v="8"/>
    <n v="4"/>
    <s v="Technical Degree"/>
    <n v="1"/>
    <n v="990"/>
    <n v="1"/>
    <x v="1"/>
    <n v="84"/>
    <n v="3"/>
    <x v="0"/>
    <x v="0"/>
    <n v="4"/>
    <x v="2"/>
    <n v="5079"/>
    <n v="25952"/>
    <n v="4"/>
    <s v="Y"/>
    <x v="1"/>
    <n v="13"/>
    <n v="3"/>
    <n v="4"/>
    <n v="80"/>
    <n v="2"/>
    <n v="12"/>
    <n v="3"/>
    <n v="3"/>
    <n v="7"/>
    <n v="7"/>
    <n v="0"/>
    <n v="7"/>
    <x v="0"/>
    <x v="0"/>
    <x v="0"/>
    <n v="0"/>
  </r>
  <r>
    <x v="12"/>
    <x v="0"/>
    <x v="2"/>
    <n v="335"/>
    <x v="1"/>
    <n v="9"/>
    <n v="2"/>
    <s v="Medical"/>
    <n v="1"/>
    <n v="991"/>
    <n v="3"/>
    <x v="1"/>
    <n v="46"/>
    <n v="2"/>
    <x v="1"/>
    <x v="1"/>
    <n v="1"/>
    <x v="0"/>
    <n v="2321"/>
    <n v="10322"/>
    <n v="0"/>
    <s v="Y"/>
    <x v="0"/>
    <n v="22"/>
    <n v="4"/>
    <n v="1"/>
    <n v="80"/>
    <n v="0"/>
    <n v="4"/>
    <n v="0"/>
    <n v="3"/>
    <n v="3"/>
    <n v="2"/>
    <n v="1"/>
    <n v="2"/>
    <x v="2"/>
    <x v="2"/>
    <x v="1"/>
    <n v="1"/>
  </r>
  <r>
    <x v="3"/>
    <x v="1"/>
    <x v="2"/>
    <n v="722"/>
    <x v="0"/>
    <n v="17"/>
    <n v="3"/>
    <s v="Life Sciences"/>
    <n v="1"/>
    <n v="992"/>
    <n v="4"/>
    <x v="1"/>
    <n v="38"/>
    <n v="3"/>
    <x v="3"/>
    <x v="5"/>
    <n v="3"/>
    <x v="0"/>
    <n v="17444"/>
    <n v="20489"/>
    <n v="1"/>
    <s v="Y"/>
    <x v="1"/>
    <n v="11"/>
    <n v="3"/>
    <n v="4"/>
    <n v="80"/>
    <n v="0"/>
    <n v="10"/>
    <n v="2"/>
    <n v="3"/>
    <n v="10"/>
    <n v="8"/>
    <n v="6"/>
    <n v="0"/>
    <x v="2"/>
    <x v="0"/>
    <x v="3"/>
    <n v="0"/>
  </r>
  <r>
    <x v="11"/>
    <x v="0"/>
    <x v="0"/>
    <n v="906"/>
    <x v="1"/>
    <n v="10"/>
    <n v="3"/>
    <s v="Life Sciences"/>
    <n v="1"/>
    <n v="994"/>
    <n v="4"/>
    <x v="0"/>
    <n v="92"/>
    <n v="2"/>
    <x v="1"/>
    <x v="1"/>
    <n v="1"/>
    <x v="0"/>
    <n v="2404"/>
    <n v="11479"/>
    <n v="6"/>
    <s v="Y"/>
    <x v="0"/>
    <n v="20"/>
    <n v="4"/>
    <n v="3"/>
    <n v="80"/>
    <n v="0"/>
    <n v="3"/>
    <n v="5"/>
    <n v="3"/>
    <n v="0"/>
    <n v="0"/>
    <n v="0"/>
    <n v="0"/>
    <x v="2"/>
    <x v="1"/>
    <x v="1"/>
    <n v="1"/>
  </r>
  <r>
    <x v="3"/>
    <x v="1"/>
    <x v="0"/>
    <n v="461"/>
    <x v="1"/>
    <n v="13"/>
    <n v="1"/>
    <s v="Life Sciences"/>
    <n v="1"/>
    <n v="995"/>
    <n v="2"/>
    <x v="0"/>
    <n v="53"/>
    <n v="3"/>
    <x v="1"/>
    <x v="1"/>
    <n v="4"/>
    <x v="0"/>
    <n v="3452"/>
    <n v="17241"/>
    <n v="3"/>
    <s v="Y"/>
    <x v="1"/>
    <n v="18"/>
    <n v="3"/>
    <n v="1"/>
    <n v="80"/>
    <n v="0"/>
    <n v="5"/>
    <n v="4"/>
    <n v="3"/>
    <n v="3"/>
    <n v="2"/>
    <n v="0"/>
    <n v="2"/>
    <x v="2"/>
    <x v="2"/>
    <x v="2"/>
    <n v="0"/>
  </r>
  <r>
    <x v="28"/>
    <x v="1"/>
    <x v="0"/>
    <n v="974"/>
    <x v="1"/>
    <n v="1"/>
    <n v="4"/>
    <s v="Medical"/>
    <n v="1"/>
    <n v="996"/>
    <n v="4"/>
    <x v="0"/>
    <n v="91"/>
    <n v="3"/>
    <x v="1"/>
    <x v="2"/>
    <n v="4"/>
    <x v="2"/>
    <n v="2270"/>
    <n v="11005"/>
    <n v="3"/>
    <s v="Y"/>
    <x v="1"/>
    <n v="14"/>
    <n v="3"/>
    <n v="4"/>
    <n v="80"/>
    <n v="2"/>
    <n v="8"/>
    <n v="2"/>
    <n v="3"/>
    <n v="5"/>
    <n v="3"/>
    <n v="0"/>
    <n v="2"/>
    <x v="1"/>
    <x v="2"/>
    <x v="1"/>
    <n v="0"/>
  </r>
  <r>
    <x v="24"/>
    <x v="1"/>
    <x v="0"/>
    <n v="1126"/>
    <x v="1"/>
    <n v="1"/>
    <n v="2"/>
    <s v="Medical"/>
    <n v="1"/>
    <n v="997"/>
    <n v="4"/>
    <x v="1"/>
    <n v="66"/>
    <n v="3"/>
    <x v="3"/>
    <x v="7"/>
    <n v="4"/>
    <x v="2"/>
    <n v="17399"/>
    <n v="6615"/>
    <n v="9"/>
    <s v="Y"/>
    <x v="1"/>
    <n v="22"/>
    <n v="4"/>
    <n v="3"/>
    <n v="80"/>
    <n v="1"/>
    <n v="32"/>
    <n v="1"/>
    <n v="2"/>
    <n v="5"/>
    <n v="4"/>
    <n v="1"/>
    <n v="3"/>
    <x v="1"/>
    <x v="2"/>
    <x v="3"/>
    <n v="0"/>
  </r>
  <r>
    <x v="3"/>
    <x v="1"/>
    <x v="1"/>
    <n v="827"/>
    <x v="1"/>
    <n v="1"/>
    <n v="4"/>
    <s v="Other"/>
    <n v="1"/>
    <n v="998"/>
    <n v="3"/>
    <x v="0"/>
    <n v="84"/>
    <n v="4"/>
    <x v="0"/>
    <x v="4"/>
    <n v="2"/>
    <x v="1"/>
    <n v="5488"/>
    <n v="20161"/>
    <n v="1"/>
    <s v="Y"/>
    <x v="0"/>
    <n v="13"/>
    <n v="3"/>
    <n v="1"/>
    <n v="80"/>
    <n v="1"/>
    <n v="6"/>
    <n v="2"/>
    <n v="3"/>
    <n v="6"/>
    <n v="5"/>
    <n v="1"/>
    <n v="2"/>
    <x v="2"/>
    <x v="0"/>
    <x v="0"/>
    <n v="0"/>
  </r>
  <r>
    <x v="0"/>
    <x v="1"/>
    <x v="1"/>
    <n v="840"/>
    <x v="1"/>
    <n v="9"/>
    <n v="3"/>
    <s v="Medical"/>
    <n v="1"/>
    <n v="999"/>
    <n v="1"/>
    <x v="1"/>
    <n v="64"/>
    <n v="3"/>
    <x v="4"/>
    <x v="7"/>
    <n v="3"/>
    <x v="2"/>
    <n v="19419"/>
    <n v="3735"/>
    <n v="2"/>
    <s v="Y"/>
    <x v="1"/>
    <n v="17"/>
    <n v="3"/>
    <n v="2"/>
    <n v="80"/>
    <n v="1"/>
    <n v="21"/>
    <n v="2"/>
    <n v="4"/>
    <n v="18"/>
    <n v="16"/>
    <n v="0"/>
    <n v="11"/>
    <x v="0"/>
    <x v="3"/>
    <x v="3"/>
    <n v="0"/>
  </r>
  <r>
    <x v="4"/>
    <x v="1"/>
    <x v="0"/>
    <n v="1134"/>
    <x v="1"/>
    <n v="16"/>
    <n v="4"/>
    <s v="Technical Degree"/>
    <n v="1"/>
    <n v="1001"/>
    <n v="3"/>
    <x v="0"/>
    <n v="37"/>
    <n v="3"/>
    <x v="1"/>
    <x v="2"/>
    <n v="2"/>
    <x v="1"/>
    <n v="2811"/>
    <n v="12086"/>
    <n v="9"/>
    <s v="Y"/>
    <x v="1"/>
    <n v="14"/>
    <n v="3"/>
    <n v="2"/>
    <n v="80"/>
    <n v="1"/>
    <n v="4"/>
    <n v="2"/>
    <n v="3"/>
    <n v="2"/>
    <n v="2"/>
    <n v="2"/>
    <n v="2"/>
    <x v="2"/>
    <x v="1"/>
    <x v="1"/>
    <n v="0"/>
  </r>
  <r>
    <x v="28"/>
    <x v="1"/>
    <x v="2"/>
    <n v="248"/>
    <x v="1"/>
    <n v="23"/>
    <n v="2"/>
    <s v="Life Sciences"/>
    <n v="1"/>
    <n v="1002"/>
    <n v="4"/>
    <x v="1"/>
    <n v="42"/>
    <n v="3"/>
    <x v="0"/>
    <x v="2"/>
    <n v="1"/>
    <x v="1"/>
    <n v="3633"/>
    <n v="14039"/>
    <n v="1"/>
    <s v="Y"/>
    <x v="0"/>
    <n v="15"/>
    <n v="3"/>
    <n v="3"/>
    <n v="80"/>
    <n v="1"/>
    <n v="9"/>
    <n v="2"/>
    <n v="3"/>
    <n v="9"/>
    <n v="8"/>
    <n v="0"/>
    <n v="8"/>
    <x v="1"/>
    <x v="0"/>
    <x v="2"/>
    <n v="0"/>
  </r>
  <r>
    <x v="40"/>
    <x v="1"/>
    <x v="0"/>
    <n v="955"/>
    <x v="0"/>
    <n v="4"/>
    <n v="2"/>
    <s v="Life Sciences"/>
    <n v="1"/>
    <n v="1003"/>
    <n v="4"/>
    <x v="0"/>
    <n v="83"/>
    <n v="3"/>
    <x v="0"/>
    <x v="0"/>
    <n v="4"/>
    <x v="0"/>
    <n v="4163"/>
    <n v="8571"/>
    <n v="1"/>
    <s v="Y"/>
    <x v="0"/>
    <n v="17"/>
    <n v="3"/>
    <n v="3"/>
    <n v="80"/>
    <n v="0"/>
    <n v="9"/>
    <n v="0"/>
    <n v="3"/>
    <n v="9"/>
    <n v="0"/>
    <n v="0"/>
    <n v="7"/>
    <x v="1"/>
    <x v="0"/>
    <x v="2"/>
    <n v="0"/>
  </r>
  <r>
    <x v="7"/>
    <x v="0"/>
    <x v="0"/>
    <n v="138"/>
    <x v="1"/>
    <n v="22"/>
    <n v="3"/>
    <s v="Life Sciences"/>
    <n v="1"/>
    <n v="1004"/>
    <n v="1"/>
    <x v="0"/>
    <n v="48"/>
    <n v="3"/>
    <x v="1"/>
    <x v="1"/>
    <n v="3"/>
    <x v="1"/>
    <n v="2132"/>
    <n v="11539"/>
    <n v="4"/>
    <s v="Y"/>
    <x v="0"/>
    <n v="11"/>
    <n v="3"/>
    <n v="2"/>
    <n v="80"/>
    <n v="0"/>
    <n v="7"/>
    <n v="2"/>
    <n v="3"/>
    <n v="5"/>
    <n v="2"/>
    <n v="0"/>
    <n v="1"/>
    <x v="2"/>
    <x v="2"/>
    <x v="1"/>
    <n v="1"/>
  </r>
  <r>
    <x v="24"/>
    <x v="1"/>
    <x v="0"/>
    <n v="939"/>
    <x v="1"/>
    <n v="24"/>
    <n v="3"/>
    <s v="Life Sciences"/>
    <n v="1"/>
    <n v="1005"/>
    <n v="4"/>
    <x v="1"/>
    <n v="95"/>
    <n v="3"/>
    <x v="3"/>
    <x v="3"/>
    <n v="3"/>
    <x v="1"/>
    <n v="13973"/>
    <n v="4161"/>
    <n v="3"/>
    <s v="Y"/>
    <x v="0"/>
    <n v="18"/>
    <n v="3"/>
    <n v="4"/>
    <n v="80"/>
    <n v="1"/>
    <n v="22"/>
    <n v="2"/>
    <n v="3"/>
    <n v="12"/>
    <n v="11"/>
    <n v="1"/>
    <n v="5"/>
    <x v="1"/>
    <x v="3"/>
    <x v="3"/>
    <n v="0"/>
  </r>
  <r>
    <x v="8"/>
    <x v="1"/>
    <x v="1"/>
    <n v="1391"/>
    <x v="1"/>
    <n v="10"/>
    <n v="1"/>
    <s v="Medical"/>
    <n v="1"/>
    <n v="1006"/>
    <n v="3"/>
    <x v="1"/>
    <n v="66"/>
    <n v="3"/>
    <x v="1"/>
    <x v="1"/>
    <n v="3"/>
    <x v="1"/>
    <n v="2684"/>
    <n v="12127"/>
    <n v="0"/>
    <s v="Y"/>
    <x v="1"/>
    <n v="17"/>
    <n v="3"/>
    <n v="2"/>
    <n v="80"/>
    <n v="1"/>
    <n v="3"/>
    <n v="0"/>
    <n v="2"/>
    <n v="2"/>
    <n v="1"/>
    <n v="0"/>
    <n v="2"/>
    <x v="0"/>
    <x v="1"/>
    <x v="1"/>
    <n v="0"/>
  </r>
  <r>
    <x v="21"/>
    <x v="1"/>
    <x v="0"/>
    <n v="566"/>
    <x v="1"/>
    <n v="7"/>
    <n v="2"/>
    <s v="Medical"/>
    <n v="1"/>
    <n v="1007"/>
    <n v="4"/>
    <x v="1"/>
    <n v="75"/>
    <n v="3"/>
    <x v="2"/>
    <x v="3"/>
    <n v="3"/>
    <x v="2"/>
    <n v="10845"/>
    <n v="24208"/>
    <n v="6"/>
    <s v="Y"/>
    <x v="1"/>
    <n v="13"/>
    <n v="3"/>
    <n v="2"/>
    <n v="80"/>
    <n v="1"/>
    <n v="13"/>
    <n v="3"/>
    <n v="3"/>
    <n v="8"/>
    <n v="7"/>
    <n v="0"/>
    <n v="7"/>
    <x v="1"/>
    <x v="0"/>
    <x v="3"/>
    <n v="0"/>
  </r>
  <r>
    <x v="17"/>
    <x v="1"/>
    <x v="0"/>
    <n v="1206"/>
    <x v="1"/>
    <n v="17"/>
    <n v="1"/>
    <s v="Medical"/>
    <n v="1"/>
    <n v="1009"/>
    <n v="4"/>
    <x v="0"/>
    <n v="41"/>
    <n v="2"/>
    <x v="0"/>
    <x v="3"/>
    <n v="3"/>
    <x v="2"/>
    <n v="4377"/>
    <n v="24117"/>
    <n v="1"/>
    <s v="Y"/>
    <x v="1"/>
    <n v="15"/>
    <n v="3"/>
    <n v="2"/>
    <n v="80"/>
    <n v="2"/>
    <n v="5"/>
    <n v="6"/>
    <n v="3"/>
    <n v="4"/>
    <n v="2"/>
    <n v="3"/>
    <n v="2"/>
    <x v="4"/>
    <x v="2"/>
    <x v="2"/>
    <n v="0"/>
  </r>
  <r>
    <x v="10"/>
    <x v="0"/>
    <x v="0"/>
    <n v="622"/>
    <x v="1"/>
    <n v="14"/>
    <n v="4"/>
    <s v="Other"/>
    <n v="1"/>
    <n v="1010"/>
    <n v="3"/>
    <x v="1"/>
    <n v="39"/>
    <n v="2"/>
    <x v="1"/>
    <x v="2"/>
    <n v="2"/>
    <x v="2"/>
    <n v="3743"/>
    <n v="10074"/>
    <n v="1"/>
    <s v="Y"/>
    <x v="0"/>
    <n v="24"/>
    <n v="4"/>
    <n v="4"/>
    <n v="80"/>
    <n v="1"/>
    <n v="5"/>
    <n v="2"/>
    <n v="1"/>
    <n v="4"/>
    <n v="2"/>
    <n v="0"/>
    <n v="2"/>
    <x v="0"/>
    <x v="2"/>
    <x v="2"/>
    <n v="1"/>
  </r>
  <r>
    <x v="12"/>
    <x v="1"/>
    <x v="1"/>
    <n v="853"/>
    <x v="1"/>
    <n v="1"/>
    <n v="1"/>
    <s v="Life Sciences"/>
    <n v="1"/>
    <n v="1011"/>
    <n v="3"/>
    <x v="0"/>
    <n v="96"/>
    <n v="3"/>
    <x v="0"/>
    <x v="3"/>
    <n v="1"/>
    <x v="1"/>
    <n v="4148"/>
    <n v="11275"/>
    <n v="1"/>
    <s v="Y"/>
    <x v="1"/>
    <n v="12"/>
    <n v="3"/>
    <n v="3"/>
    <n v="80"/>
    <n v="1"/>
    <n v="4"/>
    <n v="1"/>
    <n v="3"/>
    <n v="4"/>
    <n v="3"/>
    <n v="0"/>
    <n v="3"/>
    <x v="2"/>
    <x v="2"/>
    <x v="2"/>
    <n v="0"/>
  </r>
  <r>
    <x v="41"/>
    <x v="1"/>
    <x v="2"/>
    <n v="287"/>
    <x v="1"/>
    <n v="5"/>
    <n v="2"/>
    <s v="Life Sciences"/>
    <n v="1"/>
    <n v="1012"/>
    <n v="2"/>
    <x v="1"/>
    <n v="73"/>
    <n v="3"/>
    <x v="1"/>
    <x v="1"/>
    <n v="4"/>
    <x v="0"/>
    <n v="1051"/>
    <n v="13493"/>
    <n v="1"/>
    <s v="Y"/>
    <x v="1"/>
    <n v="15"/>
    <n v="3"/>
    <n v="4"/>
    <n v="80"/>
    <n v="0"/>
    <n v="0"/>
    <n v="2"/>
    <n v="3"/>
    <n v="0"/>
    <n v="0"/>
    <n v="0"/>
    <n v="0"/>
    <x v="4"/>
    <x v="1"/>
    <x v="1"/>
    <n v="0"/>
  </r>
  <r>
    <x v="33"/>
    <x v="1"/>
    <x v="0"/>
    <n v="1441"/>
    <x v="1"/>
    <n v="17"/>
    <n v="3"/>
    <s v="Technical Degree"/>
    <n v="1"/>
    <n v="1013"/>
    <n v="3"/>
    <x v="0"/>
    <n v="56"/>
    <n v="3"/>
    <x v="2"/>
    <x v="3"/>
    <n v="3"/>
    <x v="1"/>
    <n v="10739"/>
    <n v="13943"/>
    <n v="8"/>
    <s v="Y"/>
    <x v="1"/>
    <n v="11"/>
    <n v="3"/>
    <n v="3"/>
    <n v="80"/>
    <n v="1"/>
    <n v="22"/>
    <n v="2"/>
    <n v="3"/>
    <n v="10"/>
    <n v="7"/>
    <n v="0"/>
    <n v="8"/>
    <x v="1"/>
    <x v="0"/>
    <x v="3"/>
    <n v="0"/>
  </r>
  <r>
    <x v="10"/>
    <x v="1"/>
    <x v="0"/>
    <n v="583"/>
    <x v="1"/>
    <n v="25"/>
    <n v="4"/>
    <s v="Medical"/>
    <n v="1"/>
    <n v="1014"/>
    <n v="3"/>
    <x v="0"/>
    <n v="57"/>
    <n v="3"/>
    <x v="2"/>
    <x v="4"/>
    <n v="3"/>
    <x v="2"/>
    <n v="10388"/>
    <n v="6975"/>
    <n v="1"/>
    <s v="Y"/>
    <x v="0"/>
    <n v="11"/>
    <n v="3"/>
    <n v="3"/>
    <n v="80"/>
    <n v="1"/>
    <n v="16"/>
    <n v="3"/>
    <n v="2"/>
    <n v="16"/>
    <n v="10"/>
    <n v="10"/>
    <n v="1"/>
    <x v="0"/>
    <x v="3"/>
    <x v="3"/>
    <n v="0"/>
  </r>
  <r>
    <x v="7"/>
    <x v="1"/>
    <x v="0"/>
    <n v="153"/>
    <x v="1"/>
    <n v="8"/>
    <n v="2"/>
    <s v="Life Sciences"/>
    <n v="1"/>
    <n v="1015"/>
    <n v="2"/>
    <x v="0"/>
    <n v="73"/>
    <n v="4"/>
    <x v="2"/>
    <x v="7"/>
    <n v="1"/>
    <x v="1"/>
    <n v="11416"/>
    <n v="17802"/>
    <n v="0"/>
    <s v="Y"/>
    <x v="0"/>
    <n v="12"/>
    <n v="3"/>
    <n v="3"/>
    <n v="80"/>
    <n v="3"/>
    <n v="9"/>
    <n v="4"/>
    <n v="2"/>
    <n v="8"/>
    <n v="7"/>
    <n v="1"/>
    <n v="7"/>
    <x v="2"/>
    <x v="0"/>
    <x v="3"/>
    <n v="0"/>
  </r>
  <r>
    <x v="35"/>
    <x v="0"/>
    <x v="0"/>
    <n v="1097"/>
    <x v="1"/>
    <n v="11"/>
    <n v="3"/>
    <s v="Medical"/>
    <n v="1"/>
    <n v="1016"/>
    <n v="4"/>
    <x v="0"/>
    <n v="98"/>
    <n v="2"/>
    <x v="1"/>
    <x v="1"/>
    <n v="1"/>
    <x v="0"/>
    <n v="2600"/>
    <n v="18275"/>
    <n v="1"/>
    <s v="Y"/>
    <x v="0"/>
    <n v="15"/>
    <n v="3"/>
    <n v="1"/>
    <n v="80"/>
    <n v="0"/>
    <n v="1"/>
    <n v="2"/>
    <n v="3"/>
    <n v="1"/>
    <n v="0"/>
    <n v="0"/>
    <n v="0"/>
    <x v="4"/>
    <x v="1"/>
    <x v="1"/>
    <n v="1"/>
  </r>
  <r>
    <x v="7"/>
    <x v="0"/>
    <x v="1"/>
    <n v="109"/>
    <x v="1"/>
    <n v="5"/>
    <n v="3"/>
    <s v="Medical"/>
    <n v="1"/>
    <n v="1017"/>
    <n v="2"/>
    <x v="0"/>
    <n v="60"/>
    <n v="3"/>
    <x v="1"/>
    <x v="2"/>
    <n v="2"/>
    <x v="0"/>
    <n v="2422"/>
    <n v="25725"/>
    <n v="0"/>
    <s v="Y"/>
    <x v="1"/>
    <n v="17"/>
    <n v="3"/>
    <n v="1"/>
    <n v="80"/>
    <n v="0"/>
    <n v="4"/>
    <n v="3"/>
    <n v="3"/>
    <n v="3"/>
    <n v="2"/>
    <n v="1"/>
    <n v="2"/>
    <x v="2"/>
    <x v="2"/>
    <x v="1"/>
    <n v="1"/>
  </r>
  <r>
    <x v="25"/>
    <x v="1"/>
    <x v="0"/>
    <n v="1066"/>
    <x v="1"/>
    <n v="2"/>
    <n v="2"/>
    <s v="Medical"/>
    <n v="1"/>
    <n v="1018"/>
    <n v="4"/>
    <x v="1"/>
    <n v="32"/>
    <n v="4"/>
    <x v="0"/>
    <x v="3"/>
    <n v="4"/>
    <x v="1"/>
    <n v="5472"/>
    <n v="3334"/>
    <n v="1"/>
    <s v="Y"/>
    <x v="1"/>
    <n v="12"/>
    <n v="3"/>
    <n v="2"/>
    <n v="80"/>
    <n v="0"/>
    <n v="8"/>
    <n v="2"/>
    <n v="3"/>
    <n v="8"/>
    <n v="7"/>
    <n v="1"/>
    <n v="3"/>
    <x v="2"/>
    <x v="0"/>
    <x v="0"/>
    <n v="0"/>
  </r>
  <r>
    <x v="15"/>
    <x v="1"/>
    <x v="0"/>
    <n v="217"/>
    <x v="1"/>
    <n v="8"/>
    <n v="1"/>
    <s v="Life Sciences"/>
    <n v="1"/>
    <n v="1019"/>
    <n v="2"/>
    <x v="1"/>
    <n v="94"/>
    <n v="1"/>
    <x v="1"/>
    <x v="2"/>
    <n v="1"/>
    <x v="1"/>
    <n v="2451"/>
    <n v="6881"/>
    <n v="1"/>
    <s v="Y"/>
    <x v="1"/>
    <n v="15"/>
    <n v="3"/>
    <n v="1"/>
    <n v="80"/>
    <n v="1"/>
    <n v="4"/>
    <n v="3"/>
    <n v="2"/>
    <n v="4"/>
    <n v="3"/>
    <n v="1"/>
    <n v="1"/>
    <x v="4"/>
    <x v="2"/>
    <x v="1"/>
    <n v="0"/>
  </r>
  <r>
    <x v="26"/>
    <x v="1"/>
    <x v="0"/>
    <n v="277"/>
    <x v="1"/>
    <n v="6"/>
    <n v="3"/>
    <s v="Life Sciences"/>
    <n v="1"/>
    <n v="1022"/>
    <n v="1"/>
    <x v="1"/>
    <n v="97"/>
    <n v="2"/>
    <x v="0"/>
    <x v="4"/>
    <n v="3"/>
    <x v="0"/>
    <n v="4240"/>
    <n v="13119"/>
    <n v="2"/>
    <s v="Y"/>
    <x v="1"/>
    <n v="13"/>
    <n v="3"/>
    <n v="4"/>
    <n v="80"/>
    <n v="0"/>
    <n v="19"/>
    <n v="0"/>
    <n v="3"/>
    <n v="2"/>
    <n v="2"/>
    <n v="2"/>
    <n v="2"/>
    <x v="1"/>
    <x v="1"/>
    <x v="2"/>
    <n v="0"/>
  </r>
  <r>
    <x v="26"/>
    <x v="1"/>
    <x v="0"/>
    <n v="1355"/>
    <x v="1"/>
    <n v="4"/>
    <n v="4"/>
    <s v="Life Sciences"/>
    <n v="1"/>
    <n v="1024"/>
    <n v="3"/>
    <x v="1"/>
    <n v="78"/>
    <n v="2"/>
    <x v="2"/>
    <x v="4"/>
    <n v="3"/>
    <x v="0"/>
    <n v="10999"/>
    <n v="22245"/>
    <n v="7"/>
    <s v="Y"/>
    <x v="1"/>
    <n v="14"/>
    <n v="3"/>
    <n v="2"/>
    <n v="80"/>
    <n v="0"/>
    <n v="27"/>
    <n v="3"/>
    <n v="3"/>
    <n v="15"/>
    <n v="11"/>
    <n v="4"/>
    <n v="8"/>
    <x v="1"/>
    <x v="3"/>
    <x v="3"/>
    <n v="0"/>
  </r>
  <r>
    <x v="0"/>
    <x v="1"/>
    <x v="0"/>
    <n v="549"/>
    <x v="1"/>
    <n v="7"/>
    <n v="2"/>
    <s v="Medical"/>
    <n v="1"/>
    <n v="1025"/>
    <n v="4"/>
    <x v="0"/>
    <n v="42"/>
    <n v="3"/>
    <x v="0"/>
    <x v="3"/>
    <n v="3"/>
    <x v="0"/>
    <n v="5003"/>
    <n v="23371"/>
    <n v="6"/>
    <s v="Y"/>
    <x v="1"/>
    <n v="14"/>
    <n v="3"/>
    <n v="2"/>
    <n v="80"/>
    <n v="0"/>
    <n v="8"/>
    <n v="6"/>
    <n v="3"/>
    <n v="2"/>
    <n v="2"/>
    <n v="2"/>
    <n v="1"/>
    <x v="0"/>
    <x v="1"/>
    <x v="0"/>
    <n v="0"/>
  </r>
  <r>
    <x v="22"/>
    <x v="1"/>
    <x v="0"/>
    <n v="466"/>
    <x v="1"/>
    <n v="1"/>
    <n v="1"/>
    <s v="Life Sciences"/>
    <n v="1"/>
    <n v="1026"/>
    <n v="4"/>
    <x v="0"/>
    <n v="65"/>
    <n v="2"/>
    <x v="3"/>
    <x v="3"/>
    <n v="4"/>
    <x v="1"/>
    <n v="12742"/>
    <n v="7060"/>
    <n v="1"/>
    <s v="Y"/>
    <x v="1"/>
    <n v="16"/>
    <n v="3"/>
    <n v="3"/>
    <n v="80"/>
    <n v="1"/>
    <n v="21"/>
    <n v="3"/>
    <n v="3"/>
    <n v="21"/>
    <n v="6"/>
    <n v="11"/>
    <n v="8"/>
    <x v="0"/>
    <x v="3"/>
    <x v="3"/>
    <n v="0"/>
  </r>
  <r>
    <x v="4"/>
    <x v="1"/>
    <x v="0"/>
    <n v="1055"/>
    <x v="1"/>
    <n v="2"/>
    <n v="4"/>
    <s v="Life Sciences"/>
    <n v="1"/>
    <n v="1027"/>
    <n v="1"/>
    <x v="0"/>
    <n v="47"/>
    <n v="3"/>
    <x v="0"/>
    <x v="3"/>
    <n v="4"/>
    <x v="1"/>
    <n v="4227"/>
    <n v="4658"/>
    <n v="0"/>
    <s v="Y"/>
    <x v="1"/>
    <n v="18"/>
    <n v="3"/>
    <n v="2"/>
    <n v="80"/>
    <n v="1"/>
    <n v="4"/>
    <n v="2"/>
    <n v="3"/>
    <n v="3"/>
    <n v="2"/>
    <n v="2"/>
    <n v="2"/>
    <x v="2"/>
    <x v="2"/>
    <x v="2"/>
    <n v="0"/>
  </r>
  <r>
    <x v="10"/>
    <x v="1"/>
    <x v="0"/>
    <n v="802"/>
    <x v="1"/>
    <n v="10"/>
    <n v="3"/>
    <s v="Other"/>
    <n v="1"/>
    <n v="1028"/>
    <n v="2"/>
    <x v="1"/>
    <n v="45"/>
    <n v="3"/>
    <x v="1"/>
    <x v="2"/>
    <n v="4"/>
    <x v="2"/>
    <n v="3917"/>
    <n v="9541"/>
    <n v="1"/>
    <s v="Y"/>
    <x v="1"/>
    <n v="20"/>
    <n v="4"/>
    <n v="1"/>
    <n v="80"/>
    <n v="1"/>
    <n v="3"/>
    <n v="4"/>
    <n v="2"/>
    <n v="3"/>
    <n v="2"/>
    <n v="1"/>
    <n v="2"/>
    <x v="0"/>
    <x v="2"/>
    <x v="2"/>
    <n v="0"/>
  </r>
  <r>
    <x v="19"/>
    <x v="1"/>
    <x v="0"/>
    <n v="265"/>
    <x v="0"/>
    <n v="5"/>
    <n v="2"/>
    <s v="Marketing"/>
    <n v="1"/>
    <n v="1029"/>
    <n v="4"/>
    <x v="1"/>
    <n v="90"/>
    <n v="3"/>
    <x v="4"/>
    <x v="5"/>
    <n v="3"/>
    <x v="1"/>
    <n v="18303"/>
    <n v="7770"/>
    <n v="6"/>
    <s v="Y"/>
    <x v="1"/>
    <n v="13"/>
    <n v="3"/>
    <n v="2"/>
    <n v="80"/>
    <n v="0"/>
    <n v="21"/>
    <n v="3"/>
    <n v="4"/>
    <n v="1"/>
    <n v="0"/>
    <n v="0"/>
    <n v="0"/>
    <x v="0"/>
    <x v="1"/>
    <x v="3"/>
    <n v="0"/>
  </r>
  <r>
    <x v="24"/>
    <x v="1"/>
    <x v="0"/>
    <n v="804"/>
    <x v="1"/>
    <n v="9"/>
    <n v="3"/>
    <s v="Life Sciences"/>
    <n v="1"/>
    <n v="1030"/>
    <n v="1"/>
    <x v="1"/>
    <n v="64"/>
    <n v="3"/>
    <x v="1"/>
    <x v="2"/>
    <n v="4"/>
    <x v="1"/>
    <n v="2380"/>
    <n v="20165"/>
    <n v="4"/>
    <s v="Y"/>
    <x v="1"/>
    <n v="18"/>
    <n v="3"/>
    <n v="2"/>
    <n v="80"/>
    <n v="0"/>
    <n v="8"/>
    <n v="5"/>
    <n v="3"/>
    <n v="1"/>
    <n v="0"/>
    <n v="0"/>
    <n v="0"/>
    <x v="1"/>
    <x v="1"/>
    <x v="1"/>
    <n v="0"/>
  </r>
  <r>
    <x v="6"/>
    <x v="1"/>
    <x v="0"/>
    <n v="715"/>
    <x v="1"/>
    <n v="2"/>
    <n v="3"/>
    <s v="Life Sciences"/>
    <n v="1"/>
    <n v="1032"/>
    <n v="3"/>
    <x v="0"/>
    <n v="69"/>
    <n v="2"/>
    <x v="3"/>
    <x v="3"/>
    <n v="4"/>
    <x v="0"/>
    <n v="13726"/>
    <n v="21829"/>
    <n v="3"/>
    <s v="Y"/>
    <x v="0"/>
    <n v="13"/>
    <n v="3"/>
    <n v="1"/>
    <n v="80"/>
    <n v="0"/>
    <n v="30"/>
    <n v="4"/>
    <n v="3"/>
    <n v="5"/>
    <n v="3"/>
    <n v="4"/>
    <n v="3"/>
    <x v="3"/>
    <x v="2"/>
    <x v="3"/>
    <n v="0"/>
  </r>
  <r>
    <x v="2"/>
    <x v="0"/>
    <x v="0"/>
    <n v="1141"/>
    <x v="1"/>
    <n v="11"/>
    <n v="2"/>
    <s v="Medical"/>
    <n v="1"/>
    <n v="1033"/>
    <n v="1"/>
    <x v="0"/>
    <n v="61"/>
    <n v="1"/>
    <x v="0"/>
    <x v="4"/>
    <n v="2"/>
    <x v="1"/>
    <n v="4777"/>
    <n v="14382"/>
    <n v="5"/>
    <s v="Y"/>
    <x v="1"/>
    <n v="15"/>
    <n v="3"/>
    <n v="1"/>
    <n v="80"/>
    <n v="0"/>
    <n v="15"/>
    <n v="2"/>
    <n v="1"/>
    <n v="1"/>
    <n v="0"/>
    <n v="0"/>
    <n v="0"/>
    <x v="0"/>
    <x v="1"/>
    <x v="2"/>
    <n v="1"/>
  </r>
  <r>
    <x v="27"/>
    <x v="1"/>
    <x v="1"/>
    <n v="135"/>
    <x v="1"/>
    <n v="18"/>
    <n v="4"/>
    <s v="Medical"/>
    <n v="1"/>
    <n v="1034"/>
    <n v="3"/>
    <x v="1"/>
    <n v="62"/>
    <n v="3"/>
    <x v="0"/>
    <x v="4"/>
    <n v="2"/>
    <x v="1"/>
    <n v="6385"/>
    <n v="12992"/>
    <n v="3"/>
    <s v="Y"/>
    <x v="0"/>
    <n v="14"/>
    <n v="3"/>
    <n v="4"/>
    <n v="80"/>
    <n v="2"/>
    <n v="17"/>
    <n v="3"/>
    <n v="3"/>
    <n v="8"/>
    <n v="7"/>
    <n v="6"/>
    <n v="7"/>
    <x v="3"/>
    <x v="0"/>
    <x v="0"/>
    <n v="0"/>
  </r>
  <r>
    <x v="0"/>
    <x v="1"/>
    <x v="2"/>
    <n v="247"/>
    <x v="1"/>
    <n v="7"/>
    <n v="1"/>
    <s v="Life Sciences"/>
    <n v="1"/>
    <n v="1035"/>
    <n v="2"/>
    <x v="0"/>
    <n v="55"/>
    <n v="1"/>
    <x v="4"/>
    <x v="7"/>
    <n v="3"/>
    <x v="2"/>
    <n v="19973"/>
    <n v="20284"/>
    <n v="1"/>
    <s v="Y"/>
    <x v="1"/>
    <n v="22"/>
    <n v="4"/>
    <n v="2"/>
    <n v="80"/>
    <n v="2"/>
    <n v="21"/>
    <n v="3"/>
    <n v="3"/>
    <n v="21"/>
    <n v="16"/>
    <n v="5"/>
    <n v="10"/>
    <x v="0"/>
    <x v="3"/>
    <x v="3"/>
    <n v="0"/>
  </r>
  <r>
    <x v="8"/>
    <x v="1"/>
    <x v="0"/>
    <n v="1035"/>
    <x v="0"/>
    <n v="3"/>
    <n v="4"/>
    <s v="Life Sciences"/>
    <n v="1"/>
    <n v="1036"/>
    <n v="2"/>
    <x v="1"/>
    <n v="42"/>
    <n v="3"/>
    <x v="0"/>
    <x v="0"/>
    <n v="4"/>
    <x v="0"/>
    <n v="6861"/>
    <n v="4981"/>
    <n v="8"/>
    <s v="Y"/>
    <x v="0"/>
    <n v="12"/>
    <n v="3"/>
    <n v="3"/>
    <n v="80"/>
    <n v="0"/>
    <n v="19"/>
    <n v="1"/>
    <n v="3"/>
    <n v="1"/>
    <n v="0"/>
    <n v="0"/>
    <n v="0"/>
    <x v="0"/>
    <x v="1"/>
    <x v="0"/>
    <n v="0"/>
  </r>
  <r>
    <x v="25"/>
    <x v="0"/>
    <x v="2"/>
    <n v="265"/>
    <x v="0"/>
    <n v="29"/>
    <n v="2"/>
    <s v="Medical"/>
    <n v="1"/>
    <n v="1037"/>
    <n v="2"/>
    <x v="1"/>
    <n v="79"/>
    <n v="1"/>
    <x v="0"/>
    <x v="0"/>
    <n v="1"/>
    <x v="0"/>
    <n v="4969"/>
    <n v="21813"/>
    <n v="8"/>
    <s v="Y"/>
    <x v="1"/>
    <n v="18"/>
    <n v="3"/>
    <n v="4"/>
    <n v="80"/>
    <n v="0"/>
    <n v="7"/>
    <n v="6"/>
    <n v="3"/>
    <n v="2"/>
    <n v="2"/>
    <n v="2"/>
    <n v="2"/>
    <x v="2"/>
    <x v="1"/>
    <x v="2"/>
    <n v="1"/>
  </r>
  <r>
    <x v="39"/>
    <x v="0"/>
    <x v="0"/>
    <n v="266"/>
    <x v="0"/>
    <n v="2"/>
    <n v="1"/>
    <s v="Marketing"/>
    <n v="1"/>
    <n v="1038"/>
    <n v="1"/>
    <x v="0"/>
    <n v="57"/>
    <n v="1"/>
    <x v="4"/>
    <x v="5"/>
    <n v="4"/>
    <x v="1"/>
    <n v="19845"/>
    <n v="25846"/>
    <n v="1"/>
    <s v="Y"/>
    <x v="1"/>
    <n v="15"/>
    <n v="3"/>
    <n v="4"/>
    <n v="80"/>
    <n v="1"/>
    <n v="33"/>
    <n v="3"/>
    <n v="3"/>
    <n v="32"/>
    <n v="14"/>
    <n v="6"/>
    <n v="9"/>
    <x v="1"/>
    <x v="3"/>
    <x v="3"/>
    <n v="1"/>
  </r>
  <r>
    <x v="20"/>
    <x v="1"/>
    <x v="0"/>
    <n v="1448"/>
    <x v="0"/>
    <n v="28"/>
    <n v="3"/>
    <s v="Medical"/>
    <n v="1"/>
    <n v="1039"/>
    <n v="4"/>
    <x v="0"/>
    <n v="53"/>
    <n v="4"/>
    <x v="3"/>
    <x v="0"/>
    <n v="4"/>
    <x v="1"/>
    <n v="13320"/>
    <n v="11737"/>
    <n v="3"/>
    <s v="Y"/>
    <x v="0"/>
    <n v="18"/>
    <n v="3"/>
    <n v="3"/>
    <n v="80"/>
    <n v="1"/>
    <n v="23"/>
    <n v="2"/>
    <n v="3"/>
    <n v="12"/>
    <n v="11"/>
    <n v="11"/>
    <n v="11"/>
    <x v="0"/>
    <x v="3"/>
    <x v="3"/>
    <n v="0"/>
  </r>
  <r>
    <x v="24"/>
    <x v="1"/>
    <x v="2"/>
    <n v="145"/>
    <x v="0"/>
    <n v="1"/>
    <n v="3"/>
    <s v="Life Sciences"/>
    <n v="1"/>
    <n v="1040"/>
    <n v="4"/>
    <x v="0"/>
    <n v="95"/>
    <n v="3"/>
    <x v="0"/>
    <x v="0"/>
    <n v="3"/>
    <x v="1"/>
    <n v="6347"/>
    <n v="24920"/>
    <n v="0"/>
    <s v="Y"/>
    <x v="1"/>
    <n v="12"/>
    <n v="3"/>
    <n v="1"/>
    <n v="80"/>
    <n v="1"/>
    <n v="19"/>
    <n v="3"/>
    <n v="3"/>
    <n v="18"/>
    <n v="7"/>
    <n v="0"/>
    <n v="13"/>
    <x v="1"/>
    <x v="3"/>
    <x v="0"/>
    <n v="0"/>
  </r>
  <r>
    <x v="9"/>
    <x v="0"/>
    <x v="0"/>
    <n v="885"/>
    <x v="1"/>
    <n v="16"/>
    <n v="4"/>
    <s v="Life Sciences"/>
    <n v="1"/>
    <n v="1042"/>
    <n v="3"/>
    <x v="0"/>
    <n v="43"/>
    <n v="4"/>
    <x v="1"/>
    <x v="2"/>
    <n v="1"/>
    <x v="0"/>
    <n v="2743"/>
    <n v="8269"/>
    <n v="1"/>
    <s v="Y"/>
    <x v="1"/>
    <n v="16"/>
    <n v="3"/>
    <n v="3"/>
    <n v="80"/>
    <n v="0"/>
    <n v="18"/>
    <n v="1"/>
    <n v="3"/>
    <n v="17"/>
    <n v="13"/>
    <n v="15"/>
    <n v="14"/>
    <x v="0"/>
    <x v="3"/>
    <x v="1"/>
    <n v="1"/>
  </r>
  <r>
    <x v="22"/>
    <x v="1"/>
    <x v="1"/>
    <n v="945"/>
    <x v="1"/>
    <n v="22"/>
    <n v="3"/>
    <s v="Medical"/>
    <n v="1"/>
    <n v="1043"/>
    <n v="4"/>
    <x v="0"/>
    <n v="82"/>
    <n v="3"/>
    <x v="2"/>
    <x v="3"/>
    <n v="1"/>
    <x v="0"/>
    <n v="10880"/>
    <n v="5083"/>
    <n v="1"/>
    <s v="Y"/>
    <x v="0"/>
    <n v="13"/>
    <n v="3"/>
    <n v="3"/>
    <n v="80"/>
    <n v="0"/>
    <n v="21"/>
    <n v="2"/>
    <n v="3"/>
    <n v="21"/>
    <n v="6"/>
    <n v="2"/>
    <n v="8"/>
    <x v="0"/>
    <x v="3"/>
    <x v="3"/>
    <n v="0"/>
  </r>
  <r>
    <x v="3"/>
    <x v="1"/>
    <x v="2"/>
    <n v="1038"/>
    <x v="0"/>
    <n v="8"/>
    <n v="1"/>
    <s v="Life Sciences"/>
    <n v="1"/>
    <n v="1044"/>
    <n v="2"/>
    <x v="0"/>
    <n v="88"/>
    <n v="2"/>
    <x v="1"/>
    <x v="6"/>
    <n v="4"/>
    <x v="0"/>
    <n v="2342"/>
    <n v="21437"/>
    <n v="0"/>
    <s v="Y"/>
    <x v="1"/>
    <n v="19"/>
    <n v="3"/>
    <n v="4"/>
    <n v="80"/>
    <n v="0"/>
    <n v="3"/>
    <n v="2"/>
    <n v="2"/>
    <n v="2"/>
    <n v="2"/>
    <n v="2"/>
    <n v="2"/>
    <x v="2"/>
    <x v="1"/>
    <x v="1"/>
    <n v="0"/>
  </r>
  <r>
    <x v="28"/>
    <x v="1"/>
    <x v="0"/>
    <n v="1234"/>
    <x v="0"/>
    <n v="11"/>
    <n v="2"/>
    <s v="Life Sciences"/>
    <n v="1"/>
    <n v="1045"/>
    <n v="4"/>
    <x v="0"/>
    <n v="90"/>
    <n v="3"/>
    <x v="3"/>
    <x v="5"/>
    <n v="4"/>
    <x v="1"/>
    <n v="17650"/>
    <n v="5404"/>
    <n v="3"/>
    <s v="Y"/>
    <x v="1"/>
    <n v="13"/>
    <n v="3"/>
    <n v="2"/>
    <n v="80"/>
    <n v="1"/>
    <n v="26"/>
    <n v="4"/>
    <n v="4"/>
    <n v="9"/>
    <n v="3"/>
    <n v="1"/>
    <n v="1"/>
    <x v="1"/>
    <x v="0"/>
    <x v="3"/>
    <n v="0"/>
  </r>
  <r>
    <x v="5"/>
    <x v="1"/>
    <x v="2"/>
    <n v="1109"/>
    <x v="1"/>
    <n v="29"/>
    <n v="4"/>
    <s v="Medical"/>
    <n v="1"/>
    <n v="1046"/>
    <n v="4"/>
    <x v="0"/>
    <n v="69"/>
    <n v="3"/>
    <x v="1"/>
    <x v="2"/>
    <n v="3"/>
    <x v="0"/>
    <n v="4025"/>
    <n v="11135"/>
    <n v="9"/>
    <s v="Y"/>
    <x v="1"/>
    <n v="12"/>
    <n v="3"/>
    <n v="2"/>
    <n v="80"/>
    <n v="0"/>
    <n v="10"/>
    <n v="2"/>
    <n v="3"/>
    <n v="8"/>
    <n v="7"/>
    <n v="7"/>
    <n v="7"/>
    <x v="2"/>
    <x v="0"/>
    <x v="2"/>
    <n v="0"/>
  </r>
  <r>
    <x v="13"/>
    <x v="1"/>
    <x v="0"/>
    <n v="216"/>
    <x v="0"/>
    <n v="1"/>
    <n v="4"/>
    <s v="Marketing"/>
    <n v="1"/>
    <n v="1047"/>
    <n v="2"/>
    <x v="1"/>
    <n v="75"/>
    <n v="4"/>
    <x v="0"/>
    <x v="0"/>
    <n v="4"/>
    <x v="2"/>
    <n v="9725"/>
    <n v="12278"/>
    <n v="0"/>
    <s v="Y"/>
    <x v="1"/>
    <n v="11"/>
    <n v="3"/>
    <n v="4"/>
    <n v="80"/>
    <n v="1"/>
    <n v="16"/>
    <n v="2"/>
    <n v="2"/>
    <n v="15"/>
    <n v="1"/>
    <n v="0"/>
    <n v="9"/>
    <x v="2"/>
    <x v="3"/>
    <x v="3"/>
    <n v="0"/>
  </r>
  <r>
    <x v="6"/>
    <x v="1"/>
    <x v="0"/>
    <n v="1089"/>
    <x v="0"/>
    <n v="1"/>
    <n v="2"/>
    <s v="Technical Degree"/>
    <n v="1"/>
    <n v="1048"/>
    <n v="2"/>
    <x v="1"/>
    <n v="66"/>
    <n v="3"/>
    <x v="2"/>
    <x v="5"/>
    <n v="4"/>
    <x v="1"/>
    <n v="11904"/>
    <n v="11038"/>
    <n v="3"/>
    <s v="Y"/>
    <x v="0"/>
    <n v="14"/>
    <n v="3"/>
    <n v="3"/>
    <n v="80"/>
    <n v="1"/>
    <n v="14"/>
    <n v="1"/>
    <n v="1"/>
    <n v="6"/>
    <n v="4"/>
    <n v="0"/>
    <n v="4"/>
    <x v="3"/>
    <x v="0"/>
    <x v="3"/>
    <n v="0"/>
  </r>
  <r>
    <x v="28"/>
    <x v="1"/>
    <x v="0"/>
    <n v="788"/>
    <x v="2"/>
    <n v="24"/>
    <n v="4"/>
    <s v="Medical"/>
    <n v="1"/>
    <n v="1049"/>
    <n v="2"/>
    <x v="1"/>
    <n v="36"/>
    <n v="3"/>
    <x v="1"/>
    <x v="8"/>
    <n v="2"/>
    <x v="0"/>
    <n v="2177"/>
    <n v="8318"/>
    <n v="1"/>
    <s v="Y"/>
    <x v="1"/>
    <n v="16"/>
    <n v="3"/>
    <n v="1"/>
    <n v="80"/>
    <n v="0"/>
    <n v="6"/>
    <n v="3"/>
    <n v="3"/>
    <n v="6"/>
    <n v="3"/>
    <n v="0"/>
    <n v="4"/>
    <x v="1"/>
    <x v="0"/>
    <x v="1"/>
    <n v="0"/>
  </r>
  <r>
    <x v="16"/>
    <x v="1"/>
    <x v="1"/>
    <n v="124"/>
    <x v="0"/>
    <n v="2"/>
    <n v="3"/>
    <s v="Marketing"/>
    <n v="1"/>
    <n v="1050"/>
    <n v="3"/>
    <x v="0"/>
    <n v="38"/>
    <n v="2"/>
    <x v="2"/>
    <x v="0"/>
    <n v="2"/>
    <x v="1"/>
    <n v="7525"/>
    <n v="23537"/>
    <n v="2"/>
    <s v="Y"/>
    <x v="1"/>
    <n v="12"/>
    <n v="3"/>
    <n v="1"/>
    <n v="80"/>
    <n v="1"/>
    <n v="30"/>
    <n v="2"/>
    <n v="3"/>
    <n v="15"/>
    <n v="7"/>
    <n v="6"/>
    <n v="12"/>
    <x v="1"/>
    <x v="3"/>
    <x v="0"/>
    <n v="0"/>
  </r>
  <r>
    <x v="9"/>
    <x v="0"/>
    <x v="0"/>
    <n v="660"/>
    <x v="1"/>
    <n v="15"/>
    <n v="3"/>
    <s v="Other"/>
    <n v="1"/>
    <n v="1052"/>
    <n v="1"/>
    <x v="1"/>
    <n v="81"/>
    <n v="3"/>
    <x v="0"/>
    <x v="2"/>
    <n v="3"/>
    <x v="2"/>
    <n v="4834"/>
    <n v="7858"/>
    <n v="7"/>
    <s v="Y"/>
    <x v="1"/>
    <n v="14"/>
    <n v="3"/>
    <n v="2"/>
    <n v="80"/>
    <n v="1"/>
    <n v="9"/>
    <n v="3"/>
    <n v="2"/>
    <n v="1"/>
    <n v="0"/>
    <n v="0"/>
    <n v="0"/>
    <x v="0"/>
    <x v="1"/>
    <x v="2"/>
    <n v="1"/>
  </r>
  <r>
    <x v="25"/>
    <x v="0"/>
    <x v="1"/>
    <n v="342"/>
    <x v="1"/>
    <n v="2"/>
    <n v="3"/>
    <s v="Life Sciences"/>
    <n v="1"/>
    <n v="1053"/>
    <n v="1"/>
    <x v="1"/>
    <n v="57"/>
    <n v="3"/>
    <x v="1"/>
    <x v="1"/>
    <n v="1"/>
    <x v="1"/>
    <n v="2042"/>
    <n v="15346"/>
    <n v="6"/>
    <s v="Y"/>
    <x v="0"/>
    <n v="14"/>
    <n v="3"/>
    <n v="2"/>
    <n v="80"/>
    <n v="1"/>
    <n v="6"/>
    <n v="2"/>
    <n v="3"/>
    <n v="3"/>
    <n v="2"/>
    <n v="1"/>
    <n v="2"/>
    <x v="2"/>
    <x v="2"/>
    <x v="1"/>
    <n v="1"/>
  </r>
  <r>
    <x v="13"/>
    <x v="1"/>
    <x v="0"/>
    <n v="1333"/>
    <x v="0"/>
    <n v="10"/>
    <n v="4"/>
    <s v="Life Sciences"/>
    <n v="1"/>
    <n v="1055"/>
    <n v="3"/>
    <x v="0"/>
    <n v="87"/>
    <n v="3"/>
    <x v="1"/>
    <x v="6"/>
    <n v="3"/>
    <x v="1"/>
    <n v="2220"/>
    <n v="18410"/>
    <n v="1"/>
    <s v="Y"/>
    <x v="0"/>
    <n v="19"/>
    <n v="3"/>
    <n v="4"/>
    <n v="80"/>
    <n v="1"/>
    <n v="1"/>
    <n v="2"/>
    <n v="3"/>
    <n v="1"/>
    <n v="1"/>
    <n v="0"/>
    <n v="0"/>
    <x v="2"/>
    <x v="1"/>
    <x v="1"/>
    <n v="0"/>
  </r>
  <r>
    <x v="14"/>
    <x v="1"/>
    <x v="0"/>
    <n v="1144"/>
    <x v="0"/>
    <n v="10"/>
    <n v="1"/>
    <s v="Medical"/>
    <n v="1"/>
    <n v="1056"/>
    <n v="4"/>
    <x v="1"/>
    <n v="74"/>
    <n v="3"/>
    <x v="1"/>
    <x v="6"/>
    <n v="2"/>
    <x v="1"/>
    <n v="1052"/>
    <n v="23384"/>
    <n v="1"/>
    <s v="Y"/>
    <x v="1"/>
    <n v="22"/>
    <n v="4"/>
    <n v="2"/>
    <n v="80"/>
    <n v="0"/>
    <n v="1"/>
    <n v="5"/>
    <n v="3"/>
    <n v="1"/>
    <n v="0"/>
    <n v="0"/>
    <n v="0"/>
    <x v="2"/>
    <x v="1"/>
    <x v="1"/>
    <n v="0"/>
  </r>
  <r>
    <x v="8"/>
    <x v="1"/>
    <x v="1"/>
    <n v="1186"/>
    <x v="1"/>
    <n v="3"/>
    <n v="4"/>
    <s v="Other"/>
    <n v="1"/>
    <n v="1060"/>
    <n v="3"/>
    <x v="1"/>
    <n v="44"/>
    <n v="3"/>
    <x v="1"/>
    <x v="1"/>
    <n v="3"/>
    <x v="1"/>
    <n v="2821"/>
    <n v="2997"/>
    <n v="3"/>
    <s v="Y"/>
    <x v="1"/>
    <n v="16"/>
    <n v="3"/>
    <n v="1"/>
    <n v="80"/>
    <n v="1"/>
    <n v="8"/>
    <n v="2"/>
    <n v="3"/>
    <n v="2"/>
    <n v="2"/>
    <n v="2"/>
    <n v="2"/>
    <x v="0"/>
    <x v="1"/>
    <x v="1"/>
    <n v="0"/>
  </r>
  <r>
    <x v="24"/>
    <x v="1"/>
    <x v="0"/>
    <n v="1464"/>
    <x v="1"/>
    <n v="2"/>
    <n v="4"/>
    <s v="Medical"/>
    <n v="1"/>
    <n v="1061"/>
    <n v="2"/>
    <x v="1"/>
    <n v="62"/>
    <n v="3"/>
    <x v="4"/>
    <x v="7"/>
    <n v="3"/>
    <x v="1"/>
    <n v="19237"/>
    <n v="12853"/>
    <n v="2"/>
    <s v="Y"/>
    <x v="0"/>
    <n v="11"/>
    <n v="3"/>
    <n v="4"/>
    <n v="80"/>
    <n v="1"/>
    <n v="29"/>
    <n v="2"/>
    <n v="2"/>
    <n v="8"/>
    <n v="1"/>
    <n v="7"/>
    <n v="7"/>
    <x v="1"/>
    <x v="0"/>
    <x v="3"/>
    <n v="0"/>
  </r>
  <r>
    <x v="2"/>
    <x v="1"/>
    <x v="0"/>
    <n v="124"/>
    <x v="1"/>
    <n v="3"/>
    <n v="3"/>
    <s v="Other"/>
    <n v="1"/>
    <n v="1062"/>
    <n v="4"/>
    <x v="0"/>
    <n v="35"/>
    <n v="3"/>
    <x v="0"/>
    <x v="4"/>
    <n v="2"/>
    <x v="0"/>
    <n v="4107"/>
    <n v="13848"/>
    <n v="3"/>
    <s v="Y"/>
    <x v="1"/>
    <n v="15"/>
    <n v="3"/>
    <n v="1"/>
    <n v="80"/>
    <n v="0"/>
    <n v="8"/>
    <n v="3"/>
    <n v="2"/>
    <n v="4"/>
    <n v="3"/>
    <n v="0"/>
    <n v="1"/>
    <x v="0"/>
    <x v="2"/>
    <x v="2"/>
    <n v="0"/>
  </r>
  <r>
    <x v="32"/>
    <x v="1"/>
    <x v="0"/>
    <n v="300"/>
    <x v="0"/>
    <n v="26"/>
    <n v="3"/>
    <s v="Marketing"/>
    <n v="1"/>
    <n v="1066"/>
    <n v="3"/>
    <x v="1"/>
    <n v="74"/>
    <n v="3"/>
    <x v="0"/>
    <x v="0"/>
    <n v="1"/>
    <x v="1"/>
    <n v="8396"/>
    <n v="22217"/>
    <n v="1"/>
    <s v="Y"/>
    <x v="1"/>
    <n v="14"/>
    <n v="3"/>
    <n v="2"/>
    <n v="80"/>
    <n v="1"/>
    <n v="8"/>
    <n v="3"/>
    <n v="2"/>
    <n v="7"/>
    <n v="7"/>
    <n v="7"/>
    <n v="5"/>
    <x v="0"/>
    <x v="0"/>
    <x v="3"/>
    <n v="0"/>
  </r>
  <r>
    <x v="25"/>
    <x v="1"/>
    <x v="1"/>
    <n v="921"/>
    <x v="1"/>
    <n v="1"/>
    <n v="1"/>
    <s v="Medical"/>
    <n v="1"/>
    <n v="1068"/>
    <n v="1"/>
    <x v="0"/>
    <n v="66"/>
    <n v="2"/>
    <x v="1"/>
    <x v="1"/>
    <n v="3"/>
    <x v="2"/>
    <n v="2007"/>
    <n v="25265"/>
    <n v="1"/>
    <s v="Y"/>
    <x v="1"/>
    <n v="13"/>
    <n v="3"/>
    <n v="3"/>
    <n v="80"/>
    <n v="2"/>
    <n v="5"/>
    <n v="5"/>
    <n v="3"/>
    <n v="5"/>
    <n v="3"/>
    <n v="1"/>
    <n v="3"/>
    <x v="2"/>
    <x v="2"/>
    <x v="1"/>
    <n v="0"/>
  </r>
  <r>
    <x v="21"/>
    <x v="1"/>
    <x v="0"/>
    <n v="430"/>
    <x v="1"/>
    <n v="1"/>
    <n v="4"/>
    <s v="Medical"/>
    <n v="1"/>
    <n v="1069"/>
    <n v="4"/>
    <x v="1"/>
    <n v="40"/>
    <n v="3"/>
    <x v="4"/>
    <x v="7"/>
    <n v="4"/>
    <x v="2"/>
    <n v="19627"/>
    <n v="21445"/>
    <n v="9"/>
    <s v="Y"/>
    <x v="1"/>
    <n v="17"/>
    <n v="3"/>
    <n v="4"/>
    <n v="80"/>
    <n v="2"/>
    <n v="23"/>
    <n v="0"/>
    <n v="3"/>
    <n v="2"/>
    <n v="2"/>
    <n v="2"/>
    <n v="2"/>
    <x v="1"/>
    <x v="1"/>
    <x v="3"/>
    <n v="0"/>
  </r>
  <r>
    <x v="33"/>
    <x v="1"/>
    <x v="0"/>
    <n v="1082"/>
    <x v="0"/>
    <n v="2"/>
    <n v="4"/>
    <s v="Life Sciences"/>
    <n v="1"/>
    <n v="1070"/>
    <n v="3"/>
    <x v="0"/>
    <n v="41"/>
    <n v="2"/>
    <x v="2"/>
    <x v="0"/>
    <n v="3"/>
    <x v="1"/>
    <n v="10686"/>
    <n v="8392"/>
    <n v="6"/>
    <s v="Y"/>
    <x v="1"/>
    <n v="11"/>
    <n v="3"/>
    <n v="2"/>
    <n v="80"/>
    <n v="1"/>
    <n v="13"/>
    <n v="4"/>
    <n v="3"/>
    <n v="9"/>
    <n v="4"/>
    <n v="7"/>
    <n v="0"/>
    <x v="1"/>
    <x v="0"/>
    <x v="3"/>
    <n v="0"/>
  </r>
  <r>
    <x v="29"/>
    <x v="1"/>
    <x v="1"/>
    <n v="1240"/>
    <x v="1"/>
    <n v="9"/>
    <n v="3"/>
    <s v="Medical"/>
    <n v="1"/>
    <n v="1071"/>
    <n v="1"/>
    <x v="0"/>
    <n v="63"/>
    <n v="3"/>
    <x v="1"/>
    <x v="1"/>
    <n v="3"/>
    <x v="1"/>
    <n v="2942"/>
    <n v="12154"/>
    <n v="2"/>
    <s v="Y"/>
    <x v="1"/>
    <n v="19"/>
    <n v="3"/>
    <n v="2"/>
    <n v="80"/>
    <n v="1"/>
    <n v="18"/>
    <n v="4"/>
    <n v="3"/>
    <n v="5"/>
    <n v="4"/>
    <n v="0"/>
    <n v="3"/>
    <x v="3"/>
    <x v="2"/>
    <x v="1"/>
    <n v="0"/>
  </r>
  <r>
    <x v="9"/>
    <x v="1"/>
    <x v="0"/>
    <n v="796"/>
    <x v="1"/>
    <n v="12"/>
    <n v="5"/>
    <s v="Medical"/>
    <n v="1"/>
    <n v="1073"/>
    <n v="4"/>
    <x v="0"/>
    <n v="51"/>
    <n v="2"/>
    <x v="2"/>
    <x v="3"/>
    <n v="4"/>
    <x v="0"/>
    <n v="8858"/>
    <n v="15669"/>
    <n v="0"/>
    <s v="Y"/>
    <x v="1"/>
    <n v="11"/>
    <n v="3"/>
    <n v="2"/>
    <n v="80"/>
    <n v="0"/>
    <n v="15"/>
    <n v="2"/>
    <n v="2"/>
    <n v="14"/>
    <n v="8"/>
    <n v="7"/>
    <n v="8"/>
    <x v="0"/>
    <x v="3"/>
    <x v="3"/>
    <n v="0"/>
  </r>
  <r>
    <x v="27"/>
    <x v="1"/>
    <x v="2"/>
    <n v="444"/>
    <x v="1"/>
    <n v="2"/>
    <n v="1"/>
    <s v="Medical"/>
    <n v="1"/>
    <n v="1074"/>
    <n v="3"/>
    <x v="1"/>
    <n v="40"/>
    <n v="2"/>
    <x v="3"/>
    <x v="5"/>
    <n v="1"/>
    <x v="0"/>
    <n v="16756"/>
    <n v="17323"/>
    <n v="7"/>
    <s v="Y"/>
    <x v="1"/>
    <n v="15"/>
    <n v="3"/>
    <n v="2"/>
    <n v="80"/>
    <n v="0"/>
    <n v="31"/>
    <n v="3"/>
    <n v="4"/>
    <n v="9"/>
    <n v="7"/>
    <n v="6"/>
    <n v="2"/>
    <x v="3"/>
    <x v="0"/>
    <x v="3"/>
    <n v="0"/>
  </r>
  <r>
    <x v="23"/>
    <x v="1"/>
    <x v="0"/>
    <n v="415"/>
    <x v="0"/>
    <n v="25"/>
    <n v="3"/>
    <s v="Medical"/>
    <n v="1"/>
    <n v="1076"/>
    <n v="3"/>
    <x v="1"/>
    <n v="79"/>
    <n v="2"/>
    <x v="2"/>
    <x v="0"/>
    <n v="4"/>
    <x v="2"/>
    <n v="10798"/>
    <n v="5268"/>
    <n v="5"/>
    <s v="Y"/>
    <x v="1"/>
    <n v="13"/>
    <n v="3"/>
    <n v="3"/>
    <n v="80"/>
    <n v="1"/>
    <n v="18"/>
    <n v="5"/>
    <n v="3"/>
    <n v="1"/>
    <n v="0"/>
    <n v="0"/>
    <n v="0"/>
    <x v="0"/>
    <x v="1"/>
    <x v="3"/>
    <n v="0"/>
  </r>
  <r>
    <x v="35"/>
    <x v="0"/>
    <x v="1"/>
    <n v="769"/>
    <x v="0"/>
    <n v="9"/>
    <n v="3"/>
    <s v="Marketing"/>
    <n v="1"/>
    <n v="1077"/>
    <n v="4"/>
    <x v="0"/>
    <n v="54"/>
    <n v="3"/>
    <x v="1"/>
    <x v="6"/>
    <n v="4"/>
    <x v="0"/>
    <n v="2323"/>
    <n v="17205"/>
    <n v="1"/>
    <s v="Y"/>
    <x v="0"/>
    <n v="14"/>
    <n v="3"/>
    <n v="2"/>
    <n v="80"/>
    <n v="0"/>
    <n v="2"/>
    <n v="3"/>
    <n v="3"/>
    <n v="2"/>
    <n v="2"/>
    <n v="0"/>
    <n v="2"/>
    <x v="4"/>
    <x v="1"/>
    <x v="1"/>
    <n v="1"/>
  </r>
  <r>
    <x v="18"/>
    <x v="0"/>
    <x v="0"/>
    <n v="1334"/>
    <x v="1"/>
    <n v="10"/>
    <n v="3"/>
    <s v="Life Sciences"/>
    <n v="1"/>
    <n v="1079"/>
    <n v="3"/>
    <x v="0"/>
    <n v="36"/>
    <n v="2"/>
    <x v="1"/>
    <x v="2"/>
    <n v="1"/>
    <x v="0"/>
    <n v="1416"/>
    <n v="17258"/>
    <n v="1"/>
    <s v="Y"/>
    <x v="1"/>
    <n v="13"/>
    <n v="3"/>
    <n v="1"/>
    <n v="80"/>
    <n v="0"/>
    <n v="1"/>
    <n v="6"/>
    <n v="2"/>
    <n v="1"/>
    <n v="0"/>
    <n v="1"/>
    <n v="0"/>
    <x v="4"/>
    <x v="1"/>
    <x v="1"/>
    <n v="1"/>
  </r>
  <r>
    <x v="21"/>
    <x v="1"/>
    <x v="0"/>
    <n v="1003"/>
    <x v="1"/>
    <n v="8"/>
    <n v="4"/>
    <s v="Life Sciences"/>
    <n v="1"/>
    <n v="1080"/>
    <n v="4"/>
    <x v="0"/>
    <n v="74"/>
    <n v="2"/>
    <x v="0"/>
    <x v="1"/>
    <n v="1"/>
    <x v="2"/>
    <n v="4615"/>
    <n v="21029"/>
    <n v="8"/>
    <s v="Y"/>
    <x v="0"/>
    <n v="23"/>
    <n v="4"/>
    <n v="1"/>
    <n v="80"/>
    <n v="3"/>
    <n v="19"/>
    <n v="2"/>
    <n v="3"/>
    <n v="16"/>
    <n v="13"/>
    <n v="1"/>
    <n v="7"/>
    <x v="1"/>
    <x v="3"/>
    <x v="2"/>
    <n v="0"/>
  </r>
  <r>
    <x v="31"/>
    <x v="0"/>
    <x v="0"/>
    <n v="1323"/>
    <x v="1"/>
    <n v="4"/>
    <n v="4"/>
    <s v="Life Sciences"/>
    <n v="1"/>
    <n v="1081"/>
    <n v="1"/>
    <x v="1"/>
    <n v="34"/>
    <n v="3"/>
    <x v="1"/>
    <x v="1"/>
    <n v="3"/>
    <x v="1"/>
    <n v="2461"/>
    <n v="10332"/>
    <n v="9"/>
    <s v="Y"/>
    <x v="0"/>
    <n v="12"/>
    <n v="3"/>
    <n v="3"/>
    <n v="80"/>
    <n v="3"/>
    <n v="18"/>
    <n v="2"/>
    <n v="4"/>
    <n v="10"/>
    <n v="0"/>
    <n v="2"/>
    <n v="7"/>
    <x v="1"/>
    <x v="0"/>
    <x v="1"/>
    <n v="1"/>
  </r>
  <r>
    <x v="14"/>
    <x v="0"/>
    <x v="2"/>
    <n v="1366"/>
    <x v="1"/>
    <n v="24"/>
    <n v="2"/>
    <s v="Technical Degree"/>
    <n v="1"/>
    <n v="1082"/>
    <n v="2"/>
    <x v="1"/>
    <n v="72"/>
    <n v="2"/>
    <x v="2"/>
    <x v="4"/>
    <n v="1"/>
    <x v="0"/>
    <n v="8722"/>
    <n v="12355"/>
    <n v="1"/>
    <s v="Y"/>
    <x v="1"/>
    <n v="12"/>
    <n v="3"/>
    <n v="1"/>
    <n v="80"/>
    <n v="0"/>
    <n v="10"/>
    <n v="2"/>
    <n v="2"/>
    <n v="10"/>
    <n v="7"/>
    <n v="1"/>
    <n v="9"/>
    <x v="2"/>
    <x v="0"/>
    <x v="3"/>
    <n v="1"/>
  </r>
  <r>
    <x v="25"/>
    <x v="1"/>
    <x v="0"/>
    <n v="192"/>
    <x v="1"/>
    <n v="1"/>
    <n v="2"/>
    <s v="Medical"/>
    <n v="1"/>
    <n v="1083"/>
    <n v="1"/>
    <x v="1"/>
    <n v="59"/>
    <n v="2"/>
    <x v="1"/>
    <x v="2"/>
    <n v="1"/>
    <x v="1"/>
    <n v="3955"/>
    <n v="11141"/>
    <n v="1"/>
    <s v="Y"/>
    <x v="1"/>
    <n v="16"/>
    <n v="3"/>
    <n v="1"/>
    <n v="80"/>
    <n v="2"/>
    <n v="6"/>
    <n v="2"/>
    <n v="3"/>
    <n v="5"/>
    <n v="3"/>
    <n v="1"/>
    <n v="3"/>
    <x v="2"/>
    <x v="2"/>
    <x v="2"/>
    <n v="0"/>
  </r>
  <r>
    <x v="7"/>
    <x v="1"/>
    <x v="0"/>
    <n v="1176"/>
    <x v="1"/>
    <n v="20"/>
    <n v="3"/>
    <s v="Other"/>
    <n v="1"/>
    <n v="1084"/>
    <n v="3"/>
    <x v="1"/>
    <n v="85"/>
    <n v="3"/>
    <x v="0"/>
    <x v="3"/>
    <n v="1"/>
    <x v="1"/>
    <n v="9957"/>
    <n v="9096"/>
    <n v="0"/>
    <s v="Y"/>
    <x v="1"/>
    <n v="15"/>
    <n v="3"/>
    <n v="3"/>
    <n v="80"/>
    <n v="1"/>
    <n v="7"/>
    <n v="1"/>
    <n v="2"/>
    <n v="6"/>
    <n v="2"/>
    <n v="0"/>
    <n v="2"/>
    <x v="2"/>
    <x v="0"/>
    <x v="3"/>
    <n v="0"/>
  </r>
  <r>
    <x v="0"/>
    <x v="1"/>
    <x v="0"/>
    <n v="509"/>
    <x v="1"/>
    <n v="7"/>
    <n v="2"/>
    <s v="Technical Degree"/>
    <n v="1"/>
    <n v="1085"/>
    <n v="2"/>
    <x v="0"/>
    <n v="43"/>
    <n v="4"/>
    <x v="1"/>
    <x v="1"/>
    <n v="3"/>
    <x v="1"/>
    <n v="3376"/>
    <n v="18863"/>
    <n v="1"/>
    <s v="Y"/>
    <x v="1"/>
    <n v="13"/>
    <n v="3"/>
    <n v="3"/>
    <n v="80"/>
    <n v="0"/>
    <n v="10"/>
    <n v="3"/>
    <n v="3"/>
    <n v="10"/>
    <n v="6"/>
    <n v="0"/>
    <n v="8"/>
    <x v="0"/>
    <x v="0"/>
    <x v="2"/>
    <n v="0"/>
  </r>
  <r>
    <x v="8"/>
    <x v="1"/>
    <x v="0"/>
    <n v="330"/>
    <x v="1"/>
    <n v="17"/>
    <n v="1"/>
    <s v="Life Sciences"/>
    <n v="1"/>
    <n v="1088"/>
    <n v="3"/>
    <x v="0"/>
    <n v="65"/>
    <n v="2"/>
    <x v="2"/>
    <x v="4"/>
    <n v="3"/>
    <x v="1"/>
    <n v="8823"/>
    <n v="24608"/>
    <n v="0"/>
    <s v="Y"/>
    <x v="1"/>
    <n v="18"/>
    <n v="3"/>
    <n v="1"/>
    <n v="80"/>
    <n v="1"/>
    <n v="20"/>
    <n v="4"/>
    <n v="2"/>
    <n v="19"/>
    <n v="9"/>
    <n v="1"/>
    <n v="9"/>
    <x v="0"/>
    <x v="3"/>
    <x v="3"/>
    <n v="0"/>
  </r>
  <r>
    <x v="32"/>
    <x v="1"/>
    <x v="0"/>
    <n v="1492"/>
    <x v="1"/>
    <n v="20"/>
    <n v="4"/>
    <s v="Technical Degree"/>
    <n v="1"/>
    <n v="1092"/>
    <n v="1"/>
    <x v="1"/>
    <n v="61"/>
    <n v="3"/>
    <x v="2"/>
    <x v="4"/>
    <n v="4"/>
    <x v="1"/>
    <n v="10322"/>
    <n v="26542"/>
    <n v="4"/>
    <s v="Y"/>
    <x v="1"/>
    <n v="20"/>
    <n v="4"/>
    <n v="4"/>
    <n v="80"/>
    <n v="1"/>
    <n v="14"/>
    <n v="6"/>
    <n v="3"/>
    <n v="11"/>
    <n v="10"/>
    <n v="11"/>
    <n v="1"/>
    <x v="0"/>
    <x v="3"/>
    <x v="3"/>
    <n v="0"/>
  </r>
  <r>
    <x v="4"/>
    <x v="1"/>
    <x v="2"/>
    <n v="1277"/>
    <x v="1"/>
    <n v="8"/>
    <n v="5"/>
    <s v="Life Sciences"/>
    <n v="1"/>
    <n v="1094"/>
    <n v="1"/>
    <x v="1"/>
    <n v="87"/>
    <n v="1"/>
    <x v="1"/>
    <x v="2"/>
    <n v="3"/>
    <x v="1"/>
    <n v="4621"/>
    <n v="5869"/>
    <n v="1"/>
    <s v="Y"/>
    <x v="1"/>
    <n v="19"/>
    <n v="3"/>
    <n v="4"/>
    <n v="80"/>
    <n v="3"/>
    <n v="3"/>
    <n v="4"/>
    <n v="3"/>
    <n v="3"/>
    <n v="2"/>
    <n v="1"/>
    <n v="2"/>
    <x v="2"/>
    <x v="2"/>
    <x v="2"/>
    <n v="0"/>
  </r>
  <r>
    <x v="27"/>
    <x v="1"/>
    <x v="1"/>
    <n v="1091"/>
    <x v="1"/>
    <n v="2"/>
    <n v="1"/>
    <s v="Life Sciences"/>
    <n v="1"/>
    <n v="1096"/>
    <n v="4"/>
    <x v="1"/>
    <n v="65"/>
    <n v="3"/>
    <x v="2"/>
    <x v="3"/>
    <n v="2"/>
    <x v="1"/>
    <n v="10976"/>
    <n v="15813"/>
    <n v="3"/>
    <s v="Y"/>
    <x v="1"/>
    <n v="18"/>
    <n v="3"/>
    <n v="2"/>
    <n v="80"/>
    <n v="1"/>
    <n v="23"/>
    <n v="4"/>
    <n v="3"/>
    <n v="3"/>
    <n v="2"/>
    <n v="1"/>
    <n v="2"/>
    <x v="3"/>
    <x v="2"/>
    <x v="3"/>
    <n v="0"/>
  </r>
  <r>
    <x v="14"/>
    <x v="1"/>
    <x v="0"/>
    <n v="857"/>
    <x v="1"/>
    <n v="10"/>
    <n v="3"/>
    <s v="Other"/>
    <n v="1"/>
    <n v="1097"/>
    <n v="3"/>
    <x v="0"/>
    <n v="59"/>
    <n v="3"/>
    <x v="0"/>
    <x v="1"/>
    <n v="3"/>
    <x v="0"/>
    <n v="3660"/>
    <n v="7909"/>
    <n v="3"/>
    <s v="Y"/>
    <x v="1"/>
    <n v="13"/>
    <n v="3"/>
    <n v="4"/>
    <n v="80"/>
    <n v="0"/>
    <n v="10"/>
    <n v="4"/>
    <n v="4"/>
    <n v="8"/>
    <n v="7"/>
    <n v="1"/>
    <n v="7"/>
    <x v="2"/>
    <x v="0"/>
    <x v="2"/>
    <n v="0"/>
  </r>
  <r>
    <x v="20"/>
    <x v="0"/>
    <x v="0"/>
    <n v="1376"/>
    <x v="2"/>
    <n v="1"/>
    <n v="2"/>
    <s v="Medical"/>
    <n v="1"/>
    <n v="1098"/>
    <n v="2"/>
    <x v="1"/>
    <n v="91"/>
    <n v="2"/>
    <x v="2"/>
    <x v="8"/>
    <n v="1"/>
    <x v="1"/>
    <n v="10482"/>
    <n v="2326"/>
    <n v="9"/>
    <s v="Y"/>
    <x v="1"/>
    <n v="14"/>
    <n v="3"/>
    <n v="4"/>
    <n v="80"/>
    <n v="1"/>
    <n v="24"/>
    <n v="1"/>
    <n v="3"/>
    <n v="20"/>
    <n v="6"/>
    <n v="3"/>
    <n v="6"/>
    <x v="0"/>
    <x v="3"/>
    <x v="3"/>
    <n v="1"/>
  </r>
  <r>
    <x v="3"/>
    <x v="1"/>
    <x v="0"/>
    <n v="654"/>
    <x v="1"/>
    <n v="5"/>
    <n v="3"/>
    <s v="Life Sciences"/>
    <n v="1"/>
    <n v="1099"/>
    <n v="4"/>
    <x v="1"/>
    <n v="34"/>
    <n v="2"/>
    <x v="2"/>
    <x v="4"/>
    <n v="4"/>
    <x v="2"/>
    <n v="7119"/>
    <n v="21214"/>
    <n v="4"/>
    <s v="Y"/>
    <x v="1"/>
    <n v="15"/>
    <n v="3"/>
    <n v="3"/>
    <n v="80"/>
    <n v="1"/>
    <n v="9"/>
    <n v="2"/>
    <n v="3"/>
    <n v="3"/>
    <n v="2"/>
    <n v="1"/>
    <n v="2"/>
    <x v="2"/>
    <x v="2"/>
    <x v="0"/>
    <n v="0"/>
  </r>
  <r>
    <x v="10"/>
    <x v="0"/>
    <x v="0"/>
    <n v="1204"/>
    <x v="0"/>
    <n v="4"/>
    <n v="3"/>
    <s v="Technical Degree"/>
    <n v="1"/>
    <n v="1100"/>
    <n v="4"/>
    <x v="1"/>
    <n v="86"/>
    <n v="3"/>
    <x v="2"/>
    <x v="0"/>
    <n v="1"/>
    <x v="0"/>
    <n v="9582"/>
    <n v="10333"/>
    <n v="0"/>
    <s v="Y"/>
    <x v="0"/>
    <n v="22"/>
    <n v="4"/>
    <n v="1"/>
    <n v="80"/>
    <n v="0"/>
    <n v="9"/>
    <n v="2"/>
    <n v="3"/>
    <n v="8"/>
    <n v="7"/>
    <n v="4"/>
    <n v="7"/>
    <x v="0"/>
    <x v="0"/>
    <x v="3"/>
    <n v="1"/>
  </r>
  <r>
    <x v="3"/>
    <x v="0"/>
    <x v="1"/>
    <n v="827"/>
    <x v="1"/>
    <n v="29"/>
    <n v="4"/>
    <s v="Medical"/>
    <n v="1"/>
    <n v="1101"/>
    <n v="1"/>
    <x v="0"/>
    <n v="54"/>
    <n v="2"/>
    <x v="0"/>
    <x v="1"/>
    <n v="3"/>
    <x v="0"/>
    <n v="4508"/>
    <n v="3129"/>
    <n v="1"/>
    <s v="Y"/>
    <x v="1"/>
    <n v="22"/>
    <n v="4"/>
    <n v="2"/>
    <n v="80"/>
    <n v="0"/>
    <n v="14"/>
    <n v="4"/>
    <n v="3"/>
    <n v="13"/>
    <n v="7"/>
    <n v="3"/>
    <n v="8"/>
    <x v="2"/>
    <x v="3"/>
    <x v="2"/>
    <n v="1"/>
  </r>
  <r>
    <x v="14"/>
    <x v="1"/>
    <x v="0"/>
    <n v="895"/>
    <x v="1"/>
    <n v="15"/>
    <n v="2"/>
    <s v="Life Sciences"/>
    <n v="1"/>
    <n v="1102"/>
    <n v="1"/>
    <x v="1"/>
    <n v="50"/>
    <n v="3"/>
    <x v="1"/>
    <x v="2"/>
    <n v="3"/>
    <x v="2"/>
    <n v="2207"/>
    <n v="22482"/>
    <n v="1"/>
    <s v="Y"/>
    <x v="1"/>
    <n v="16"/>
    <n v="3"/>
    <n v="4"/>
    <n v="80"/>
    <n v="1"/>
    <n v="4"/>
    <n v="5"/>
    <n v="2"/>
    <n v="4"/>
    <n v="2"/>
    <n v="2"/>
    <n v="2"/>
    <x v="2"/>
    <x v="2"/>
    <x v="1"/>
    <n v="0"/>
  </r>
  <r>
    <x v="13"/>
    <x v="1"/>
    <x v="1"/>
    <n v="618"/>
    <x v="1"/>
    <n v="3"/>
    <n v="1"/>
    <s v="Life Sciences"/>
    <n v="1"/>
    <n v="1103"/>
    <n v="1"/>
    <x v="1"/>
    <n v="45"/>
    <n v="3"/>
    <x v="0"/>
    <x v="4"/>
    <n v="4"/>
    <x v="0"/>
    <n v="7756"/>
    <n v="22266"/>
    <n v="0"/>
    <s v="Y"/>
    <x v="1"/>
    <n v="17"/>
    <n v="3"/>
    <n v="3"/>
    <n v="80"/>
    <n v="0"/>
    <n v="7"/>
    <n v="1"/>
    <n v="2"/>
    <n v="6"/>
    <n v="2"/>
    <n v="0"/>
    <n v="4"/>
    <x v="2"/>
    <x v="0"/>
    <x v="0"/>
    <n v="0"/>
  </r>
  <r>
    <x v="2"/>
    <x v="1"/>
    <x v="0"/>
    <n v="309"/>
    <x v="0"/>
    <n v="10"/>
    <n v="4"/>
    <s v="Life Sciences"/>
    <n v="1"/>
    <n v="1105"/>
    <n v="4"/>
    <x v="0"/>
    <n v="88"/>
    <n v="2"/>
    <x v="0"/>
    <x v="0"/>
    <n v="4"/>
    <x v="2"/>
    <n v="6694"/>
    <n v="24223"/>
    <n v="2"/>
    <s v="Y"/>
    <x v="0"/>
    <n v="14"/>
    <n v="3"/>
    <n v="3"/>
    <n v="80"/>
    <n v="3"/>
    <n v="8"/>
    <n v="5"/>
    <n v="3"/>
    <n v="1"/>
    <n v="0"/>
    <n v="0"/>
    <n v="0"/>
    <x v="0"/>
    <x v="1"/>
    <x v="0"/>
    <n v="0"/>
  </r>
  <r>
    <x v="36"/>
    <x v="0"/>
    <x v="0"/>
    <n v="1219"/>
    <x v="1"/>
    <n v="4"/>
    <n v="1"/>
    <s v="Technical Degree"/>
    <n v="1"/>
    <n v="1106"/>
    <n v="4"/>
    <x v="1"/>
    <n v="32"/>
    <n v="3"/>
    <x v="1"/>
    <x v="2"/>
    <n v="4"/>
    <x v="1"/>
    <n v="3691"/>
    <n v="4605"/>
    <n v="1"/>
    <s v="Y"/>
    <x v="0"/>
    <n v="15"/>
    <n v="3"/>
    <n v="2"/>
    <n v="80"/>
    <n v="1"/>
    <n v="7"/>
    <n v="3"/>
    <n v="4"/>
    <n v="7"/>
    <n v="7"/>
    <n v="5"/>
    <n v="6"/>
    <x v="2"/>
    <x v="0"/>
    <x v="2"/>
    <n v="1"/>
  </r>
  <r>
    <x v="25"/>
    <x v="0"/>
    <x v="0"/>
    <n v="1330"/>
    <x v="1"/>
    <n v="21"/>
    <n v="3"/>
    <s v="Medical"/>
    <n v="1"/>
    <n v="1107"/>
    <n v="1"/>
    <x v="1"/>
    <n v="37"/>
    <n v="3"/>
    <x v="1"/>
    <x v="2"/>
    <n v="3"/>
    <x v="2"/>
    <n v="2377"/>
    <n v="19373"/>
    <n v="1"/>
    <s v="Y"/>
    <x v="1"/>
    <n v="20"/>
    <n v="4"/>
    <n v="3"/>
    <n v="80"/>
    <n v="1"/>
    <n v="1"/>
    <n v="0"/>
    <n v="2"/>
    <n v="1"/>
    <n v="1"/>
    <n v="0"/>
    <n v="0"/>
    <x v="2"/>
    <x v="1"/>
    <x v="1"/>
    <n v="1"/>
  </r>
  <r>
    <x v="3"/>
    <x v="0"/>
    <x v="0"/>
    <n v="1017"/>
    <x v="1"/>
    <n v="25"/>
    <n v="3"/>
    <s v="Medical"/>
    <n v="1"/>
    <n v="1108"/>
    <n v="1"/>
    <x v="1"/>
    <n v="55"/>
    <n v="2"/>
    <x v="1"/>
    <x v="1"/>
    <n v="2"/>
    <x v="0"/>
    <n v="2313"/>
    <n v="2993"/>
    <n v="4"/>
    <s v="Y"/>
    <x v="0"/>
    <n v="20"/>
    <n v="4"/>
    <n v="2"/>
    <n v="80"/>
    <n v="0"/>
    <n v="5"/>
    <n v="0"/>
    <n v="3"/>
    <n v="2"/>
    <n v="2"/>
    <n v="2"/>
    <n v="2"/>
    <x v="2"/>
    <x v="1"/>
    <x v="1"/>
    <n v="1"/>
  </r>
  <r>
    <x v="19"/>
    <x v="1"/>
    <x v="0"/>
    <n v="469"/>
    <x v="1"/>
    <n v="2"/>
    <n v="2"/>
    <s v="Medical"/>
    <n v="1"/>
    <n v="1109"/>
    <n v="4"/>
    <x v="1"/>
    <n v="35"/>
    <n v="3"/>
    <x v="3"/>
    <x v="5"/>
    <n v="1"/>
    <x v="1"/>
    <n v="17665"/>
    <n v="14399"/>
    <n v="0"/>
    <s v="Y"/>
    <x v="1"/>
    <n v="17"/>
    <n v="3"/>
    <n v="4"/>
    <n v="80"/>
    <n v="1"/>
    <n v="23"/>
    <n v="3"/>
    <n v="3"/>
    <n v="22"/>
    <n v="6"/>
    <n v="13"/>
    <n v="7"/>
    <x v="0"/>
    <x v="3"/>
    <x v="3"/>
    <n v="0"/>
  </r>
  <r>
    <x v="14"/>
    <x v="0"/>
    <x v="1"/>
    <n v="1009"/>
    <x v="1"/>
    <n v="1"/>
    <n v="3"/>
    <s v="Medical"/>
    <n v="1"/>
    <n v="1111"/>
    <n v="1"/>
    <x v="1"/>
    <n v="45"/>
    <n v="2"/>
    <x v="1"/>
    <x v="2"/>
    <n v="2"/>
    <x v="2"/>
    <n v="2596"/>
    <n v="7160"/>
    <n v="1"/>
    <s v="Y"/>
    <x v="1"/>
    <n v="15"/>
    <n v="3"/>
    <n v="1"/>
    <n v="80"/>
    <n v="2"/>
    <n v="1"/>
    <n v="2"/>
    <n v="3"/>
    <n v="1"/>
    <n v="0"/>
    <n v="0"/>
    <n v="0"/>
    <x v="2"/>
    <x v="1"/>
    <x v="1"/>
    <n v="1"/>
  </r>
  <r>
    <x v="24"/>
    <x v="0"/>
    <x v="1"/>
    <n v="959"/>
    <x v="0"/>
    <n v="1"/>
    <n v="4"/>
    <s v="Other"/>
    <n v="1"/>
    <n v="1113"/>
    <n v="4"/>
    <x v="1"/>
    <n v="81"/>
    <n v="3"/>
    <x v="0"/>
    <x v="0"/>
    <n v="3"/>
    <x v="0"/>
    <n v="4728"/>
    <n v="17251"/>
    <n v="3"/>
    <s v="Y"/>
    <x v="0"/>
    <n v="14"/>
    <n v="3"/>
    <n v="4"/>
    <n v="80"/>
    <n v="0"/>
    <n v="5"/>
    <n v="4"/>
    <n v="3"/>
    <n v="0"/>
    <n v="0"/>
    <n v="0"/>
    <n v="0"/>
    <x v="1"/>
    <x v="1"/>
    <x v="2"/>
    <n v="1"/>
  </r>
  <r>
    <x v="3"/>
    <x v="1"/>
    <x v="1"/>
    <n v="970"/>
    <x v="0"/>
    <n v="7"/>
    <n v="3"/>
    <s v="Life Sciences"/>
    <n v="1"/>
    <n v="1114"/>
    <n v="4"/>
    <x v="0"/>
    <n v="30"/>
    <n v="3"/>
    <x v="0"/>
    <x v="0"/>
    <n v="2"/>
    <x v="1"/>
    <n v="4302"/>
    <n v="13401"/>
    <n v="0"/>
    <s v="Y"/>
    <x v="1"/>
    <n v="17"/>
    <n v="3"/>
    <n v="3"/>
    <n v="80"/>
    <n v="1"/>
    <n v="4"/>
    <n v="3"/>
    <n v="3"/>
    <n v="3"/>
    <n v="2"/>
    <n v="0"/>
    <n v="2"/>
    <x v="2"/>
    <x v="2"/>
    <x v="2"/>
    <n v="0"/>
  </r>
  <r>
    <x v="13"/>
    <x v="1"/>
    <x v="2"/>
    <n v="697"/>
    <x v="1"/>
    <n v="3"/>
    <n v="4"/>
    <s v="Life Sciences"/>
    <n v="1"/>
    <n v="1115"/>
    <n v="3"/>
    <x v="1"/>
    <n v="40"/>
    <n v="2"/>
    <x v="1"/>
    <x v="1"/>
    <n v="4"/>
    <x v="1"/>
    <n v="2979"/>
    <n v="22478"/>
    <n v="3"/>
    <s v="Y"/>
    <x v="1"/>
    <n v="17"/>
    <n v="3"/>
    <n v="4"/>
    <n v="80"/>
    <n v="3"/>
    <n v="6"/>
    <n v="2"/>
    <n v="3"/>
    <n v="0"/>
    <n v="0"/>
    <n v="0"/>
    <n v="0"/>
    <x v="2"/>
    <x v="1"/>
    <x v="1"/>
    <n v="0"/>
  </r>
  <r>
    <x v="26"/>
    <x v="1"/>
    <x v="2"/>
    <n v="1262"/>
    <x v="1"/>
    <n v="1"/>
    <n v="4"/>
    <s v="Medical"/>
    <n v="1"/>
    <n v="1116"/>
    <n v="1"/>
    <x v="1"/>
    <n v="35"/>
    <n v="4"/>
    <x v="3"/>
    <x v="5"/>
    <n v="4"/>
    <x v="0"/>
    <n v="16885"/>
    <n v="16154"/>
    <n v="2"/>
    <s v="Y"/>
    <x v="1"/>
    <n v="22"/>
    <n v="4"/>
    <n v="3"/>
    <n v="80"/>
    <n v="0"/>
    <n v="27"/>
    <n v="3"/>
    <n v="2"/>
    <n v="5"/>
    <n v="4"/>
    <n v="2"/>
    <n v="1"/>
    <x v="1"/>
    <x v="2"/>
    <x v="3"/>
    <n v="0"/>
  </r>
  <r>
    <x v="28"/>
    <x v="1"/>
    <x v="2"/>
    <n v="1050"/>
    <x v="0"/>
    <n v="9"/>
    <n v="4"/>
    <s v="Life Sciences"/>
    <n v="1"/>
    <n v="1117"/>
    <n v="2"/>
    <x v="0"/>
    <n v="65"/>
    <n v="2"/>
    <x v="0"/>
    <x v="0"/>
    <n v="3"/>
    <x v="1"/>
    <n v="5593"/>
    <n v="17970"/>
    <n v="1"/>
    <s v="Y"/>
    <x v="1"/>
    <n v="13"/>
    <n v="3"/>
    <n v="4"/>
    <n v="80"/>
    <n v="1"/>
    <n v="15"/>
    <n v="2"/>
    <n v="3"/>
    <n v="15"/>
    <n v="10"/>
    <n v="4"/>
    <n v="12"/>
    <x v="1"/>
    <x v="3"/>
    <x v="0"/>
    <n v="0"/>
  </r>
  <r>
    <x v="39"/>
    <x v="1"/>
    <x v="0"/>
    <n v="994"/>
    <x v="1"/>
    <n v="7"/>
    <n v="4"/>
    <s v="Life Sciences"/>
    <n v="1"/>
    <n v="1118"/>
    <n v="2"/>
    <x v="1"/>
    <n v="87"/>
    <n v="3"/>
    <x v="2"/>
    <x v="4"/>
    <n v="2"/>
    <x v="0"/>
    <n v="10445"/>
    <n v="15322"/>
    <n v="7"/>
    <s v="Y"/>
    <x v="1"/>
    <n v="19"/>
    <n v="3"/>
    <n v="4"/>
    <n v="80"/>
    <n v="0"/>
    <n v="18"/>
    <n v="4"/>
    <n v="3"/>
    <n v="8"/>
    <n v="6"/>
    <n v="4"/>
    <n v="0"/>
    <x v="1"/>
    <x v="0"/>
    <x v="3"/>
    <n v="0"/>
  </r>
  <r>
    <x v="8"/>
    <x v="1"/>
    <x v="0"/>
    <n v="770"/>
    <x v="0"/>
    <n v="10"/>
    <n v="4"/>
    <s v="Marketing"/>
    <n v="1"/>
    <n v="1119"/>
    <n v="3"/>
    <x v="1"/>
    <n v="73"/>
    <n v="2"/>
    <x v="2"/>
    <x v="0"/>
    <n v="3"/>
    <x v="2"/>
    <n v="8740"/>
    <n v="5569"/>
    <n v="0"/>
    <s v="Y"/>
    <x v="0"/>
    <n v="14"/>
    <n v="3"/>
    <n v="2"/>
    <n v="80"/>
    <n v="2"/>
    <n v="9"/>
    <n v="2"/>
    <n v="3"/>
    <n v="8"/>
    <n v="7"/>
    <n v="2"/>
    <n v="7"/>
    <x v="0"/>
    <x v="0"/>
    <x v="3"/>
    <n v="0"/>
  </r>
  <r>
    <x v="11"/>
    <x v="1"/>
    <x v="0"/>
    <n v="1107"/>
    <x v="1"/>
    <n v="28"/>
    <n v="4"/>
    <s v="Life Sciences"/>
    <n v="1"/>
    <n v="1120"/>
    <n v="3"/>
    <x v="0"/>
    <n v="93"/>
    <n v="3"/>
    <x v="1"/>
    <x v="1"/>
    <n v="4"/>
    <x v="2"/>
    <n v="2514"/>
    <n v="26968"/>
    <n v="4"/>
    <s v="Y"/>
    <x v="1"/>
    <n v="22"/>
    <n v="4"/>
    <n v="1"/>
    <n v="80"/>
    <n v="1"/>
    <n v="11"/>
    <n v="1"/>
    <n v="3"/>
    <n v="7"/>
    <n v="5"/>
    <n v="1"/>
    <n v="7"/>
    <x v="2"/>
    <x v="0"/>
    <x v="1"/>
    <n v="0"/>
  </r>
  <r>
    <x v="14"/>
    <x v="1"/>
    <x v="0"/>
    <n v="950"/>
    <x v="1"/>
    <n v="3"/>
    <n v="3"/>
    <s v="Medical"/>
    <n v="1"/>
    <n v="1121"/>
    <n v="4"/>
    <x v="0"/>
    <n v="93"/>
    <n v="3"/>
    <x v="2"/>
    <x v="3"/>
    <n v="2"/>
    <x v="2"/>
    <n v="7655"/>
    <n v="8039"/>
    <n v="0"/>
    <s v="Y"/>
    <x v="1"/>
    <n v="17"/>
    <n v="3"/>
    <n v="2"/>
    <n v="80"/>
    <n v="3"/>
    <n v="10"/>
    <n v="3"/>
    <n v="2"/>
    <n v="9"/>
    <n v="7"/>
    <n v="1"/>
    <n v="7"/>
    <x v="2"/>
    <x v="0"/>
    <x v="0"/>
    <n v="0"/>
  </r>
  <r>
    <x v="21"/>
    <x v="1"/>
    <x v="0"/>
    <n v="406"/>
    <x v="0"/>
    <n v="3"/>
    <n v="1"/>
    <s v="Marketing"/>
    <n v="1"/>
    <n v="1124"/>
    <n v="1"/>
    <x v="1"/>
    <n v="52"/>
    <n v="3"/>
    <x v="3"/>
    <x v="5"/>
    <n v="3"/>
    <x v="1"/>
    <n v="17465"/>
    <n v="15596"/>
    <n v="3"/>
    <s v="Y"/>
    <x v="1"/>
    <n v="12"/>
    <n v="3"/>
    <n v="4"/>
    <n v="80"/>
    <n v="1"/>
    <n v="23"/>
    <n v="3"/>
    <n v="3"/>
    <n v="12"/>
    <n v="9"/>
    <n v="4"/>
    <n v="9"/>
    <x v="1"/>
    <x v="3"/>
    <x v="3"/>
    <n v="0"/>
  </r>
  <r>
    <x v="8"/>
    <x v="1"/>
    <x v="0"/>
    <n v="130"/>
    <x v="0"/>
    <n v="2"/>
    <n v="2"/>
    <s v="Marketing"/>
    <n v="1"/>
    <n v="1125"/>
    <n v="4"/>
    <x v="1"/>
    <n v="32"/>
    <n v="3"/>
    <x v="2"/>
    <x v="0"/>
    <n v="2"/>
    <x v="0"/>
    <n v="7351"/>
    <n v="20619"/>
    <n v="7"/>
    <s v="Y"/>
    <x v="1"/>
    <n v="16"/>
    <n v="3"/>
    <n v="3"/>
    <n v="80"/>
    <n v="0"/>
    <n v="10"/>
    <n v="2"/>
    <n v="3"/>
    <n v="1"/>
    <n v="0"/>
    <n v="0"/>
    <n v="0"/>
    <x v="0"/>
    <x v="1"/>
    <x v="0"/>
    <n v="0"/>
  </r>
  <r>
    <x v="23"/>
    <x v="1"/>
    <x v="1"/>
    <n v="1082"/>
    <x v="1"/>
    <n v="27"/>
    <n v="3"/>
    <s v="Life Sciences"/>
    <n v="1"/>
    <n v="1126"/>
    <n v="3"/>
    <x v="0"/>
    <n v="83"/>
    <n v="3"/>
    <x v="2"/>
    <x v="3"/>
    <n v="1"/>
    <x v="1"/>
    <n v="10820"/>
    <n v="11535"/>
    <n v="8"/>
    <s v="Y"/>
    <x v="1"/>
    <n v="11"/>
    <n v="3"/>
    <n v="3"/>
    <n v="80"/>
    <n v="1"/>
    <n v="18"/>
    <n v="1"/>
    <n v="3"/>
    <n v="8"/>
    <n v="7"/>
    <n v="0"/>
    <n v="1"/>
    <x v="0"/>
    <x v="0"/>
    <x v="3"/>
    <n v="0"/>
  </r>
  <r>
    <x v="22"/>
    <x v="0"/>
    <x v="1"/>
    <n v="203"/>
    <x v="1"/>
    <n v="2"/>
    <n v="3"/>
    <s v="Life Sciences"/>
    <n v="1"/>
    <n v="1127"/>
    <n v="1"/>
    <x v="1"/>
    <n v="84"/>
    <n v="3"/>
    <x v="3"/>
    <x v="4"/>
    <n v="4"/>
    <x v="2"/>
    <n v="12169"/>
    <n v="13547"/>
    <n v="7"/>
    <s v="Y"/>
    <x v="1"/>
    <n v="11"/>
    <n v="3"/>
    <n v="4"/>
    <n v="80"/>
    <n v="3"/>
    <n v="21"/>
    <n v="4"/>
    <n v="3"/>
    <n v="18"/>
    <n v="7"/>
    <n v="11"/>
    <n v="5"/>
    <x v="0"/>
    <x v="3"/>
    <x v="3"/>
    <n v="1"/>
  </r>
  <r>
    <x v="32"/>
    <x v="1"/>
    <x v="0"/>
    <n v="1308"/>
    <x v="1"/>
    <n v="14"/>
    <n v="3"/>
    <s v="Medical"/>
    <n v="1"/>
    <n v="1128"/>
    <n v="3"/>
    <x v="1"/>
    <n v="44"/>
    <n v="2"/>
    <x v="4"/>
    <x v="7"/>
    <n v="3"/>
    <x v="0"/>
    <n v="19626"/>
    <n v="17544"/>
    <n v="1"/>
    <s v="Y"/>
    <x v="1"/>
    <n v="14"/>
    <n v="3"/>
    <n v="1"/>
    <n v="80"/>
    <n v="0"/>
    <n v="21"/>
    <n v="2"/>
    <n v="4"/>
    <n v="20"/>
    <n v="7"/>
    <n v="4"/>
    <n v="9"/>
    <x v="0"/>
    <x v="3"/>
    <x v="3"/>
    <n v="0"/>
  </r>
  <r>
    <x v="18"/>
    <x v="1"/>
    <x v="0"/>
    <n v="984"/>
    <x v="1"/>
    <n v="1"/>
    <n v="1"/>
    <s v="Technical Degree"/>
    <n v="1"/>
    <n v="1131"/>
    <n v="4"/>
    <x v="0"/>
    <n v="70"/>
    <n v="2"/>
    <x v="1"/>
    <x v="1"/>
    <n v="2"/>
    <x v="0"/>
    <n v="2070"/>
    <n v="25326"/>
    <n v="1"/>
    <s v="Y"/>
    <x v="0"/>
    <n v="11"/>
    <n v="3"/>
    <n v="3"/>
    <n v="80"/>
    <n v="0"/>
    <n v="2"/>
    <n v="6"/>
    <n v="4"/>
    <n v="2"/>
    <n v="2"/>
    <n v="2"/>
    <n v="2"/>
    <x v="4"/>
    <x v="1"/>
    <x v="1"/>
    <n v="0"/>
  </r>
  <r>
    <x v="22"/>
    <x v="1"/>
    <x v="2"/>
    <n v="439"/>
    <x v="1"/>
    <n v="9"/>
    <n v="3"/>
    <s v="Life Sciences"/>
    <n v="1"/>
    <n v="1132"/>
    <n v="3"/>
    <x v="1"/>
    <n v="70"/>
    <n v="3"/>
    <x v="0"/>
    <x v="2"/>
    <n v="2"/>
    <x v="0"/>
    <n v="6782"/>
    <n v="8770"/>
    <n v="9"/>
    <s v="Y"/>
    <x v="1"/>
    <n v="15"/>
    <n v="3"/>
    <n v="3"/>
    <n v="80"/>
    <n v="0"/>
    <n v="9"/>
    <n v="2"/>
    <n v="2"/>
    <n v="5"/>
    <n v="4"/>
    <n v="0"/>
    <n v="3"/>
    <x v="0"/>
    <x v="2"/>
    <x v="0"/>
    <n v="0"/>
  </r>
  <r>
    <x v="9"/>
    <x v="1"/>
    <x v="2"/>
    <n v="217"/>
    <x v="1"/>
    <n v="18"/>
    <n v="4"/>
    <s v="Life Sciences"/>
    <n v="1"/>
    <n v="1133"/>
    <n v="1"/>
    <x v="1"/>
    <n v="78"/>
    <n v="3"/>
    <x v="0"/>
    <x v="3"/>
    <n v="4"/>
    <x v="0"/>
    <n v="7779"/>
    <n v="23238"/>
    <n v="2"/>
    <s v="Y"/>
    <x v="1"/>
    <n v="20"/>
    <n v="4"/>
    <n v="1"/>
    <n v="80"/>
    <n v="0"/>
    <n v="18"/>
    <n v="0"/>
    <n v="3"/>
    <n v="11"/>
    <n v="9"/>
    <n v="0"/>
    <n v="9"/>
    <x v="0"/>
    <x v="3"/>
    <x v="0"/>
    <n v="0"/>
  </r>
  <r>
    <x v="12"/>
    <x v="1"/>
    <x v="1"/>
    <n v="793"/>
    <x v="0"/>
    <n v="20"/>
    <n v="3"/>
    <s v="Life Sciences"/>
    <n v="1"/>
    <n v="1135"/>
    <n v="3"/>
    <x v="1"/>
    <n v="67"/>
    <n v="4"/>
    <x v="1"/>
    <x v="6"/>
    <n v="4"/>
    <x v="1"/>
    <n v="2791"/>
    <n v="21981"/>
    <n v="0"/>
    <s v="Y"/>
    <x v="1"/>
    <n v="12"/>
    <n v="3"/>
    <n v="1"/>
    <n v="80"/>
    <n v="1"/>
    <n v="3"/>
    <n v="4"/>
    <n v="3"/>
    <n v="2"/>
    <n v="2"/>
    <n v="2"/>
    <n v="2"/>
    <x v="2"/>
    <x v="1"/>
    <x v="1"/>
    <n v="0"/>
  </r>
  <r>
    <x v="14"/>
    <x v="1"/>
    <x v="0"/>
    <n v="1451"/>
    <x v="1"/>
    <n v="2"/>
    <n v="1"/>
    <s v="Life Sciences"/>
    <n v="1"/>
    <n v="1136"/>
    <n v="1"/>
    <x v="1"/>
    <n v="67"/>
    <n v="2"/>
    <x v="1"/>
    <x v="1"/>
    <n v="2"/>
    <x v="1"/>
    <n v="3201"/>
    <n v="19911"/>
    <n v="0"/>
    <s v="Y"/>
    <x v="1"/>
    <n v="17"/>
    <n v="3"/>
    <n v="1"/>
    <n v="80"/>
    <n v="0"/>
    <n v="6"/>
    <n v="2"/>
    <n v="1"/>
    <n v="5"/>
    <n v="3"/>
    <n v="0"/>
    <n v="4"/>
    <x v="2"/>
    <x v="2"/>
    <x v="2"/>
    <n v="0"/>
  </r>
  <r>
    <x v="10"/>
    <x v="1"/>
    <x v="1"/>
    <n v="1182"/>
    <x v="0"/>
    <n v="11"/>
    <n v="2"/>
    <s v="Marketing"/>
    <n v="1"/>
    <n v="1137"/>
    <n v="4"/>
    <x v="1"/>
    <n v="54"/>
    <n v="3"/>
    <x v="0"/>
    <x v="0"/>
    <n v="4"/>
    <x v="2"/>
    <n v="4968"/>
    <n v="18500"/>
    <n v="1"/>
    <s v="Y"/>
    <x v="1"/>
    <n v="11"/>
    <n v="3"/>
    <n v="4"/>
    <n v="80"/>
    <n v="1"/>
    <n v="5"/>
    <n v="3"/>
    <n v="3"/>
    <n v="5"/>
    <n v="2"/>
    <n v="0"/>
    <n v="2"/>
    <x v="0"/>
    <x v="2"/>
    <x v="2"/>
    <n v="0"/>
  </r>
  <r>
    <x v="1"/>
    <x v="1"/>
    <x v="0"/>
    <n v="174"/>
    <x v="0"/>
    <n v="8"/>
    <n v="4"/>
    <s v="Technical Degree"/>
    <n v="1"/>
    <n v="1138"/>
    <n v="4"/>
    <x v="1"/>
    <n v="56"/>
    <n v="2"/>
    <x v="3"/>
    <x v="0"/>
    <n v="2"/>
    <x v="1"/>
    <n v="13120"/>
    <n v="11879"/>
    <n v="6"/>
    <s v="Y"/>
    <x v="1"/>
    <n v="17"/>
    <n v="3"/>
    <n v="2"/>
    <n v="80"/>
    <n v="1"/>
    <n v="22"/>
    <n v="3"/>
    <n v="3"/>
    <n v="9"/>
    <n v="8"/>
    <n v="2"/>
    <n v="3"/>
    <x v="1"/>
    <x v="0"/>
    <x v="3"/>
    <n v="0"/>
  </r>
  <r>
    <x v="13"/>
    <x v="1"/>
    <x v="1"/>
    <n v="1003"/>
    <x v="1"/>
    <n v="2"/>
    <n v="2"/>
    <s v="Life Sciences"/>
    <n v="1"/>
    <n v="1140"/>
    <n v="4"/>
    <x v="1"/>
    <n v="95"/>
    <n v="3"/>
    <x v="0"/>
    <x v="3"/>
    <n v="3"/>
    <x v="0"/>
    <n v="4033"/>
    <n v="15834"/>
    <n v="2"/>
    <s v="Y"/>
    <x v="1"/>
    <n v="11"/>
    <n v="3"/>
    <n v="4"/>
    <n v="80"/>
    <n v="0"/>
    <n v="5"/>
    <n v="3"/>
    <n v="2"/>
    <n v="3"/>
    <n v="2"/>
    <n v="0"/>
    <n v="2"/>
    <x v="2"/>
    <x v="2"/>
    <x v="2"/>
    <n v="0"/>
  </r>
  <r>
    <x v="11"/>
    <x v="1"/>
    <x v="1"/>
    <n v="490"/>
    <x v="1"/>
    <n v="10"/>
    <n v="3"/>
    <s v="Life Sciences"/>
    <n v="1"/>
    <n v="1143"/>
    <n v="4"/>
    <x v="0"/>
    <n v="61"/>
    <n v="3"/>
    <x v="1"/>
    <x v="1"/>
    <n v="2"/>
    <x v="2"/>
    <n v="3291"/>
    <n v="17940"/>
    <n v="0"/>
    <s v="Y"/>
    <x v="1"/>
    <n v="14"/>
    <n v="3"/>
    <n v="4"/>
    <n v="80"/>
    <n v="2"/>
    <n v="8"/>
    <n v="2"/>
    <n v="2"/>
    <n v="7"/>
    <n v="5"/>
    <n v="1"/>
    <n v="1"/>
    <x v="2"/>
    <x v="0"/>
    <x v="2"/>
    <n v="0"/>
  </r>
  <r>
    <x v="19"/>
    <x v="1"/>
    <x v="0"/>
    <n v="188"/>
    <x v="1"/>
    <n v="29"/>
    <n v="3"/>
    <s v="Medical"/>
    <n v="1"/>
    <n v="1148"/>
    <n v="2"/>
    <x v="1"/>
    <n v="56"/>
    <n v="1"/>
    <x v="0"/>
    <x v="2"/>
    <n v="4"/>
    <x v="0"/>
    <n v="4272"/>
    <n v="9558"/>
    <n v="4"/>
    <s v="Y"/>
    <x v="1"/>
    <n v="19"/>
    <n v="3"/>
    <n v="1"/>
    <n v="80"/>
    <n v="0"/>
    <n v="16"/>
    <n v="3"/>
    <n v="3"/>
    <n v="1"/>
    <n v="0"/>
    <n v="0"/>
    <n v="0"/>
    <x v="0"/>
    <x v="1"/>
    <x v="2"/>
    <n v="0"/>
  </r>
  <r>
    <x v="11"/>
    <x v="1"/>
    <x v="0"/>
    <n v="718"/>
    <x v="1"/>
    <n v="8"/>
    <n v="1"/>
    <s v="Medical"/>
    <n v="1"/>
    <n v="1150"/>
    <n v="2"/>
    <x v="1"/>
    <n v="79"/>
    <n v="2"/>
    <x v="0"/>
    <x v="3"/>
    <n v="4"/>
    <x v="1"/>
    <n v="5056"/>
    <n v="17689"/>
    <n v="1"/>
    <s v="Y"/>
    <x v="0"/>
    <n v="15"/>
    <n v="3"/>
    <n v="3"/>
    <n v="80"/>
    <n v="1"/>
    <n v="10"/>
    <n v="2"/>
    <n v="2"/>
    <n v="10"/>
    <n v="7"/>
    <n v="1"/>
    <n v="2"/>
    <x v="2"/>
    <x v="0"/>
    <x v="0"/>
    <n v="0"/>
  </r>
  <r>
    <x v="8"/>
    <x v="1"/>
    <x v="0"/>
    <n v="433"/>
    <x v="2"/>
    <n v="1"/>
    <n v="3"/>
    <s v="Human Resources"/>
    <n v="1"/>
    <n v="1152"/>
    <n v="3"/>
    <x v="1"/>
    <n v="37"/>
    <n v="4"/>
    <x v="1"/>
    <x v="8"/>
    <n v="3"/>
    <x v="1"/>
    <n v="2844"/>
    <n v="6004"/>
    <n v="1"/>
    <s v="Y"/>
    <x v="1"/>
    <n v="13"/>
    <n v="3"/>
    <n v="4"/>
    <n v="80"/>
    <n v="1"/>
    <n v="7"/>
    <n v="2"/>
    <n v="4"/>
    <n v="7"/>
    <n v="6"/>
    <n v="5"/>
    <n v="0"/>
    <x v="0"/>
    <x v="0"/>
    <x v="1"/>
    <n v="0"/>
  </r>
  <r>
    <x v="14"/>
    <x v="1"/>
    <x v="1"/>
    <n v="773"/>
    <x v="1"/>
    <n v="6"/>
    <n v="3"/>
    <s v="Life Sciences"/>
    <n v="1"/>
    <n v="1154"/>
    <n v="3"/>
    <x v="1"/>
    <n v="39"/>
    <n v="2"/>
    <x v="1"/>
    <x v="1"/>
    <n v="3"/>
    <x v="2"/>
    <n v="2703"/>
    <n v="22088"/>
    <n v="1"/>
    <s v="Y"/>
    <x v="0"/>
    <n v="14"/>
    <n v="3"/>
    <n v="4"/>
    <n v="80"/>
    <n v="1"/>
    <n v="3"/>
    <n v="2"/>
    <n v="3"/>
    <n v="3"/>
    <n v="1"/>
    <n v="0"/>
    <n v="2"/>
    <x v="2"/>
    <x v="2"/>
    <x v="1"/>
    <n v="0"/>
  </r>
  <r>
    <x v="41"/>
    <x v="0"/>
    <x v="2"/>
    <n v="247"/>
    <x v="1"/>
    <n v="8"/>
    <n v="1"/>
    <s v="Medical"/>
    <n v="1"/>
    <n v="1156"/>
    <n v="3"/>
    <x v="1"/>
    <n v="80"/>
    <n v="3"/>
    <x v="1"/>
    <x v="2"/>
    <n v="3"/>
    <x v="0"/>
    <n v="1904"/>
    <n v="13556"/>
    <n v="1"/>
    <s v="Y"/>
    <x v="1"/>
    <n v="12"/>
    <n v="3"/>
    <n v="4"/>
    <n v="80"/>
    <n v="0"/>
    <n v="0"/>
    <n v="0"/>
    <n v="3"/>
    <n v="0"/>
    <n v="0"/>
    <n v="0"/>
    <n v="0"/>
    <x v="4"/>
    <x v="1"/>
    <x v="1"/>
    <n v="1"/>
  </r>
  <r>
    <x v="3"/>
    <x v="0"/>
    <x v="0"/>
    <n v="603"/>
    <x v="0"/>
    <n v="9"/>
    <n v="4"/>
    <s v="Marketing"/>
    <n v="1"/>
    <n v="1157"/>
    <n v="1"/>
    <x v="0"/>
    <n v="77"/>
    <n v="3"/>
    <x v="0"/>
    <x v="0"/>
    <n v="1"/>
    <x v="0"/>
    <n v="8224"/>
    <n v="18385"/>
    <n v="0"/>
    <s v="Y"/>
    <x v="0"/>
    <n v="17"/>
    <n v="3"/>
    <n v="1"/>
    <n v="80"/>
    <n v="0"/>
    <n v="6"/>
    <n v="3"/>
    <n v="3"/>
    <n v="5"/>
    <n v="2"/>
    <n v="0"/>
    <n v="3"/>
    <x v="2"/>
    <x v="2"/>
    <x v="3"/>
    <n v="1"/>
  </r>
  <r>
    <x v="0"/>
    <x v="1"/>
    <x v="0"/>
    <n v="167"/>
    <x v="1"/>
    <n v="12"/>
    <n v="4"/>
    <s v="Life Sciences"/>
    <n v="1"/>
    <n v="1158"/>
    <n v="2"/>
    <x v="1"/>
    <n v="46"/>
    <n v="3"/>
    <x v="1"/>
    <x v="2"/>
    <n v="4"/>
    <x v="1"/>
    <n v="4766"/>
    <n v="9051"/>
    <n v="3"/>
    <s v="Y"/>
    <x v="0"/>
    <n v="11"/>
    <n v="3"/>
    <n v="1"/>
    <n v="80"/>
    <n v="1"/>
    <n v="6"/>
    <n v="4"/>
    <n v="3"/>
    <n v="1"/>
    <n v="0"/>
    <n v="0"/>
    <n v="0"/>
    <x v="0"/>
    <x v="1"/>
    <x v="2"/>
    <n v="0"/>
  </r>
  <r>
    <x v="12"/>
    <x v="0"/>
    <x v="1"/>
    <n v="874"/>
    <x v="1"/>
    <n v="15"/>
    <n v="3"/>
    <s v="Medical"/>
    <n v="1"/>
    <n v="1160"/>
    <n v="3"/>
    <x v="1"/>
    <n v="72"/>
    <n v="3"/>
    <x v="1"/>
    <x v="2"/>
    <n v="3"/>
    <x v="1"/>
    <n v="2610"/>
    <n v="6233"/>
    <n v="1"/>
    <s v="Y"/>
    <x v="1"/>
    <n v="12"/>
    <n v="3"/>
    <n v="3"/>
    <n v="80"/>
    <n v="1"/>
    <n v="2"/>
    <n v="5"/>
    <n v="2"/>
    <n v="2"/>
    <n v="2"/>
    <n v="2"/>
    <n v="2"/>
    <x v="2"/>
    <x v="1"/>
    <x v="1"/>
    <n v="1"/>
  </r>
  <r>
    <x v="2"/>
    <x v="1"/>
    <x v="0"/>
    <n v="367"/>
    <x v="1"/>
    <n v="25"/>
    <n v="2"/>
    <s v="Medical"/>
    <n v="1"/>
    <n v="1161"/>
    <n v="3"/>
    <x v="0"/>
    <n v="52"/>
    <n v="2"/>
    <x v="0"/>
    <x v="4"/>
    <n v="4"/>
    <x v="2"/>
    <n v="5731"/>
    <n v="17171"/>
    <n v="7"/>
    <s v="Y"/>
    <x v="1"/>
    <n v="13"/>
    <n v="3"/>
    <n v="3"/>
    <n v="80"/>
    <n v="2"/>
    <n v="9"/>
    <n v="2"/>
    <n v="3"/>
    <n v="6"/>
    <n v="2"/>
    <n v="1"/>
    <n v="3"/>
    <x v="0"/>
    <x v="0"/>
    <x v="0"/>
    <n v="0"/>
  </r>
  <r>
    <x v="4"/>
    <x v="1"/>
    <x v="0"/>
    <n v="199"/>
    <x v="1"/>
    <n v="6"/>
    <n v="3"/>
    <s v="Life Sciences"/>
    <n v="1"/>
    <n v="1162"/>
    <n v="4"/>
    <x v="1"/>
    <n v="55"/>
    <n v="2"/>
    <x v="1"/>
    <x v="1"/>
    <n v="3"/>
    <x v="1"/>
    <n v="2539"/>
    <n v="7950"/>
    <n v="1"/>
    <s v="Y"/>
    <x v="1"/>
    <n v="13"/>
    <n v="3"/>
    <n v="3"/>
    <n v="80"/>
    <n v="1"/>
    <n v="4"/>
    <n v="0"/>
    <n v="3"/>
    <n v="4"/>
    <n v="2"/>
    <n v="2"/>
    <n v="2"/>
    <x v="2"/>
    <x v="2"/>
    <x v="1"/>
    <n v="0"/>
  </r>
  <r>
    <x v="13"/>
    <x v="1"/>
    <x v="0"/>
    <n v="1400"/>
    <x v="0"/>
    <n v="9"/>
    <n v="1"/>
    <s v="Life Sciences"/>
    <n v="1"/>
    <n v="1163"/>
    <n v="2"/>
    <x v="0"/>
    <n v="70"/>
    <n v="3"/>
    <x v="0"/>
    <x v="0"/>
    <n v="3"/>
    <x v="1"/>
    <n v="5714"/>
    <n v="5829"/>
    <n v="1"/>
    <s v="Y"/>
    <x v="1"/>
    <n v="20"/>
    <n v="4"/>
    <n v="1"/>
    <n v="80"/>
    <n v="0"/>
    <n v="6"/>
    <n v="3"/>
    <n v="2"/>
    <n v="6"/>
    <n v="5"/>
    <n v="1"/>
    <n v="3"/>
    <x v="2"/>
    <x v="0"/>
    <x v="0"/>
    <n v="0"/>
  </r>
  <r>
    <x v="10"/>
    <x v="1"/>
    <x v="0"/>
    <n v="528"/>
    <x v="2"/>
    <n v="8"/>
    <n v="4"/>
    <s v="Technical Degree"/>
    <n v="1"/>
    <n v="1164"/>
    <n v="3"/>
    <x v="1"/>
    <n v="100"/>
    <n v="3"/>
    <x v="1"/>
    <x v="8"/>
    <n v="3"/>
    <x v="0"/>
    <n v="4323"/>
    <n v="7108"/>
    <n v="1"/>
    <s v="Y"/>
    <x v="1"/>
    <n v="17"/>
    <n v="3"/>
    <n v="2"/>
    <n v="80"/>
    <n v="0"/>
    <n v="6"/>
    <n v="2"/>
    <n v="1"/>
    <n v="5"/>
    <n v="4"/>
    <n v="1"/>
    <n v="4"/>
    <x v="0"/>
    <x v="2"/>
    <x v="2"/>
    <n v="0"/>
  </r>
  <r>
    <x v="11"/>
    <x v="0"/>
    <x v="0"/>
    <n v="408"/>
    <x v="0"/>
    <n v="23"/>
    <n v="1"/>
    <s v="Life Sciences"/>
    <n v="1"/>
    <n v="1165"/>
    <n v="4"/>
    <x v="0"/>
    <n v="45"/>
    <n v="2"/>
    <x v="2"/>
    <x v="0"/>
    <n v="1"/>
    <x v="1"/>
    <n v="7336"/>
    <n v="11162"/>
    <n v="1"/>
    <s v="Y"/>
    <x v="1"/>
    <n v="13"/>
    <n v="3"/>
    <n v="1"/>
    <n v="80"/>
    <n v="1"/>
    <n v="11"/>
    <n v="3"/>
    <n v="1"/>
    <n v="11"/>
    <n v="8"/>
    <n v="3"/>
    <n v="10"/>
    <x v="2"/>
    <x v="3"/>
    <x v="0"/>
    <n v="1"/>
  </r>
  <r>
    <x v="32"/>
    <x v="1"/>
    <x v="1"/>
    <n v="593"/>
    <x v="1"/>
    <n v="9"/>
    <n v="4"/>
    <s v="Medical"/>
    <n v="1"/>
    <n v="1166"/>
    <n v="2"/>
    <x v="0"/>
    <n v="88"/>
    <n v="3"/>
    <x v="2"/>
    <x v="7"/>
    <n v="3"/>
    <x v="0"/>
    <n v="13499"/>
    <n v="13782"/>
    <n v="9"/>
    <s v="Y"/>
    <x v="1"/>
    <n v="17"/>
    <n v="3"/>
    <n v="3"/>
    <n v="80"/>
    <n v="0"/>
    <n v="20"/>
    <n v="3"/>
    <n v="2"/>
    <n v="18"/>
    <n v="7"/>
    <n v="2"/>
    <n v="13"/>
    <x v="0"/>
    <x v="3"/>
    <x v="3"/>
    <n v="0"/>
  </r>
  <r>
    <x v="19"/>
    <x v="0"/>
    <x v="1"/>
    <n v="481"/>
    <x v="0"/>
    <n v="12"/>
    <n v="3"/>
    <s v="Life Sciences"/>
    <n v="1"/>
    <n v="1167"/>
    <n v="3"/>
    <x v="1"/>
    <n v="44"/>
    <n v="3"/>
    <x v="3"/>
    <x v="0"/>
    <n v="1"/>
    <x v="0"/>
    <n v="13758"/>
    <n v="2447"/>
    <n v="0"/>
    <s v="Y"/>
    <x v="0"/>
    <n v="12"/>
    <n v="3"/>
    <n v="2"/>
    <n v="80"/>
    <n v="0"/>
    <n v="22"/>
    <n v="2"/>
    <n v="2"/>
    <n v="21"/>
    <n v="9"/>
    <n v="13"/>
    <n v="14"/>
    <x v="0"/>
    <x v="3"/>
    <x v="3"/>
    <n v="1"/>
  </r>
  <r>
    <x v="19"/>
    <x v="1"/>
    <x v="0"/>
    <n v="647"/>
    <x v="0"/>
    <n v="4"/>
    <n v="4"/>
    <s v="Marketing"/>
    <n v="1"/>
    <n v="1171"/>
    <n v="2"/>
    <x v="1"/>
    <n v="45"/>
    <n v="3"/>
    <x v="0"/>
    <x v="0"/>
    <n v="1"/>
    <x v="0"/>
    <n v="5155"/>
    <n v="2253"/>
    <n v="7"/>
    <s v="Y"/>
    <x v="1"/>
    <n v="13"/>
    <n v="3"/>
    <n v="4"/>
    <n v="80"/>
    <n v="0"/>
    <n v="9"/>
    <n v="3"/>
    <n v="4"/>
    <n v="6"/>
    <n v="4"/>
    <n v="1"/>
    <n v="5"/>
    <x v="0"/>
    <x v="0"/>
    <x v="0"/>
    <n v="0"/>
  </r>
  <r>
    <x v="10"/>
    <x v="1"/>
    <x v="0"/>
    <n v="982"/>
    <x v="1"/>
    <n v="1"/>
    <n v="4"/>
    <s v="Medical"/>
    <n v="1"/>
    <n v="1172"/>
    <n v="4"/>
    <x v="1"/>
    <n v="58"/>
    <n v="2"/>
    <x v="1"/>
    <x v="2"/>
    <n v="3"/>
    <x v="1"/>
    <n v="2258"/>
    <n v="16340"/>
    <n v="6"/>
    <s v="Y"/>
    <x v="1"/>
    <n v="12"/>
    <n v="3"/>
    <n v="2"/>
    <n v="80"/>
    <n v="1"/>
    <n v="10"/>
    <n v="2"/>
    <n v="3"/>
    <n v="8"/>
    <n v="0"/>
    <n v="1"/>
    <n v="7"/>
    <x v="0"/>
    <x v="0"/>
    <x v="1"/>
    <n v="0"/>
  </r>
  <r>
    <x v="17"/>
    <x v="1"/>
    <x v="0"/>
    <n v="477"/>
    <x v="1"/>
    <n v="24"/>
    <n v="3"/>
    <s v="Medical"/>
    <n v="1"/>
    <n v="1173"/>
    <n v="4"/>
    <x v="1"/>
    <n v="49"/>
    <n v="3"/>
    <x v="1"/>
    <x v="2"/>
    <n v="2"/>
    <x v="0"/>
    <n v="3597"/>
    <n v="6409"/>
    <n v="8"/>
    <s v="Y"/>
    <x v="1"/>
    <n v="22"/>
    <n v="4"/>
    <n v="4"/>
    <n v="80"/>
    <n v="0"/>
    <n v="6"/>
    <n v="2"/>
    <n v="3"/>
    <n v="4"/>
    <n v="3"/>
    <n v="1"/>
    <n v="2"/>
    <x v="4"/>
    <x v="2"/>
    <x v="2"/>
    <n v="0"/>
  </r>
  <r>
    <x v="14"/>
    <x v="0"/>
    <x v="0"/>
    <n v="1485"/>
    <x v="1"/>
    <n v="12"/>
    <n v="1"/>
    <s v="Life Sciences"/>
    <n v="1"/>
    <n v="1175"/>
    <n v="3"/>
    <x v="0"/>
    <n v="79"/>
    <n v="3"/>
    <x v="1"/>
    <x v="2"/>
    <n v="4"/>
    <x v="1"/>
    <n v="2515"/>
    <n v="22955"/>
    <n v="1"/>
    <s v="Y"/>
    <x v="0"/>
    <n v="11"/>
    <n v="3"/>
    <n v="4"/>
    <n v="80"/>
    <n v="0"/>
    <n v="1"/>
    <n v="4"/>
    <n v="2"/>
    <n v="1"/>
    <n v="1"/>
    <n v="0"/>
    <n v="0"/>
    <x v="2"/>
    <x v="1"/>
    <x v="1"/>
    <n v="1"/>
  </r>
  <r>
    <x v="25"/>
    <x v="1"/>
    <x v="0"/>
    <n v="1384"/>
    <x v="1"/>
    <n v="3"/>
    <n v="4"/>
    <s v="Medical"/>
    <n v="1"/>
    <n v="1177"/>
    <n v="1"/>
    <x v="1"/>
    <n v="82"/>
    <n v="4"/>
    <x v="1"/>
    <x v="2"/>
    <n v="4"/>
    <x v="1"/>
    <n v="4420"/>
    <n v="13421"/>
    <n v="1"/>
    <s v="Y"/>
    <x v="1"/>
    <n v="22"/>
    <n v="4"/>
    <n v="2"/>
    <n v="80"/>
    <n v="1"/>
    <n v="8"/>
    <n v="2"/>
    <n v="3"/>
    <n v="8"/>
    <n v="7"/>
    <n v="0"/>
    <n v="7"/>
    <x v="2"/>
    <x v="0"/>
    <x v="2"/>
    <n v="0"/>
  </r>
  <r>
    <x v="7"/>
    <x v="1"/>
    <x v="0"/>
    <n v="852"/>
    <x v="0"/>
    <n v="10"/>
    <n v="3"/>
    <s v="Marketing"/>
    <n v="1"/>
    <n v="1179"/>
    <n v="3"/>
    <x v="1"/>
    <n v="72"/>
    <n v="2"/>
    <x v="0"/>
    <x v="0"/>
    <n v="3"/>
    <x v="1"/>
    <n v="6578"/>
    <n v="2706"/>
    <n v="1"/>
    <s v="Y"/>
    <x v="1"/>
    <n v="18"/>
    <n v="3"/>
    <n v="1"/>
    <n v="80"/>
    <n v="1"/>
    <n v="10"/>
    <n v="3"/>
    <n v="3"/>
    <n v="10"/>
    <n v="3"/>
    <n v="1"/>
    <n v="4"/>
    <x v="2"/>
    <x v="0"/>
    <x v="0"/>
    <n v="0"/>
  </r>
  <r>
    <x v="32"/>
    <x v="1"/>
    <x v="1"/>
    <n v="902"/>
    <x v="1"/>
    <n v="26"/>
    <n v="2"/>
    <s v="Medical"/>
    <n v="1"/>
    <n v="1180"/>
    <n v="3"/>
    <x v="0"/>
    <n v="92"/>
    <n v="2"/>
    <x v="0"/>
    <x v="1"/>
    <n v="4"/>
    <x v="1"/>
    <n v="4422"/>
    <n v="21203"/>
    <n v="3"/>
    <s v="Y"/>
    <x v="0"/>
    <n v="13"/>
    <n v="3"/>
    <n v="4"/>
    <n v="80"/>
    <n v="1"/>
    <n v="16"/>
    <n v="3"/>
    <n v="1"/>
    <n v="1"/>
    <n v="1"/>
    <n v="0"/>
    <n v="0"/>
    <x v="0"/>
    <x v="1"/>
    <x v="2"/>
    <n v="0"/>
  </r>
  <r>
    <x v="10"/>
    <x v="1"/>
    <x v="0"/>
    <n v="819"/>
    <x v="1"/>
    <n v="2"/>
    <n v="3"/>
    <s v="Life Sciences"/>
    <n v="1"/>
    <n v="1182"/>
    <n v="3"/>
    <x v="1"/>
    <n v="44"/>
    <n v="2"/>
    <x v="2"/>
    <x v="3"/>
    <n v="2"/>
    <x v="2"/>
    <n v="10274"/>
    <n v="19588"/>
    <n v="2"/>
    <s v="Y"/>
    <x v="1"/>
    <n v="18"/>
    <n v="3"/>
    <n v="2"/>
    <n v="80"/>
    <n v="1"/>
    <n v="15"/>
    <n v="2"/>
    <n v="4"/>
    <n v="7"/>
    <n v="7"/>
    <n v="6"/>
    <n v="4"/>
    <x v="0"/>
    <x v="0"/>
    <x v="3"/>
    <n v="0"/>
  </r>
  <r>
    <x v="13"/>
    <x v="1"/>
    <x v="1"/>
    <n v="669"/>
    <x v="1"/>
    <n v="1"/>
    <n v="3"/>
    <s v="Medical"/>
    <n v="1"/>
    <n v="1184"/>
    <n v="4"/>
    <x v="1"/>
    <n v="97"/>
    <n v="2"/>
    <x v="0"/>
    <x v="4"/>
    <n v="1"/>
    <x v="0"/>
    <n v="5343"/>
    <n v="25755"/>
    <n v="0"/>
    <s v="Y"/>
    <x v="1"/>
    <n v="20"/>
    <n v="4"/>
    <n v="3"/>
    <n v="80"/>
    <n v="0"/>
    <n v="14"/>
    <n v="3"/>
    <n v="3"/>
    <n v="13"/>
    <n v="9"/>
    <n v="4"/>
    <n v="9"/>
    <x v="2"/>
    <x v="3"/>
    <x v="0"/>
    <n v="0"/>
  </r>
  <r>
    <x v="10"/>
    <x v="1"/>
    <x v="1"/>
    <n v="636"/>
    <x v="1"/>
    <n v="4"/>
    <n v="4"/>
    <s v="Other"/>
    <n v="1"/>
    <n v="1185"/>
    <n v="4"/>
    <x v="1"/>
    <n v="47"/>
    <n v="2"/>
    <x v="1"/>
    <x v="2"/>
    <n v="4"/>
    <x v="1"/>
    <n v="2376"/>
    <n v="26537"/>
    <n v="1"/>
    <s v="Y"/>
    <x v="1"/>
    <n v="13"/>
    <n v="3"/>
    <n v="2"/>
    <n v="80"/>
    <n v="1"/>
    <n v="2"/>
    <n v="2"/>
    <n v="4"/>
    <n v="2"/>
    <n v="2"/>
    <n v="2"/>
    <n v="2"/>
    <x v="0"/>
    <x v="1"/>
    <x v="1"/>
    <n v="0"/>
  </r>
  <r>
    <x v="23"/>
    <x v="0"/>
    <x v="0"/>
    <n v="1372"/>
    <x v="0"/>
    <n v="9"/>
    <n v="3"/>
    <s v="Marketing"/>
    <n v="1"/>
    <n v="1188"/>
    <n v="1"/>
    <x v="0"/>
    <n v="85"/>
    <n v="1"/>
    <x v="0"/>
    <x v="0"/>
    <n v="3"/>
    <x v="0"/>
    <n v="5346"/>
    <n v="9489"/>
    <n v="8"/>
    <s v="Y"/>
    <x v="1"/>
    <n v="13"/>
    <n v="3"/>
    <n v="2"/>
    <n v="80"/>
    <n v="0"/>
    <n v="7"/>
    <n v="2"/>
    <n v="2"/>
    <n v="4"/>
    <n v="3"/>
    <n v="1"/>
    <n v="3"/>
    <x v="0"/>
    <x v="2"/>
    <x v="0"/>
    <n v="1"/>
  </r>
  <r>
    <x v="5"/>
    <x v="1"/>
    <x v="2"/>
    <n v="862"/>
    <x v="0"/>
    <n v="2"/>
    <n v="1"/>
    <s v="Life Sciences"/>
    <n v="1"/>
    <n v="1190"/>
    <n v="3"/>
    <x v="0"/>
    <n v="76"/>
    <n v="3"/>
    <x v="1"/>
    <x v="6"/>
    <n v="1"/>
    <x v="2"/>
    <n v="2827"/>
    <n v="14947"/>
    <n v="1"/>
    <s v="Y"/>
    <x v="1"/>
    <n v="12"/>
    <n v="3"/>
    <n v="3"/>
    <n v="80"/>
    <n v="3"/>
    <n v="1"/>
    <n v="3"/>
    <n v="3"/>
    <n v="1"/>
    <n v="0"/>
    <n v="0"/>
    <n v="0"/>
    <x v="2"/>
    <x v="1"/>
    <x v="1"/>
    <n v="0"/>
  </r>
  <r>
    <x v="29"/>
    <x v="1"/>
    <x v="0"/>
    <n v="718"/>
    <x v="1"/>
    <n v="4"/>
    <n v="4"/>
    <s v="Technical Degree"/>
    <n v="1"/>
    <n v="1191"/>
    <n v="4"/>
    <x v="0"/>
    <n v="92"/>
    <n v="3"/>
    <x v="4"/>
    <x v="5"/>
    <n v="1"/>
    <x v="2"/>
    <n v="19943"/>
    <n v="18575"/>
    <n v="4"/>
    <s v="Y"/>
    <x v="1"/>
    <n v="13"/>
    <n v="3"/>
    <n v="4"/>
    <n v="80"/>
    <n v="1"/>
    <n v="28"/>
    <n v="2"/>
    <n v="3"/>
    <n v="5"/>
    <n v="2"/>
    <n v="4"/>
    <n v="2"/>
    <x v="3"/>
    <x v="2"/>
    <x v="3"/>
    <n v="0"/>
  </r>
  <r>
    <x v="11"/>
    <x v="1"/>
    <x v="0"/>
    <n v="1401"/>
    <x v="1"/>
    <n v="6"/>
    <n v="1"/>
    <s v="Medical"/>
    <n v="1"/>
    <n v="1192"/>
    <n v="2"/>
    <x v="0"/>
    <n v="54"/>
    <n v="3"/>
    <x v="1"/>
    <x v="2"/>
    <n v="4"/>
    <x v="1"/>
    <n v="3131"/>
    <n v="26342"/>
    <n v="1"/>
    <s v="Y"/>
    <x v="1"/>
    <n v="13"/>
    <n v="3"/>
    <n v="1"/>
    <n v="80"/>
    <n v="1"/>
    <n v="10"/>
    <n v="5"/>
    <n v="3"/>
    <n v="10"/>
    <n v="8"/>
    <n v="0"/>
    <n v="8"/>
    <x v="2"/>
    <x v="0"/>
    <x v="2"/>
    <n v="0"/>
  </r>
  <r>
    <x v="37"/>
    <x v="1"/>
    <x v="0"/>
    <n v="645"/>
    <x v="1"/>
    <n v="9"/>
    <n v="2"/>
    <s v="Life Sciences"/>
    <n v="1"/>
    <n v="1193"/>
    <n v="3"/>
    <x v="1"/>
    <n v="54"/>
    <n v="3"/>
    <x v="1"/>
    <x v="1"/>
    <n v="1"/>
    <x v="0"/>
    <n v="2552"/>
    <n v="7172"/>
    <n v="1"/>
    <s v="Y"/>
    <x v="1"/>
    <n v="25"/>
    <n v="4"/>
    <n v="3"/>
    <n v="80"/>
    <n v="0"/>
    <n v="1"/>
    <n v="4"/>
    <n v="3"/>
    <n v="1"/>
    <n v="1"/>
    <n v="0"/>
    <n v="0"/>
    <x v="4"/>
    <x v="1"/>
    <x v="1"/>
    <n v="0"/>
  </r>
  <r>
    <x v="28"/>
    <x v="1"/>
    <x v="0"/>
    <n v="1457"/>
    <x v="1"/>
    <n v="7"/>
    <n v="3"/>
    <s v="Medical"/>
    <n v="1"/>
    <n v="1195"/>
    <n v="1"/>
    <x v="0"/>
    <n v="83"/>
    <n v="3"/>
    <x v="1"/>
    <x v="1"/>
    <n v="3"/>
    <x v="1"/>
    <n v="4477"/>
    <n v="20100"/>
    <n v="4"/>
    <s v="Y"/>
    <x v="0"/>
    <n v="19"/>
    <n v="3"/>
    <n v="3"/>
    <n v="80"/>
    <n v="1"/>
    <n v="7"/>
    <n v="2"/>
    <n v="2"/>
    <n v="3"/>
    <n v="2"/>
    <n v="0"/>
    <n v="2"/>
    <x v="1"/>
    <x v="2"/>
    <x v="2"/>
    <n v="0"/>
  </r>
  <r>
    <x v="2"/>
    <x v="1"/>
    <x v="0"/>
    <n v="977"/>
    <x v="1"/>
    <n v="1"/>
    <n v="3"/>
    <s v="Life Sciences"/>
    <n v="1"/>
    <n v="1196"/>
    <n v="4"/>
    <x v="0"/>
    <n v="56"/>
    <n v="2"/>
    <x v="0"/>
    <x v="3"/>
    <n v="4"/>
    <x v="1"/>
    <n v="6474"/>
    <n v="9961"/>
    <n v="1"/>
    <s v="Y"/>
    <x v="1"/>
    <n v="13"/>
    <n v="3"/>
    <n v="2"/>
    <n v="80"/>
    <n v="1"/>
    <n v="14"/>
    <n v="2"/>
    <n v="2"/>
    <n v="14"/>
    <n v="8"/>
    <n v="3"/>
    <n v="11"/>
    <x v="0"/>
    <x v="3"/>
    <x v="0"/>
    <n v="0"/>
  </r>
  <r>
    <x v="35"/>
    <x v="1"/>
    <x v="0"/>
    <n v="805"/>
    <x v="1"/>
    <n v="3"/>
    <n v="3"/>
    <s v="Life Sciences"/>
    <n v="1"/>
    <n v="1198"/>
    <n v="1"/>
    <x v="1"/>
    <n v="87"/>
    <n v="2"/>
    <x v="1"/>
    <x v="2"/>
    <n v="3"/>
    <x v="0"/>
    <n v="3033"/>
    <n v="12828"/>
    <n v="1"/>
    <s v="Y"/>
    <x v="1"/>
    <n v="12"/>
    <n v="3"/>
    <n v="1"/>
    <n v="80"/>
    <n v="0"/>
    <n v="2"/>
    <n v="2"/>
    <n v="2"/>
    <n v="2"/>
    <n v="2"/>
    <n v="1"/>
    <n v="2"/>
    <x v="4"/>
    <x v="1"/>
    <x v="2"/>
    <n v="0"/>
  </r>
  <r>
    <x v="20"/>
    <x v="0"/>
    <x v="0"/>
    <n v="1097"/>
    <x v="1"/>
    <n v="10"/>
    <n v="4"/>
    <s v="Life Sciences"/>
    <n v="1"/>
    <n v="1200"/>
    <n v="3"/>
    <x v="1"/>
    <n v="96"/>
    <n v="3"/>
    <x v="1"/>
    <x v="1"/>
    <n v="3"/>
    <x v="0"/>
    <n v="2936"/>
    <n v="10826"/>
    <n v="1"/>
    <s v="Y"/>
    <x v="0"/>
    <n v="11"/>
    <n v="3"/>
    <n v="3"/>
    <n v="80"/>
    <n v="0"/>
    <n v="6"/>
    <n v="4"/>
    <n v="3"/>
    <n v="6"/>
    <n v="4"/>
    <n v="0"/>
    <n v="2"/>
    <x v="0"/>
    <x v="0"/>
    <x v="1"/>
    <n v="1"/>
  </r>
  <r>
    <x v="16"/>
    <x v="1"/>
    <x v="0"/>
    <n v="1223"/>
    <x v="1"/>
    <n v="7"/>
    <n v="2"/>
    <s v="Medical"/>
    <n v="1"/>
    <n v="1201"/>
    <n v="4"/>
    <x v="0"/>
    <n v="50"/>
    <n v="3"/>
    <x v="4"/>
    <x v="5"/>
    <n v="3"/>
    <x v="2"/>
    <n v="18606"/>
    <n v="18640"/>
    <n v="3"/>
    <s v="Y"/>
    <x v="1"/>
    <n v="18"/>
    <n v="3"/>
    <n v="2"/>
    <n v="80"/>
    <n v="1"/>
    <n v="26"/>
    <n v="6"/>
    <n v="3"/>
    <n v="7"/>
    <n v="7"/>
    <n v="4"/>
    <n v="7"/>
    <x v="1"/>
    <x v="0"/>
    <x v="3"/>
    <n v="0"/>
  </r>
  <r>
    <x v="11"/>
    <x v="1"/>
    <x v="0"/>
    <n v="942"/>
    <x v="1"/>
    <n v="15"/>
    <n v="1"/>
    <s v="Life Sciences"/>
    <n v="1"/>
    <n v="1202"/>
    <n v="2"/>
    <x v="0"/>
    <n v="69"/>
    <n v="1"/>
    <x v="1"/>
    <x v="1"/>
    <n v="4"/>
    <x v="1"/>
    <n v="2168"/>
    <n v="26933"/>
    <n v="0"/>
    <s v="Y"/>
    <x v="0"/>
    <n v="18"/>
    <n v="3"/>
    <n v="1"/>
    <n v="80"/>
    <n v="1"/>
    <n v="6"/>
    <n v="2"/>
    <n v="2"/>
    <n v="5"/>
    <n v="4"/>
    <n v="1"/>
    <n v="3"/>
    <x v="2"/>
    <x v="2"/>
    <x v="1"/>
    <n v="0"/>
  </r>
  <r>
    <x v="15"/>
    <x v="0"/>
    <x v="1"/>
    <n v="1256"/>
    <x v="1"/>
    <n v="3"/>
    <n v="4"/>
    <s v="Life Sciences"/>
    <n v="1"/>
    <n v="1203"/>
    <n v="3"/>
    <x v="1"/>
    <n v="48"/>
    <n v="2"/>
    <x v="1"/>
    <x v="1"/>
    <n v="4"/>
    <x v="1"/>
    <n v="2853"/>
    <n v="4223"/>
    <n v="0"/>
    <s v="Y"/>
    <x v="0"/>
    <n v="11"/>
    <n v="3"/>
    <n v="2"/>
    <n v="80"/>
    <n v="1"/>
    <n v="1"/>
    <n v="5"/>
    <n v="3"/>
    <n v="0"/>
    <n v="0"/>
    <n v="0"/>
    <n v="0"/>
    <x v="4"/>
    <x v="1"/>
    <x v="1"/>
    <n v="1"/>
  </r>
  <r>
    <x v="21"/>
    <x v="1"/>
    <x v="0"/>
    <n v="1402"/>
    <x v="0"/>
    <n v="2"/>
    <n v="3"/>
    <s v="Marketing"/>
    <n v="1"/>
    <n v="1204"/>
    <n v="3"/>
    <x v="0"/>
    <n v="69"/>
    <n v="3"/>
    <x v="3"/>
    <x v="5"/>
    <n v="1"/>
    <x v="1"/>
    <n v="17048"/>
    <n v="24097"/>
    <n v="8"/>
    <s v="Y"/>
    <x v="1"/>
    <n v="23"/>
    <n v="4"/>
    <n v="1"/>
    <n v="80"/>
    <n v="0"/>
    <n v="28"/>
    <n v="2"/>
    <n v="3"/>
    <n v="26"/>
    <n v="15"/>
    <n v="15"/>
    <n v="9"/>
    <x v="1"/>
    <x v="3"/>
    <x v="3"/>
    <n v="0"/>
  </r>
  <r>
    <x v="20"/>
    <x v="1"/>
    <x v="2"/>
    <n v="111"/>
    <x v="1"/>
    <n v="17"/>
    <n v="3"/>
    <s v="Life Sciences"/>
    <n v="1"/>
    <n v="1206"/>
    <n v="4"/>
    <x v="1"/>
    <n v="74"/>
    <n v="1"/>
    <x v="1"/>
    <x v="1"/>
    <n v="3"/>
    <x v="0"/>
    <n v="2290"/>
    <n v="4279"/>
    <n v="2"/>
    <s v="Y"/>
    <x v="1"/>
    <n v="13"/>
    <n v="3"/>
    <n v="4"/>
    <n v="80"/>
    <n v="0"/>
    <n v="6"/>
    <n v="3"/>
    <n v="3"/>
    <n v="0"/>
    <n v="0"/>
    <n v="0"/>
    <n v="0"/>
    <x v="0"/>
    <x v="1"/>
    <x v="1"/>
    <n v="0"/>
  </r>
  <r>
    <x v="3"/>
    <x v="1"/>
    <x v="0"/>
    <n v="147"/>
    <x v="2"/>
    <n v="2"/>
    <n v="3"/>
    <s v="Human Resources"/>
    <n v="1"/>
    <n v="1207"/>
    <n v="2"/>
    <x v="1"/>
    <n v="99"/>
    <n v="3"/>
    <x v="1"/>
    <x v="8"/>
    <n v="3"/>
    <x v="1"/>
    <n v="3600"/>
    <n v="8429"/>
    <n v="1"/>
    <s v="Y"/>
    <x v="1"/>
    <n v="13"/>
    <n v="3"/>
    <n v="4"/>
    <n v="80"/>
    <n v="1"/>
    <n v="5"/>
    <n v="2"/>
    <n v="3"/>
    <n v="5"/>
    <n v="4"/>
    <n v="1"/>
    <n v="4"/>
    <x v="2"/>
    <x v="2"/>
    <x v="2"/>
    <n v="0"/>
  </r>
  <r>
    <x v="0"/>
    <x v="0"/>
    <x v="2"/>
    <n v="906"/>
    <x v="1"/>
    <n v="5"/>
    <n v="2"/>
    <s v="Life Sciences"/>
    <n v="1"/>
    <n v="1210"/>
    <n v="1"/>
    <x v="1"/>
    <n v="95"/>
    <n v="2"/>
    <x v="1"/>
    <x v="1"/>
    <n v="1"/>
    <x v="2"/>
    <n v="2107"/>
    <n v="20293"/>
    <n v="6"/>
    <s v="Y"/>
    <x v="1"/>
    <n v="17"/>
    <n v="3"/>
    <n v="1"/>
    <n v="80"/>
    <n v="1"/>
    <n v="5"/>
    <n v="2"/>
    <n v="1"/>
    <n v="1"/>
    <n v="0"/>
    <n v="0"/>
    <n v="0"/>
    <x v="0"/>
    <x v="1"/>
    <x v="1"/>
    <n v="1"/>
  </r>
  <r>
    <x v="7"/>
    <x v="1"/>
    <x v="0"/>
    <n v="1329"/>
    <x v="0"/>
    <n v="29"/>
    <n v="4"/>
    <s v="Life Sciences"/>
    <n v="1"/>
    <n v="1211"/>
    <n v="3"/>
    <x v="1"/>
    <n v="61"/>
    <n v="3"/>
    <x v="0"/>
    <x v="0"/>
    <n v="1"/>
    <x v="2"/>
    <n v="4115"/>
    <n v="13192"/>
    <n v="8"/>
    <s v="Y"/>
    <x v="1"/>
    <n v="19"/>
    <n v="3"/>
    <n v="3"/>
    <n v="80"/>
    <n v="3"/>
    <n v="8"/>
    <n v="3"/>
    <n v="3"/>
    <n v="4"/>
    <n v="3"/>
    <n v="0"/>
    <n v="3"/>
    <x v="2"/>
    <x v="2"/>
    <x v="2"/>
    <n v="0"/>
  </r>
  <r>
    <x v="32"/>
    <x v="1"/>
    <x v="1"/>
    <n v="1184"/>
    <x v="0"/>
    <n v="2"/>
    <n v="4"/>
    <s v="Medical"/>
    <n v="1"/>
    <n v="1212"/>
    <n v="2"/>
    <x v="1"/>
    <n v="62"/>
    <n v="3"/>
    <x v="0"/>
    <x v="0"/>
    <n v="2"/>
    <x v="1"/>
    <n v="4327"/>
    <n v="25440"/>
    <n v="5"/>
    <s v="Y"/>
    <x v="1"/>
    <n v="12"/>
    <n v="3"/>
    <n v="4"/>
    <n v="80"/>
    <n v="3"/>
    <n v="5"/>
    <n v="2"/>
    <n v="3"/>
    <n v="0"/>
    <n v="0"/>
    <n v="0"/>
    <n v="0"/>
    <x v="0"/>
    <x v="1"/>
    <x v="2"/>
    <n v="0"/>
  </r>
  <r>
    <x v="24"/>
    <x v="1"/>
    <x v="1"/>
    <n v="1421"/>
    <x v="1"/>
    <n v="2"/>
    <n v="3"/>
    <s v="Medical"/>
    <n v="1"/>
    <n v="1215"/>
    <n v="4"/>
    <x v="0"/>
    <n v="30"/>
    <n v="3"/>
    <x v="3"/>
    <x v="5"/>
    <n v="1"/>
    <x v="1"/>
    <n v="17856"/>
    <n v="9490"/>
    <n v="2"/>
    <s v="Y"/>
    <x v="1"/>
    <n v="22"/>
    <n v="4"/>
    <n v="3"/>
    <n v="80"/>
    <n v="1"/>
    <n v="32"/>
    <n v="3"/>
    <n v="3"/>
    <n v="2"/>
    <n v="2"/>
    <n v="2"/>
    <n v="2"/>
    <x v="1"/>
    <x v="1"/>
    <x v="3"/>
    <n v="0"/>
  </r>
  <r>
    <x v="14"/>
    <x v="1"/>
    <x v="0"/>
    <n v="1179"/>
    <x v="1"/>
    <n v="19"/>
    <n v="4"/>
    <s v="Medical"/>
    <n v="1"/>
    <n v="1216"/>
    <n v="4"/>
    <x v="1"/>
    <n v="78"/>
    <n v="2"/>
    <x v="1"/>
    <x v="2"/>
    <n v="1"/>
    <x v="1"/>
    <n v="3196"/>
    <n v="12449"/>
    <n v="1"/>
    <s v="Y"/>
    <x v="1"/>
    <n v="12"/>
    <n v="3"/>
    <n v="3"/>
    <n v="80"/>
    <n v="3"/>
    <n v="6"/>
    <n v="2"/>
    <n v="3"/>
    <n v="6"/>
    <n v="5"/>
    <n v="3"/>
    <n v="3"/>
    <x v="2"/>
    <x v="0"/>
    <x v="2"/>
    <n v="0"/>
  </r>
  <r>
    <x v="21"/>
    <x v="1"/>
    <x v="0"/>
    <n v="1450"/>
    <x v="1"/>
    <n v="15"/>
    <n v="2"/>
    <s v="Life Sciences"/>
    <n v="1"/>
    <n v="1217"/>
    <n v="4"/>
    <x v="1"/>
    <n v="52"/>
    <n v="3"/>
    <x v="4"/>
    <x v="7"/>
    <n v="2"/>
    <x v="1"/>
    <n v="19081"/>
    <n v="10849"/>
    <n v="5"/>
    <s v="Y"/>
    <x v="1"/>
    <n v="11"/>
    <n v="3"/>
    <n v="1"/>
    <n v="80"/>
    <n v="1"/>
    <n v="25"/>
    <n v="2"/>
    <n v="3"/>
    <n v="4"/>
    <n v="2"/>
    <n v="0"/>
    <n v="3"/>
    <x v="1"/>
    <x v="2"/>
    <x v="3"/>
    <n v="0"/>
  </r>
  <r>
    <x v="10"/>
    <x v="1"/>
    <x v="0"/>
    <n v="1361"/>
    <x v="0"/>
    <n v="17"/>
    <n v="4"/>
    <s v="Life Sciences"/>
    <n v="1"/>
    <n v="1218"/>
    <n v="3"/>
    <x v="1"/>
    <n v="94"/>
    <n v="3"/>
    <x v="0"/>
    <x v="0"/>
    <n v="1"/>
    <x v="1"/>
    <n v="8966"/>
    <n v="21026"/>
    <n v="3"/>
    <s v="Y"/>
    <x v="0"/>
    <n v="15"/>
    <n v="3"/>
    <n v="4"/>
    <n v="80"/>
    <n v="3"/>
    <n v="15"/>
    <n v="2"/>
    <n v="3"/>
    <n v="7"/>
    <n v="7"/>
    <n v="1"/>
    <n v="7"/>
    <x v="0"/>
    <x v="0"/>
    <x v="3"/>
    <n v="0"/>
  </r>
  <r>
    <x v="17"/>
    <x v="0"/>
    <x v="0"/>
    <n v="984"/>
    <x v="1"/>
    <n v="17"/>
    <n v="2"/>
    <s v="Life Sciences"/>
    <n v="1"/>
    <n v="1219"/>
    <n v="4"/>
    <x v="0"/>
    <n v="97"/>
    <n v="3"/>
    <x v="1"/>
    <x v="2"/>
    <n v="2"/>
    <x v="1"/>
    <n v="2210"/>
    <n v="3372"/>
    <n v="1"/>
    <s v="Y"/>
    <x v="1"/>
    <n v="13"/>
    <n v="3"/>
    <n v="1"/>
    <n v="80"/>
    <n v="1"/>
    <n v="1"/>
    <n v="3"/>
    <n v="1"/>
    <n v="1"/>
    <n v="0"/>
    <n v="0"/>
    <n v="0"/>
    <x v="4"/>
    <x v="1"/>
    <x v="1"/>
    <n v="1"/>
  </r>
  <r>
    <x v="3"/>
    <x v="1"/>
    <x v="1"/>
    <n v="1146"/>
    <x v="0"/>
    <n v="25"/>
    <n v="3"/>
    <s v="Medical"/>
    <n v="1"/>
    <n v="1220"/>
    <n v="2"/>
    <x v="0"/>
    <n v="82"/>
    <n v="3"/>
    <x v="0"/>
    <x v="0"/>
    <n v="3"/>
    <x v="1"/>
    <n v="4539"/>
    <n v="4905"/>
    <n v="1"/>
    <s v="Y"/>
    <x v="1"/>
    <n v="12"/>
    <n v="3"/>
    <n v="1"/>
    <n v="80"/>
    <n v="1"/>
    <n v="10"/>
    <n v="3"/>
    <n v="2"/>
    <n v="10"/>
    <n v="7"/>
    <n v="0"/>
    <n v="1"/>
    <x v="2"/>
    <x v="0"/>
    <x v="2"/>
    <n v="0"/>
  </r>
  <r>
    <x v="9"/>
    <x v="1"/>
    <x v="0"/>
    <n v="917"/>
    <x v="1"/>
    <n v="6"/>
    <n v="4"/>
    <s v="Life Sciences"/>
    <n v="1"/>
    <n v="1221"/>
    <n v="3"/>
    <x v="1"/>
    <n v="60"/>
    <n v="1"/>
    <x v="1"/>
    <x v="2"/>
    <n v="3"/>
    <x v="2"/>
    <n v="2741"/>
    <n v="6865"/>
    <n v="1"/>
    <s v="Y"/>
    <x v="1"/>
    <n v="14"/>
    <n v="3"/>
    <n v="3"/>
    <n v="80"/>
    <n v="1"/>
    <n v="7"/>
    <n v="4"/>
    <n v="3"/>
    <n v="7"/>
    <n v="7"/>
    <n v="1"/>
    <n v="7"/>
    <x v="0"/>
    <x v="0"/>
    <x v="1"/>
    <n v="0"/>
  </r>
  <r>
    <x v="7"/>
    <x v="1"/>
    <x v="0"/>
    <n v="853"/>
    <x v="1"/>
    <n v="7"/>
    <n v="4"/>
    <s v="Life Sciences"/>
    <n v="1"/>
    <n v="1224"/>
    <n v="3"/>
    <x v="1"/>
    <n v="49"/>
    <n v="3"/>
    <x v="0"/>
    <x v="2"/>
    <n v="3"/>
    <x v="2"/>
    <n v="3491"/>
    <n v="11309"/>
    <n v="1"/>
    <s v="Y"/>
    <x v="1"/>
    <n v="13"/>
    <n v="3"/>
    <n v="1"/>
    <n v="80"/>
    <n v="3"/>
    <n v="10"/>
    <n v="4"/>
    <n v="2"/>
    <n v="10"/>
    <n v="7"/>
    <n v="8"/>
    <n v="9"/>
    <x v="2"/>
    <x v="0"/>
    <x v="2"/>
    <n v="0"/>
  </r>
  <r>
    <x v="20"/>
    <x v="1"/>
    <x v="0"/>
    <n v="200"/>
    <x v="1"/>
    <n v="29"/>
    <n v="4"/>
    <s v="Other"/>
    <n v="1"/>
    <n v="1225"/>
    <n v="4"/>
    <x v="1"/>
    <n v="32"/>
    <n v="3"/>
    <x v="0"/>
    <x v="1"/>
    <n v="4"/>
    <x v="0"/>
    <n v="4541"/>
    <n v="7744"/>
    <n v="1"/>
    <s v="Y"/>
    <x v="1"/>
    <n v="25"/>
    <n v="4"/>
    <n v="2"/>
    <n v="80"/>
    <n v="0"/>
    <n v="20"/>
    <n v="3"/>
    <n v="3"/>
    <n v="20"/>
    <n v="11"/>
    <n v="13"/>
    <n v="17"/>
    <x v="0"/>
    <x v="3"/>
    <x v="2"/>
    <n v="0"/>
  </r>
  <r>
    <x v="35"/>
    <x v="1"/>
    <x v="0"/>
    <n v="654"/>
    <x v="0"/>
    <n v="21"/>
    <n v="3"/>
    <s v="Marketing"/>
    <n v="1"/>
    <n v="1226"/>
    <n v="3"/>
    <x v="1"/>
    <n v="43"/>
    <n v="4"/>
    <x v="1"/>
    <x v="6"/>
    <n v="4"/>
    <x v="0"/>
    <n v="2678"/>
    <n v="5050"/>
    <n v="1"/>
    <s v="Y"/>
    <x v="1"/>
    <n v="17"/>
    <n v="3"/>
    <n v="4"/>
    <n v="80"/>
    <n v="0"/>
    <n v="2"/>
    <n v="2"/>
    <n v="3"/>
    <n v="2"/>
    <n v="1"/>
    <n v="2"/>
    <n v="2"/>
    <x v="4"/>
    <x v="1"/>
    <x v="1"/>
    <n v="0"/>
  </r>
  <r>
    <x v="21"/>
    <x v="1"/>
    <x v="0"/>
    <n v="150"/>
    <x v="1"/>
    <n v="2"/>
    <n v="4"/>
    <s v="Technical Degree"/>
    <n v="1"/>
    <n v="1228"/>
    <n v="4"/>
    <x v="1"/>
    <n v="60"/>
    <n v="3"/>
    <x v="0"/>
    <x v="3"/>
    <n v="4"/>
    <x v="2"/>
    <n v="7379"/>
    <n v="17433"/>
    <n v="2"/>
    <s v="Y"/>
    <x v="1"/>
    <n v="11"/>
    <n v="3"/>
    <n v="3"/>
    <n v="80"/>
    <n v="1"/>
    <n v="12"/>
    <n v="3"/>
    <n v="2"/>
    <n v="6"/>
    <n v="3"/>
    <n v="1"/>
    <n v="4"/>
    <x v="1"/>
    <x v="0"/>
    <x v="0"/>
    <n v="0"/>
  </r>
  <r>
    <x v="19"/>
    <x v="1"/>
    <x v="2"/>
    <n v="179"/>
    <x v="2"/>
    <n v="2"/>
    <n v="5"/>
    <s v="Medical"/>
    <n v="1"/>
    <n v="1231"/>
    <n v="4"/>
    <x v="1"/>
    <n v="79"/>
    <n v="4"/>
    <x v="0"/>
    <x v="8"/>
    <n v="1"/>
    <x v="1"/>
    <n v="6272"/>
    <n v="12858"/>
    <n v="7"/>
    <s v="Y"/>
    <x v="1"/>
    <n v="16"/>
    <n v="3"/>
    <n v="1"/>
    <n v="80"/>
    <n v="1"/>
    <n v="10"/>
    <n v="3"/>
    <n v="4"/>
    <n v="4"/>
    <n v="3"/>
    <n v="0"/>
    <n v="3"/>
    <x v="0"/>
    <x v="2"/>
    <x v="0"/>
    <n v="0"/>
  </r>
  <r>
    <x v="42"/>
    <x v="1"/>
    <x v="0"/>
    <n v="696"/>
    <x v="0"/>
    <n v="7"/>
    <n v="4"/>
    <s v="Marketing"/>
    <n v="1"/>
    <n v="1233"/>
    <n v="2"/>
    <x v="1"/>
    <n v="52"/>
    <n v="4"/>
    <x v="0"/>
    <x v="0"/>
    <n v="4"/>
    <x v="2"/>
    <n v="5220"/>
    <n v="10893"/>
    <n v="0"/>
    <s v="Y"/>
    <x v="0"/>
    <n v="18"/>
    <n v="3"/>
    <n v="2"/>
    <n v="80"/>
    <n v="1"/>
    <n v="12"/>
    <n v="3"/>
    <n v="3"/>
    <n v="11"/>
    <n v="7"/>
    <n v="1"/>
    <n v="9"/>
    <x v="3"/>
    <x v="3"/>
    <x v="0"/>
    <n v="0"/>
  </r>
  <r>
    <x v="5"/>
    <x v="1"/>
    <x v="1"/>
    <n v="116"/>
    <x v="1"/>
    <n v="13"/>
    <n v="3"/>
    <s v="Other"/>
    <n v="1"/>
    <n v="1234"/>
    <n v="3"/>
    <x v="0"/>
    <n v="77"/>
    <n v="2"/>
    <x v="1"/>
    <x v="2"/>
    <n v="2"/>
    <x v="1"/>
    <n v="2743"/>
    <n v="7331"/>
    <n v="1"/>
    <s v="Y"/>
    <x v="1"/>
    <n v="20"/>
    <n v="4"/>
    <n v="3"/>
    <n v="80"/>
    <n v="1"/>
    <n v="2"/>
    <n v="2"/>
    <n v="3"/>
    <n v="2"/>
    <n v="2"/>
    <n v="2"/>
    <n v="2"/>
    <x v="2"/>
    <x v="1"/>
    <x v="1"/>
    <n v="0"/>
  </r>
  <r>
    <x v="5"/>
    <x v="1"/>
    <x v="1"/>
    <n v="1316"/>
    <x v="1"/>
    <n v="2"/>
    <n v="2"/>
    <s v="Life Sciences"/>
    <n v="1"/>
    <n v="1235"/>
    <n v="4"/>
    <x v="0"/>
    <n v="38"/>
    <n v="3"/>
    <x v="0"/>
    <x v="1"/>
    <n v="3"/>
    <x v="0"/>
    <n v="4998"/>
    <n v="2338"/>
    <n v="4"/>
    <s v="Y"/>
    <x v="0"/>
    <n v="14"/>
    <n v="3"/>
    <n v="4"/>
    <n v="80"/>
    <n v="0"/>
    <n v="10"/>
    <n v="2"/>
    <n v="3"/>
    <n v="8"/>
    <n v="7"/>
    <n v="0"/>
    <n v="7"/>
    <x v="2"/>
    <x v="0"/>
    <x v="2"/>
    <n v="0"/>
  </r>
  <r>
    <x v="9"/>
    <x v="1"/>
    <x v="0"/>
    <n v="363"/>
    <x v="1"/>
    <n v="1"/>
    <n v="3"/>
    <s v="Technical Degree"/>
    <n v="1"/>
    <n v="1237"/>
    <n v="3"/>
    <x v="0"/>
    <n v="77"/>
    <n v="1"/>
    <x v="2"/>
    <x v="3"/>
    <n v="1"/>
    <x v="2"/>
    <n v="10252"/>
    <n v="4235"/>
    <n v="2"/>
    <s v="Y"/>
    <x v="0"/>
    <n v="21"/>
    <n v="4"/>
    <n v="3"/>
    <n v="80"/>
    <n v="1"/>
    <n v="17"/>
    <n v="2"/>
    <n v="3"/>
    <n v="7"/>
    <n v="7"/>
    <n v="7"/>
    <n v="7"/>
    <x v="0"/>
    <x v="0"/>
    <x v="3"/>
    <n v="0"/>
  </r>
  <r>
    <x v="3"/>
    <x v="1"/>
    <x v="0"/>
    <n v="117"/>
    <x v="1"/>
    <n v="9"/>
    <n v="3"/>
    <s v="Medical"/>
    <n v="1"/>
    <n v="1238"/>
    <n v="1"/>
    <x v="1"/>
    <n v="60"/>
    <n v="3"/>
    <x v="1"/>
    <x v="1"/>
    <n v="4"/>
    <x v="1"/>
    <n v="2781"/>
    <n v="6311"/>
    <n v="0"/>
    <s v="Y"/>
    <x v="1"/>
    <n v="13"/>
    <n v="3"/>
    <n v="2"/>
    <n v="80"/>
    <n v="1"/>
    <n v="15"/>
    <n v="5"/>
    <n v="3"/>
    <n v="14"/>
    <n v="10"/>
    <n v="4"/>
    <n v="10"/>
    <x v="2"/>
    <x v="3"/>
    <x v="1"/>
    <n v="0"/>
  </r>
  <r>
    <x v="32"/>
    <x v="1"/>
    <x v="0"/>
    <n v="107"/>
    <x v="0"/>
    <n v="10"/>
    <n v="3"/>
    <s v="Technical Degree"/>
    <n v="1"/>
    <n v="1239"/>
    <n v="2"/>
    <x v="0"/>
    <n v="84"/>
    <n v="2"/>
    <x v="0"/>
    <x v="0"/>
    <n v="2"/>
    <x v="2"/>
    <n v="6852"/>
    <n v="11591"/>
    <n v="7"/>
    <s v="Y"/>
    <x v="1"/>
    <n v="12"/>
    <n v="3"/>
    <n v="2"/>
    <n v="80"/>
    <n v="1"/>
    <n v="7"/>
    <n v="2"/>
    <n v="4"/>
    <n v="5"/>
    <n v="1"/>
    <n v="1"/>
    <n v="3"/>
    <x v="0"/>
    <x v="2"/>
    <x v="0"/>
    <n v="0"/>
  </r>
  <r>
    <x v="36"/>
    <x v="1"/>
    <x v="0"/>
    <n v="1356"/>
    <x v="0"/>
    <n v="10"/>
    <n v="4"/>
    <s v="Life Sciences"/>
    <n v="1"/>
    <n v="1240"/>
    <n v="3"/>
    <x v="1"/>
    <n v="57"/>
    <n v="3"/>
    <x v="0"/>
    <x v="0"/>
    <n v="4"/>
    <x v="0"/>
    <n v="4950"/>
    <n v="20623"/>
    <n v="0"/>
    <s v="Y"/>
    <x v="1"/>
    <n v="14"/>
    <n v="3"/>
    <n v="2"/>
    <n v="80"/>
    <n v="0"/>
    <n v="5"/>
    <n v="4"/>
    <n v="3"/>
    <n v="4"/>
    <n v="3"/>
    <n v="1"/>
    <n v="1"/>
    <x v="2"/>
    <x v="2"/>
    <x v="2"/>
    <n v="0"/>
  </r>
  <r>
    <x v="7"/>
    <x v="1"/>
    <x v="0"/>
    <n v="1465"/>
    <x v="1"/>
    <n v="1"/>
    <n v="3"/>
    <s v="Medical"/>
    <n v="1"/>
    <n v="1241"/>
    <n v="4"/>
    <x v="1"/>
    <n v="63"/>
    <n v="3"/>
    <x v="1"/>
    <x v="1"/>
    <n v="2"/>
    <x v="1"/>
    <n v="3579"/>
    <n v="9369"/>
    <n v="0"/>
    <s v="Y"/>
    <x v="0"/>
    <n v="21"/>
    <n v="4"/>
    <n v="1"/>
    <n v="80"/>
    <n v="1"/>
    <n v="12"/>
    <n v="2"/>
    <n v="3"/>
    <n v="11"/>
    <n v="9"/>
    <n v="5"/>
    <n v="7"/>
    <x v="2"/>
    <x v="3"/>
    <x v="2"/>
    <n v="0"/>
  </r>
  <r>
    <x v="19"/>
    <x v="1"/>
    <x v="1"/>
    <n v="458"/>
    <x v="1"/>
    <n v="26"/>
    <n v="5"/>
    <s v="Medical"/>
    <n v="1"/>
    <n v="1242"/>
    <n v="1"/>
    <x v="0"/>
    <n v="60"/>
    <n v="3"/>
    <x v="2"/>
    <x v="7"/>
    <n v="1"/>
    <x v="1"/>
    <n v="13191"/>
    <n v="23281"/>
    <n v="3"/>
    <s v="Y"/>
    <x v="0"/>
    <n v="17"/>
    <n v="3"/>
    <n v="3"/>
    <n v="80"/>
    <n v="0"/>
    <n v="20"/>
    <n v="6"/>
    <n v="3"/>
    <n v="1"/>
    <n v="0"/>
    <n v="0"/>
    <n v="0"/>
    <x v="0"/>
    <x v="1"/>
    <x v="3"/>
    <n v="0"/>
  </r>
  <r>
    <x v="10"/>
    <x v="1"/>
    <x v="2"/>
    <n v="1212"/>
    <x v="0"/>
    <n v="8"/>
    <n v="2"/>
    <s v="Marketing"/>
    <n v="1"/>
    <n v="1243"/>
    <n v="3"/>
    <x v="0"/>
    <n v="78"/>
    <n v="2"/>
    <x v="2"/>
    <x v="0"/>
    <n v="4"/>
    <x v="1"/>
    <n v="10377"/>
    <n v="13755"/>
    <n v="4"/>
    <s v="Y"/>
    <x v="0"/>
    <n v="11"/>
    <n v="3"/>
    <n v="2"/>
    <n v="80"/>
    <n v="1"/>
    <n v="16"/>
    <n v="6"/>
    <n v="2"/>
    <n v="13"/>
    <n v="2"/>
    <n v="4"/>
    <n v="12"/>
    <x v="0"/>
    <x v="3"/>
    <x v="3"/>
    <n v="0"/>
  </r>
  <r>
    <x v="4"/>
    <x v="1"/>
    <x v="0"/>
    <n v="1103"/>
    <x v="1"/>
    <n v="14"/>
    <n v="3"/>
    <s v="Life Sciences"/>
    <n v="1"/>
    <n v="1244"/>
    <n v="1"/>
    <x v="1"/>
    <n v="42"/>
    <n v="3"/>
    <x v="1"/>
    <x v="1"/>
    <n v="1"/>
    <x v="1"/>
    <n v="2235"/>
    <n v="14377"/>
    <n v="1"/>
    <s v="Y"/>
    <x v="0"/>
    <n v="14"/>
    <n v="3"/>
    <n v="4"/>
    <n v="80"/>
    <n v="2"/>
    <n v="9"/>
    <n v="3"/>
    <n v="2"/>
    <n v="9"/>
    <n v="7"/>
    <n v="6"/>
    <n v="8"/>
    <x v="2"/>
    <x v="0"/>
    <x v="1"/>
    <n v="0"/>
  </r>
  <r>
    <x v="33"/>
    <x v="1"/>
    <x v="1"/>
    <n v="966"/>
    <x v="1"/>
    <n v="1"/>
    <n v="4"/>
    <s v="Life Sciences"/>
    <n v="1"/>
    <n v="1245"/>
    <n v="4"/>
    <x v="0"/>
    <n v="53"/>
    <n v="3"/>
    <x v="2"/>
    <x v="3"/>
    <n v="3"/>
    <x v="2"/>
    <n v="10502"/>
    <n v="9659"/>
    <n v="7"/>
    <s v="Y"/>
    <x v="1"/>
    <n v="17"/>
    <n v="3"/>
    <n v="1"/>
    <n v="80"/>
    <n v="1"/>
    <n v="33"/>
    <n v="2"/>
    <n v="1"/>
    <n v="5"/>
    <n v="4"/>
    <n v="1"/>
    <n v="4"/>
    <x v="1"/>
    <x v="2"/>
    <x v="3"/>
    <n v="0"/>
  </r>
  <r>
    <x v="20"/>
    <x v="1"/>
    <x v="0"/>
    <n v="1117"/>
    <x v="1"/>
    <n v="2"/>
    <n v="1"/>
    <s v="Life Sciences"/>
    <n v="1"/>
    <n v="1246"/>
    <n v="1"/>
    <x v="0"/>
    <n v="72"/>
    <n v="4"/>
    <x v="1"/>
    <x v="1"/>
    <n v="4"/>
    <x v="1"/>
    <n v="2011"/>
    <n v="19982"/>
    <n v="1"/>
    <s v="Y"/>
    <x v="1"/>
    <n v="13"/>
    <n v="3"/>
    <n v="4"/>
    <n v="80"/>
    <n v="1"/>
    <n v="10"/>
    <n v="5"/>
    <n v="3"/>
    <n v="10"/>
    <n v="5"/>
    <n v="7"/>
    <n v="7"/>
    <x v="0"/>
    <x v="0"/>
    <x v="1"/>
    <n v="0"/>
  </r>
  <r>
    <x v="37"/>
    <x v="0"/>
    <x v="2"/>
    <n v="504"/>
    <x v="1"/>
    <n v="10"/>
    <n v="3"/>
    <s v="Medical"/>
    <n v="1"/>
    <n v="1248"/>
    <n v="1"/>
    <x v="0"/>
    <n v="96"/>
    <n v="2"/>
    <x v="1"/>
    <x v="1"/>
    <n v="2"/>
    <x v="0"/>
    <n v="1859"/>
    <n v="6148"/>
    <n v="1"/>
    <s v="Y"/>
    <x v="0"/>
    <n v="25"/>
    <n v="4"/>
    <n v="2"/>
    <n v="80"/>
    <n v="0"/>
    <n v="1"/>
    <n v="2"/>
    <n v="4"/>
    <n v="1"/>
    <n v="1"/>
    <n v="0"/>
    <n v="0"/>
    <x v="4"/>
    <x v="1"/>
    <x v="1"/>
    <n v="1"/>
  </r>
  <r>
    <x v="11"/>
    <x v="1"/>
    <x v="0"/>
    <n v="1010"/>
    <x v="1"/>
    <n v="1"/>
    <n v="3"/>
    <s v="Life Sciences"/>
    <n v="1"/>
    <n v="1249"/>
    <n v="1"/>
    <x v="0"/>
    <n v="97"/>
    <n v="3"/>
    <x v="1"/>
    <x v="1"/>
    <n v="4"/>
    <x v="2"/>
    <n v="3760"/>
    <n v="5598"/>
    <n v="1"/>
    <s v="Y"/>
    <x v="1"/>
    <n v="15"/>
    <n v="3"/>
    <n v="1"/>
    <n v="80"/>
    <n v="3"/>
    <n v="3"/>
    <n v="5"/>
    <n v="3"/>
    <n v="3"/>
    <n v="2"/>
    <n v="1"/>
    <n v="2"/>
    <x v="2"/>
    <x v="2"/>
    <x v="2"/>
    <n v="0"/>
  </r>
  <r>
    <x v="33"/>
    <x v="1"/>
    <x v="0"/>
    <n v="685"/>
    <x v="1"/>
    <n v="3"/>
    <n v="3"/>
    <s v="Life Sciences"/>
    <n v="1"/>
    <n v="1250"/>
    <n v="4"/>
    <x v="1"/>
    <n v="85"/>
    <n v="3"/>
    <x v="3"/>
    <x v="7"/>
    <n v="4"/>
    <x v="1"/>
    <n v="17779"/>
    <n v="23474"/>
    <n v="3"/>
    <s v="Y"/>
    <x v="1"/>
    <n v="14"/>
    <n v="3"/>
    <n v="1"/>
    <n v="80"/>
    <n v="0"/>
    <n v="36"/>
    <n v="2"/>
    <n v="3"/>
    <n v="10"/>
    <n v="9"/>
    <n v="0"/>
    <n v="9"/>
    <x v="1"/>
    <x v="0"/>
    <x v="3"/>
    <n v="0"/>
  </r>
  <r>
    <x v="12"/>
    <x v="1"/>
    <x v="0"/>
    <n v="1332"/>
    <x v="1"/>
    <n v="11"/>
    <n v="2"/>
    <s v="Medical"/>
    <n v="1"/>
    <n v="1251"/>
    <n v="3"/>
    <x v="1"/>
    <n v="80"/>
    <n v="3"/>
    <x v="0"/>
    <x v="4"/>
    <n v="1"/>
    <x v="1"/>
    <n v="6833"/>
    <n v="17089"/>
    <n v="1"/>
    <s v="Y"/>
    <x v="0"/>
    <n v="12"/>
    <n v="3"/>
    <n v="4"/>
    <n v="80"/>
    <n v="0"/>
    <n v="6"/>
    <n v="2"/>
    <n v="2"/>
    <n v="6"/>
    <n v="5"/>
    <n v="0"/>
    <n v="1"/>
    <x v="2"/>
    <x v="0"/>
    <x v="0"/>
    <n v="0"/>
  </r>
  <r>
    <x v="12"/>
    <x v="1"/>
    <x v="0"/>
    <n v="1062"/>
    <x v="1"/>
    <n v="24"/>
    <n v="3"/>
    <s v="Medical"/>
    <n v="1"/>
    <n v="1252"/>
    <n v="3"/>
    <x v="0"/>
    <n v="96"/>
    <n v="2"/>
    <x v="0"/>
    <x v="4"/>
    <n v="1"/>
    <x v="0"/>
    <n v="6812"/>
    <n v="17198"/>
    <n v="1"/>
    <s v="Y"/>
    <x v="1"/>
    <n v="19"/>
    <n v="3"/>
    <n v="2"/>
    <n v="80"/>
    <n v="0"/>
    <n v="10"/>
    <n v="2"/>
    <n v="3"/>
    <n v="10"/>
    <n v="9"/>
    <n v="1"/>
    <n v="8"/>
    <x v="2"/>
    <x v="0"/>
    <x v="0"/>
    <n v="0"/>
  </r>
  <r>
    <x v="6"/>
    <x v="1"/>
    <x v="0"/>
    <n v="326"/>
    <x v="0"/>
    <n v="3"/>
    <n v="3"/>
    <s v="Life Sciences"/>
    <n v="1"/>
    <n v="1254"/>
    <n v="3"/>
    <x v="0"/>
    <n v="48"/>
    <n v="2"/>
    <x v="0"/>
    <x v="0"/>
    <n v="4"/>
    <x v="0"/>
    <n v="5171"/>
    <n v="16490"/>
    <n v="5"/>
    <s v="Y"/>
    <x v="1"/>
    <n v="17"/>
    <n v="3"/>
    <n v="4"/>
    <n v="80"/>
    <n v="0"/>
    <n v="13"/>
    <n v="2"/>
    <n v="3"/>
    <n v="6"/>
    <n v="1"/>
    <n v="0"/>
    <n v="5"/>
    <x v="3"/>
    <x v="0"/>
    <x v="0"/>
    <n v="0"/>
  </r>
  <r>
    <x v="23"/>
    <x v="1"/>
    <x v="0"/>
    <n v="920"/>
    <x v="1"/>
    <n v="3"/>
    <n v="3"/>
    <s v="Life Sciences"/>
    <n v="1"/>
    <n v="1255"/>
    <n v="3"/>
    <x v="1"/>
    <n v="96"/>
    <n v="1"/>
    <x v="4"/>
    <x v="7"/>
    <n v="4"/>
    <x v="1"/>
    <n v="19740"/>
    <n v="18625"/>
    <n v="3"/>
    <s v="Y"/>
    <x v="1"/>
    <n v="14"/>
    <n v="3"/>
    <n v="2"/>
    <n v="80"/>
    <n v="1"/>
    <n v="25"/>
    <n v="2"/>
    <n v="3"/>
    <n v="8"/>
    <n v="7"/>
    <n v="0"/>
    <n v="7"/>
    <x v="0"/>
    <x v="0"/>
    <x v="3"/>
    <n v="0"/>
  </r>
  <r>
    <x v="1"/>
    <x v="1"/>
    <x v="0"/>
    <n v="1098"/>
    <x v="1"/>
    <n v="4"/>
    <n v="2"/>
    <s v="Medical"/>
    <n v="1"/>
    <n v="1256"/>
    <n v="1"/>
    <x v="1"/>
    <n v="85"/>
    <n v="2"/>
    <x v="4"/>
    <x v="5"/>
    <n v="3"/>
    <x v="1"/>
    <n v="18711"/>
    <n v="12124"/>
    <n v="2"/>
    <s v="Y"/>
    <x v="1"/>
    <n v="13"/>
    <n v="3"/>
    <n v="3"/>
    <n v="80"/>
    <n v="1"/>
    <n v="23"/>
    <n v="2"/>
    <n v="4"/>
    <n v="1"/>
    <n v="0"/>
    <n v="0"/>
    <n v="0"/>
    <x v="1"/>
    <x v="1"/>
    <x v="3"/>
    <n v="0"/>
  </r>
  <r>
    <x v="9"/>
    <x v="1"/>
    <x v="1"/>
    <n v="469"/>
    <x v="1"/>
    <n v="3"/>
    <n v="3"/>
    <s v="Technical Degree"/>
    <n v="1"/>
    <n v="1257"/>
    <n v="3"/>
    <x v="1"/>
    <n v="46"/>
    <n v="3"/>
    <x v="1"/>
    <x v="1"/>
    <n v="2"/>
    <x v="1"/>
    <n v="3692"/>
    <n v="9256"/>
    <n v="1"/>
    <s v="Y"/>
    <x v="1"/>
    <n v="12"/>
    <n v="3"/>
    <n v="3"/>
    <n v="80"/>
    <n v="0"/>
    <n v="12"/>
    <n v="2"/>
    <n v="2"/>
    <n v="11"/>
    <n v="10"/>
    <n v="0"/>
    <n v="7"/>
    <x v="0"/>
    <x v="3"/>
    <x v="2"/>
    <n v="0"/>
  </r>
  <r>
    <x v="26"/>
    <x v="1"/>
    <x v="0"/>
    <n v="969"/>
    <x v="1"/>
    <n v="2"/>
    <n v="2"/>
    <s v="Technical Degree"/>
    <n v="1"/>
    <n v="1258"/>
    <n v="4"/>
    <x v="1"/>
    <n v="76"/>
    <n v="4"/>
    <x v="1"/>
    <x v="2"/>
    <n v="2"/>
    <x v="0"/>
    <n v="2559"/>
    <n v="16620"/>
    <n v="5"/>
    <s v="Y"/>
    <x v="1"/>
    <n v="11"/>
    <n v="3"/>
    <n v="3"/>
    <n v="80"/>
    <n v="0"/>
    <n v="7"/>
    <n v="4"/>
    <n v="2"/>
    <n v="1"/>
    <n v="0"/>
    <n v="0"/>
    <n v="0"/>
    <x v="1"/>
    <x v="1"/>
    <x v="1"/>
    <n v="0"/>
  </r>
  <r>
    <x v="4"/>
    <x v="1"/>
    <x v="0"/>
    <n v="1167"/>
    <x v="1"/>
    <n v="4"/>
    <n v="2"/>
    <s v="Life Sciences"/>
    <n v="1"/>
    <n v="1259"/>
    <n v="1"/>
    <x v="1"/>
    <n v="76"/>
    <n v="3"/>
    <x v="1"/>
    <x v="1"/>
    <n v="3"/>
    <x v="2"/>
    <n v="2517"/>
    <n v="3208"/>
    <n v="1"/>
    <s v="Y"/>
    <x v="1"/>
    <n v="11"/>
    <n v="3"/>
    <n v="2"/>
    <n v="80"/>
    <n v="3"/>
    <n v="5"/>
    <n v="2"/>
    <n v="3"/>
    <n v="5"/>
    <n v="3"/>
    <n v="0"/>
    <n v="3"/>
    <x v="2"/>
    <x v="2"/>
    <x v="1"/>
    <n v="0"/>
  </r>
  <r>
    <x v="11"/>
    <x v="1"/>
    <x v="0"/>
    <n v="1329"/>
    <x v="1"/>
    <n v="7"/>
    <n v="3"/>
    <s v="Life Sciences"/>
    <n v="1"/>
    <n v="1260"/>
    <n v="3"/>
    <x v="1"/>
    <n v="82"/>
    <n v="3"/>
    <x v="0"/>
    <x v="4"/>
    <n v="4"/>
    <x v="2"/>
    <n v="6623"/>
    <n v="4204"/>
    <n v="1"/>
    <s v="Y"/>
    <x v="0"/>
    <n v="11"/>
    <n v="3"/>
    <n v="2"/>
    <n v="80"/>
    <n v="2"/>
    <n v="6"/>
    <n v="2"/>
    <n v="3"/>
    <n v="6"/>
    <n v="0"/>
    <n v="1"/>
    <n v="0"/>
    <x v="2"/>
    <x v="0"/>
    <x v="0"/>
    <n v="0"/>
  </r>
  <r>
    <x v="26"/>
    <x v="1"/>
    <x v="0"/>
    <n v="715"/>
    <x v="1"/>
    <n v="1"/>
    <n v="3"/>
    <s v="Life Sciences"/>
    <n v="1"/>
    <n v="1263"/>
    <n v="4"/>
    <x v="1"/>
    <n v="76"/>
    <n v="2"/>
    <x v="4"/>
    <x v="7"/>
    <n v="4"/>
    <x v="0"/>
    <n v="18265"/>
    <n v="8733"/>
    <n v="6"/>
    <s v="Y"/>
    <x v="1"/>
    <n v="12"/>
    <n v="3"/>
    <n v="3"/>
    <n v="80"/>
    <n v="0"/>
    <n v="25"/>
    <n v="3"/>
    <n v="4"/>
    <n v="1"/>
    <n v="0"/>
    <n v="0"/>
    <n v="0"/>
    <x v="1"/>
    <x v="1"/>
    <x v="3"/>
    <n v="0"/>
  </r>
  <r>
    <x v="11"/>
    <x v="1"/>
    <x v="0"/>
    <n v="694"/>
    <x v="1"/>
    <n v="1"/>
    <n v="3"/>
    <s v="Life Sciences"/>
    <n v="1"/>
    <n v="1264"/>
    <n v="4"/>
    <x v="0"/>
    <n v="87"/>
    <n v="2"/>
    <x v="3"/>
    <x v="7"/>
    <n v="4"/>
    <x v="2"/>
    <n v="16124"/>
    <n v="3423"/>
    <n v="3"/>
    <s v="Y"/>
    <x v="1"/>
    <n v="14"/>
    <n v="3"/>
    <n v="2"/>
    <n v="80"/>
    <n v="2"/>
    <n v="9"/>
    <n v="2"/>
    <n v="2"/>
    <n v="7"/>
    <n v="7"/>
    <n v="1"/>
    <n v="7"/>
    <x v="2"/>
    <x v="0"/>
    <x v="3"/>
    <n v="0"/>
  </r>
  <r>
    <x v="13"/>
    <x v="1"/>
    <x v="0"/>
    <n v="1320"/>
    <x v="1"/>
    <n v="20"/>
    <n v="3"/>
    <s v="Technical Degree"/>
    <n v="1"/>
    <n v="1265"/>
    <n v="3"/>
    <x v="0"/>
    <n v="89"/>
    <n v="4"/>
    <x v="1"/>
    <x v="1"/>
    <n v="3"/>
    <x v="1"/>
    <n v="2585"/>
    <n v="21643"/>
    <n v="0"/>
    <s v="Y"/>
    <x v="1"/>
    <n v="17"/>
    <n v="3"/>
    <n v="4"/>
    <n v="80"/>
    <n v="0"/>
    <n v="2"/>
    <n v="5"/>
    <n v="2"/>
    <n v="1"/>
    <n v="0"/>
    <n v="0"/>
    <n v="0"/>
    <x v="2"/>
    <x v="1"/>
    <x v="1"/>
    <n v="0"/>
  </r>
  <r>
    <x v="20"/>
    <x v="1"/>
    <x v="0"/>
    <n v="1099"/>
    <x v="0"/>
    <n v="5"/>
    <n v="3"/>
    <s v="Marketing"/>
    <n v="1"/>
    <n v="1267"/>
    <n v="2"/>
    <x v="1"/>
    <n v="88"/>
    <n v="3"/>
    <x v="4"/>
    <x v="5"/>
    <n v="2"/>
    <x v="1"/>
    <n v="18213"/>
    <n v="8751"/>
    <n v="7"/>
    <s v="Y"/>
    <x v="1"/>
    <n v="11"/>
    <n v="3"/>
    <n v="3"/>
    <n v="80"/>
    <n v="1"/>
    <n v="26"/>
    <n v="5"/>
    <n v="3"/>
    <n v="22"/>
    <n v="9"/>
    <n v="3"/>
    <n v="10"/>
    <x v="0"/>
    <x v="3"/>
    <x v="3"/>
    <n v="0"/>
  </r>
  <r>
    <x v="3"/>
    <x v="1"/>
    <x v="0"/>
    <n v="536"/>
    <x v="0"/>
    <n v="10"/>
    <n v="5"/>
    <s v="Marketing"/>
    <n v="1"/>
    <n v="1268"/>
    <n v="4"/>
    <x v="1"/>
    <n v="82"/>
    <n v="4"/>
    <x v="2"/>
    <x v="0"/>
    <n v="3"/>
    <x v="2"/>
    <n v="8380"/>
    <n v="21708"/>
    <n v="0"/>
    <s v="Y"/>
    <x v="0"/>
    <n v="14"/>
    <n v="3"/>
    <n v="4"/>
    <n v="80"/>
    <n v="2"/>
    <n v="10"/>
    <n v="3"/>
    <n v="3"/>
    <n v="9"/>
    <n v="8"/>
    <n v="0"/>
    <n v="8"/>
    <x v="2"/>
    <x v="0"/>
    <x v="3"/>
    <n v="0"/>
  </r>
  <r>
    <x v="37"/>
    <x v="1"/>
    <x v="0"/>
    <n v="265"/>
    <x v="1"/>
    <n v="25"/>
    <n v="3"/>
    <s v="Life Sciences"/>
    <n v="1"/>
    <n v="1269"/>
    <n v="2"/>
    <x v="0"/>
    <n v="57"/>
    <n v="4"/>
    <x v="1"/>
    <x v="1"/>
    <n v="4"/>
    <x v="0"/>
    <n v="2994"/>
    <n v="21221"/>
    <n v="1"/>
    <s v="Y"/>
    <x v="0"/>
    <n v="12"/>
    <n v="3"/>
    <n v="4"/>
    <n v="80"/>
    <n v="0"/>
    <n v="1"/>
    <n v="2"/>
    <n v="3"/>
    <n v="1"/>
    <n v="0"/>
    <n v="0"/>
    <n v="1"/>
    <x v="4"/>
    <x v="1"/>
    <x v="1"/>
    <n v="0"/>
  </r>
  <r>
    <x v="30"/>
    <x v="1"/>
    <x v="0"/>
    <n v="373"/>
    <x v="1"/>
    <n v="1"/>
    <n v="2"/>
    <s v="Life Sciences"/>
    <n v="1"/>
    <n v="1270"/>
    <n v="4"/>
    <x v="1"/>
    <n v="47"/>
    <n v="3"/>
    <x v="1"/>
    <x v="1"/>
    <n v="3"/>
    <x v="1"/>
    <n v="1223"/>
    <n v="16901"/>
    <n v="1"/>
    <s v="Y"/>
    <x v="1"/>
    <n v="22"/>
    <n v="4"/>
    <n v="4"/>
    <n v="80"/>
    <n v="1"/>
    <n v="1"/>
    <n v="2"/>
    <n v="3"/>
    <n v="1"/>
    <n v="0"/>
    <n v="0"/>
    <n v="1"/>
    <x v="4"/>
    <x v="1"/>
    <x v="1"/>
    <n v="0"/>
  </r>
  <r>
    <x v="36"/>
    <x v="0"/>
    <x v="1"/>
    <n v="599"/>
    <x v="0"/>
    <n v="24"/>
    <n v="1"/>
    <s v="Life Sciences"/>
    <n v="1"/>
    <n v="1273"/>
    <n v="3"/>
    <x v="1"/>
    <n v="73"/>
    <n v="1"/>
    <x v="1"/>
    <x v="6"/>
    <n v="4"/>
    <x v="0"/>
    <n v="1118"/>
    <n v="8040"/>
    <n v="1"/>
    <s v="Y"/>
    <x v="0"/>
    <n v="14"/>
    <n v="3"/>
    <n v="4"/>
    <n v="80"/>
    <n v="0"/>
    <n v="1"/>
    <n v="4"/>
    <n v="3"/>
    <n v="1"/>
    <n v="0"/>
    <n v="1"/>
    <n v="0"/>
    <x v="2"/>
    <x v="1"/>
    <x v="1"/>
    <n v="1"/>
  </r>
  <r>
    <x v="25"/>
    <x v="1"/>
    <x v="0"/>
    <n v="583"/>
    <x v="1"/>
    <n v="4"/>
    <n v="2"/>
    <s v="Life Sciences"/>
    <n v="1"/>
    <n v="1275"/>
    <n v="3"/>
    <x v="1"/>
    <n v="53"/>
    <n v="3"/>
    <x v="1"/>
    <x v="1"/>
    <n v="4"/>
    <x v="0"/>
    <n v="2875"/>
    <n v="9973"/>
    <n v="1"/>
    <s v="Y"/>
    <x v="0"/>
    <n v="20"/>
    <n v="4"/>
    <n v="2"/>
    <n v="80"/>
    <n v="0"/>
    <n v="8"/>
    <n v="2"/>
    <n v="2"/>
    <n v="8"/>
    <n v="5"/>
    <n v="2"/>
    <n v="2"/>
    <x v="2"/>
    <x v="0"/>
    <x v="1"/>
    <n v="0"/>
  </r>
  <r>
    <x v="28"/>
    <x v="0"/>
    <x v="0"/>
    <n v="1449"/>
    <x v="0"/>
    <n v="2"/>
    <n v="3"/>
    <s v="Marketing"/>
    <n v="1"/>
    <n v="1277"/>
    <n v="1"/>
    <x v="0"/>
    <n v="94"/>
    <n v="1"/>
    <x v="4"/>
    <x v="5"/>
    <n v="2"/>
    <x v="0"/>
    <n v="18824"/>
    <n v="2493"/>
    <n v="2"/>
    <s v="Y"/>
    <x v="0"/>
    <n v="16"/>
    <n v="3"/>
    <n v="1"/>
    <n v="80"/>
    <n v="0"/>
    <n v="26"/>
    <n v="2"/>
    <n v="3"/>
    <n v="24"/>
    <n v="10"/>
    <n v="1"/>
    <n v="11"/>
    <x v="1"/>
    <x v="3"/>
    <x v="3"/>
    <n v="1"/>
  </r>
  <r>
    <x v="27"/>
    <x v="1"/>
    <x v="2"/>
    <n v="177"/>
    <x v="1"/>
    <n v="8"/>
    <n v="1"/>
    <s v="Medical"/>
    <n v="1"/>
    <n v="1278"/>
    <n v="4"/>
    <x v="1"/>
    <n v="37"/>
    <n v="2"/>
    <x v="3"/>
    <x v="4"/>
    <n v="2"/>
    <x v="2"/>
    <n v="13577"/>
    <n v="25592"/>
    <n v="1"/>
    <s v="Y"/>
    <x v="0"/>
    <n v="15"/>
    <n v="3"/>
    <n v="4"/>
    <n v="80"/>
    <n v="1"/>
    <n v="34"/>
    <n v="3"/>
    <n v="3"/>
    <n v="33"/>
    <n v="9"/>
    <n v="15"/>
    <n v="0"/>
    <x v="3"/>
    <x v="3"/>
    <x v="3"/>
    <n v="0"/>
  </r>
  <r>
    <x v="18"/>
    <x v="0"/>
    <x v="1"/>
    <n v="251"/>
    <x v="1"/>
    <n v="10"/>
    <n v="2"/>
    <s v="Life Sciences"/>
    <n v="1"/>
    <n v="1279"/>
    <n v="1"/>
    <x v="0"/>
    <n v="45"/>
    <n v="2"/>
    <x v="1"/>
    <x v="2"/>
    <n v="3"/>
    <x v="0"/>
    <n v="2625"/>
    <n v="25308"/>
    <n v="1"/>
    <s v="Y"/>
    <x v="1"/>
    <n v="20"/>
    <n v="4"/>
    <n v="3"/>
    <n v="80"/>
    <n v="0"/>
    <n v="2"/>
    <n v="2"/>
    <n v="1"/>
    <n v="2"/>
    <n v="2"/>
    <n v="2"/>
    <n v="2"/>
    <x v="4"/>
    <x v="1"/>
    <x v="1"/>
    <n v="1"/>
  </r>
  <r>
    <x v="21"/>
    <x v="1"/>
    <x v="0"/>
    <n v="168"/>
    <x v="0"/>
    <n v="4"/>
    <n v="2"/>
    <s v="Marketing"/>
    <n v="1"/>
    <n v="1280"/>
    <n v="4"/>
    <x v="0"/>
    <n v="33"/>
    <n v="2"/>
    <x v="4"/>
    <x v="5"/>
    <n v="2"/>
    <x v="1"/>
    <n v="18789"/>
    <n v="9946"/>
    <n v="2"/>
    <s v="Y"/>
    <x v="1"/>
    <n v="14"/>
    <n v="3"/>
    <n v="3"/>
    <n v="80"/>
    <n v="1"/>
    <n v="26"/>
    <n v="2"/>
    <n v="3"/>
    <n v="11"/>
    <n v="4"/>
    <n v="0"/>
    <n v="8"/>
    <x v="1"/>
    <x v="3"/>
    <x v="3"/>
    <n v="0"/>
  </r>
  <r>
    <x v="13"/>
    <x v="1"/>
    <x v="0"/>
    <n v="131"/>
    <x v="0"/>
    <n v="2"/>
    <n v="3"/>
    <s v="Marketing"/>
    <n v="1"/>
    <n v="1281"/>
    <n v="3"/>
    <x v="0"/>
    <n v="86"/>
    <n v="3"/>
    <x v="0"/>
    <x v="0"/>
    <n v="1"/>
    <x v="0"/>
    <n v="4538"/>
    <n v="6039"/>
    <n v="0"/>
    <s v="Y"/>
    <x v="0"/>
    <n v="12"/>
    <n v="3"/>
    <n v="4"/>
    <n v="80"/>
    <n v="0"/>
    <n v="4"/>
    <n v="3"/>
    <n v="3"/>
    <n v="3"/>
    <n v="2"/>
    <n v="0"/>
    <n v="2"/>
    <x v="2"/>
    <x v="2"/>
    <x v="2"/>
    <n v="0"/>
  </r>
  <r>
    <x v="31"/>
    <x v="1"/>
    <x v="1"/>
    <n v="237"/>
    <x v="0"/>
    <n v="9"/>
    <n v="3"/>
    <s v="Life Sciences"/>
    <n v="1"/>
    <n v="1282"/>
    <n v="4"/>
    <x v="1"/>
    <n v="83"/>
    <n v="3"/>
    <x v="4"/>
    <x v="5"/>
    <n v="2"/>
    <x v="2"/>
    <n v="19847"/>
    <n v="19196"/>
    <n v="4"/>
    <s v="Y"/>
    <x v="0"/>
    <n v="24"/>
    <n v="4"/>
    <n v="1"/>
    <n v="80"/>
    <n v="1"/>
    <n v="31"/>
    <n v="5"/>
    <n v="2"/>
    <n v="29"/>
    <n v="10"/>
    <n v="11"/>
    <n v="10"/>
    <x v="1"/>
    <x v="3"/>
    <x v="3"/>
    <n v="0"/>
  </r>
  <r>
    <x v="6"/>
    <x v="1"/>
    <x v="0"/>
    <n v="1429"/>
    <x v="1"/>
    <n v="18"/>
    <n v="4"/>
    <s v="Medical"/>
    <n v="1"/>
    <n v="1283"/>
    <n v="4"/>
    <x v="1"/>
    <n v="67"/>
    <n v="3"/>
    <x v="2"/>
    <x v="3"/>
    <n v="4"/>
    <x v="0"/>
    <n v="10512"/>
    <n v="20002"/>
    <n v="6"/>
    <s v="Y"/>
    <x v="1"/>
    <n v="12"/>
    <n v="3"/>
    <n v="4"/>
    <n v="80"/>
    <n v="0"/>
    <n v="25"/>
    <n v="6"/>
    <n v="2"/>
    <n v="9"/>
    <n v="7"/>
    <n v="5"/>
    <n v="4"/>
    <x v="3"/>
    <x v="0"/>
    <x v="3"/>
    <n v="0"/>
  </r>
  <r>
    <x v="13"/>
    <x v="1"/>
    <x v="1"/>
    <n v="135"/>
    <x v="1"/>
    <n v="19"/>
    <n v="3"/>
    <s v="Medical"/>
    <n v="1"/>
    <n v="1285"/>
    <n v="3"/>
    <x v="0"/>
    <n v="46"/>
    <n v="3"/>
    <x v="0"/>
    <x v="2"/>
    <n v="2"/>
    <x v="2"/>
    <n v="4444"/>
    <n v="22534"/>
    <n v="4"/>
    <s v="Y"/>
    <x v="1"/>
    <n v="13"/>
    <n v="3"/>
    <n v="3"/>
    <n v="80"/>
    <n v="2"/>
    <n v="15"/>
    <n v="2"/>
    <n v="4"/>
    <n v="11"/>
    <n v="8"/>
    <n v="5"/>
    <n v="10"/>
    <x v="2"/>
    <x v="3"/>
    <x v="2"/>
    <n v="0"/>
  </r>
  <r>
    <x v="14"/>
    <x v="1"/>
    <x v="1"/>
    <n v="791"/>
    <x v="1"/>
    <n v="1"/>
    <n v="4"/>
    <s v="Medical"/>
    <n v="1"/>
    <n v="1286"/>
    <n v="4"/>
    <x v="1"/>
    <n v="44"/>
    <n v="3"/>
    <x v="1"/>
    <x v="2"/>
    <n v="3"/>
    <x v="0"/>
    <n v="2154"/>
    <n v="6842"/>
    <n v="0"/>
    <s v="Y"/>
    <x v="0"/>
    <n v="11"/>
    <n v="3"/>
    <n v="3"/>
    <n v="80"/>
    <n v="0"/>
    <n v="5"/>
    <n v="2"/>
    <n v="2"/>
    <n v="4"/>
    <n v="2"/>
    <n v="0"/>
    <n v="2"/>
    <x v="2"/>
    <x v="2"/>
    <x v="1"/>
    <n v="0"/>
  </r>
  <r>
    <x v="20"/>
    <x v="1"/>
    <x v="0"/>
    <n v="1199"/>
    <x v="1"/>
    <n v="4"/>
    <n v="2"/>
    <s v="Life Sciences"/>
    <n v="1"/>
    <n v="1288"/>
    <n v="3"/>
    <x v="1"/>
    <n v="92"/>
    <n v="4"/>
    <x v="4"/>
    <x v="5"/>
    <n v="1"/>
    <x v="2"/>
    <n v="19190"/>
    <n v="17477"/>
    <n v="1"/>
    <s v="Y"/>
    <x v="1"/>
    <n v="14"/>
    <n v="3"/>
    <n v="4"/>
    <n v="80"/>
    <n v="2"/>
    <n v="26"/>
    <n v="4"/>
    <n v="2"/>
    <n v="25"/>
    <n v="9"/>
    <n v="14"/>
    <n v="13"/>
    <x v="0"/>
    <x v="3"/>
    <x v="3"/>
    <n v="0"/>
  </r>
  <r>
    <x v="13"/>
    <x v="1"/>
    <x v="1"/>
    <n v="648"/>
    <x v="2"/>
    <n v="11"/>
    <n v="3"/>
    <s v="Life Sciences"/>
    <n v="1"/>
    <n v="1289"/>
    <n v="3"/>
    <x v="1"/>
    <n v="56"/>
    <n v="2"/>
    <x v="0"/>
    <x v="8"/>
    <n v="2"/>
    <x v="1"/>
    <n v="4490"/>
    <n v="21833"/>
    <n v="4"/>
    <s v="Y"/>
    <x v="1"/>
    <n v="11"/>
    <n v="3"/>
    <n v="4"/>
    <n v="80"/>
    <n v="2"/>
    <n v="14"/>
    <n v="5"/>
    <n v="4"/>
    <n v="10"/>
    <n v="9"/>
    <n v="1"/>
    <n v="8"/>
    <x v="2"/>
    <x v="0"/>
    <x v="2"/>
    <n v="0"/>
  </r>
  <r>
    <x v="10"/>
    <x v="1"/>
    <x v="0"/>
    <n v="735"/>
    <x v="1"/>
    <n v="6"/>
    <n v="1"/>
    <s v="Life Sciences"/>
    <n v="1"/>
    <n v="1291"/>
    <n v="3"/>
    <x v="1"/>
    <n v="66"/>
    <n v="3"/>
    <x v="1"/>
    <x v="1"/>
    <n v="3"/>
    <x v="1"/>
    <n v="3506"/>
    <n v="6020"/>
    <n v="0"/>
    <s v="Y"/>
    <x v="0"/>
    <n v="14"/>
    <n v="3"/>
    <n v="4"/>
    <n v="80"/>
    <n v="0"/>
    <n v="4"/>
    <n v="3"/>
    <n v="3"/>
    <n v="3"/>
    <n v="2"/>
    <n v="2"/>
    <n v="2"/>
    <x v="0"/>
    <x v="2"/>
    <x v="2"/>
    <n v="0"/>
  </r>
  <r>
    <x v="19"/>
    <x v="1"/>
    <x v="0"/>
    <n v="603"/>
    <x v="1"/>
    <n v="7"/>
    <n v="4"/>
    <s v="Medical"/>
    <n v="1"/>
    <n v="1292"/>
    <n v="2"/>
    <x v="0"/>
    <n v="78"/>
    <n v="4"/>
    <x v="0"/>
    <x v="1"/>
    <n v="2"/>
    <x v="1"/>
    <n v="2372"/>
    <n v="5628"/>
    <n v="6"/>
    <s v="Y"/>
    <x v="0"/>
    <n v="16"/>
    <n v="3"/>
    <n v="4"/>
    <n v="80"/>
    <n v="0"/>
    <n v="18"/>
    <n v="2"/>
    <n v="3"/>
    <n v="1"/>
    <n v="0"/>
    <n v="0"/>
    <n v="0"/>
    <x v="0"/>
    <x v="1"/>
    <x v="1"/>
    <n v="0"/>
  </r>
  <r>
    <x v="23"/>
    <x v="1"/>
    <x v="0"/>
    <n v="531"/>
    <x v="0"/>
    <n v="4"/>
    <n v="4"/>
    <s v="Marketing"/>
    <n v="1"/>
    <n v="1293"/>
    <n v="4"/>
    <x v="0"/>
    <n v="56"/>
    <n v="2"/>
    <x v="2"/>
    <x v="0"/>
    <n v="4"/>
    <x v="0"/>
    <n v="10231"/>
    <n v="20364"/>
    <n v="3"/>
    <s v="Y"/>
    <x v="1"/>
    <n v="14"/>
    <n v="3"/>
    <n v="4"/>
    <n v="80"/>
    <n v="0"/>
    <n v="23"/>
    <n v="3"/>
    <n v="4"/>
    <n v="21"/>
    <n v="7"/>
    <n v="15"/>
    <n v="17"/>
    <x v="0"/>
    <x v="3"/>
    <x v="3"/>
    <n v="0"/>
  </r>
  <r>
    <x v="9"/>
    <x v="1"/>
    <x v="0"/>
    <n v="429"/>
    <x v="1"/>
    <n v="2"/>
    <n v="4"/>
    <s v="Life Sciences"/>
    <n v="1"/>
    <n v="1294"/>
    <n v="3"/>
    <x v="0"/>
    <n v="53"/>
    <n v="3"/>
    <x v="0"/>
    <x v="3"/>
    <n v="2"/>
    <x v="0"/>
    <n v="5410"/>
    <n v="2323"/>
    <n v="9"/>
    <s v="Y"/>
    <x v="0"/>
    <n v="11"/>
    <n v="3"/>
    <n v="4"/>
    <n v="80"/>
    <n v="0"/>
    <n v="18"/>
    <n v="2"/>
    <n v="3"/>
    <n v="16"/>
    <n v="14"/>
    <n v="5"/>
    <n v="12"/>
    <x v="0"/>
    <x v="3"/>
    <x v="0"/>
    <n v="0"/>
  </r>
  <r>
    <x v="20"/>
    <x v="0"/>
    <x v="0"/>
    <n v="621"/>
    <x v="1"/>
    <n v="15"/>
    <n v="3"/>
    <s v="Medical"/>
    <n v="1"/>
    <n v="1295"/>
    <n v="1"/>
    <x v="0"/>
    <n v="73"/>
    <n v="3"/>
    <x v="2"/>
    <x v="4"/>
    <n v="4"/>
    <x v="1"/>
    <n v="7978"/>
    <n v="14075"/>
    <n v="1"/>
    <s v="Y"/>
    <x v="1"/>
    <n v="11"/>
    <n v="3"/>
    <n v="4"/>
    <n v="80"/>
    <n v="1"/>
    <n v="10"/>
    <n v="2"/>
    <n v="3"/>
    <n v="10"/>
    <n v="7"/>
    <n v="0"/>
    <n v="5"/>
    <x v="0"/>
    <x v="0"/>
    <x v="0"/>
    <n v="1"/>
  </r>
  <r>
    <x v="14"/>
    <x v="1"/>
    <x v="1"/>
    <n v="193"/>
    <x v="1"/>
    <n v="2"/>
    <n v="3"/>
    <s v="Life Sciences"/>
    <n v="1"/>
    <n v="1296"/>
    <n v="4"/>
    <x v="1"/>
    <n v="52"/>
    <n v="2"/>
    <x v="1"/>
    <x v="2"/>
    <n v="4"/>
    <x v="1"/>
    <n v="3867"/>
    <n v="14222"/>
    <n v="1"/>
    <s v="Y"/>
    <x v="0"/>
    <n v="12"/>
    <n v="3"/>
    <n v="2"/>
    <n v="80"/>
    <n v="1"/>
    <n v="2"/>
    <n v="2"/>
    <n v="3"/>
    <n v="2"/>
    <n v="2"/>
    <n v="2"/>
    <n v="2"/>
    <x v="2"/>
    <x v="1"/>
    <x v="2"/>
    <n v="0"/>
  </r>
  <r>
    <x v="31"/>
    <x v="1"/>
    <x v="1"/>
    <n v="968"/>
    <x v="1"/>
    <n v="6"/>
    <n v="2"/>
    <s v="Medical"/>
    <n v="1"/>
    <n v="1297"/>
    <n v="2"/>
    <x v="0"/>
    <n v="40"/>
    <n v="2"/>
    <x v="1"/>
    <x v="2"/>
    <n v="3"/>
    <x v="0"/>
    <n v="2838"/>
    <n v="4257"/>
    <n v="0"/>
    <s v="Y"/>
    <x v="1"/>
    <n v="14"/>
    <n v="3"/>
    <n v="2"/>
    <n v="80"/>
    <n v="0"/>
    <n v="8"/>
    <n v="6"/>
    <n v="2"/>
    <n v="7"/>
    <n v="0"/>
    <n v="7"/>
    <n v="7"/>
    <x v="1"/>
    <x v="0"/>
    <x v="1"/>
    <n v="0"/>
  </r>
  <r>
    <x v="7"/>
    <x v="1"/>
    <x v="2"/>
    <n v="879"/>
    <x v="1"/>
    <n v="9"/>
    <n v="2"/>
    <s v="Medical"/>
    <n v="1"/>
    <n v="1298"/>
    <n v="3"/>
    <x v="0"/>
    <n v="72"/>
    <n v="3"/>
    <x v="0"/>
    <x v="3"/>
    <n v="3"/>
    <x v="0"/>
    <n v="4695"/>
    <n v="12858"/>
    <n v="7"/>
    <s v="Y"/>
    <x v="0"/>
    <n v="18"/>
    <n v="3"/>
    <n v="3"/>
    <n v="80"/>
    <n v="0"/>
    <n v="10"/>
    <n v="3"/>
    <n v="3"/>
    <n v="8"/>
    <n v="4"/>
    <n v="1"/>
    <n v="7"/>
    <x v="2"/>
    <x v="0"/>
    <x v="2"/>
    <n v="0"/>
  </r>
  <r>
    <x v="11"/>
    <x v="0"/>
    <x v="0"/>
    <n v="806"/>
    <x v="1"/>
    <n v="7"/>
    <n v="3"/>
    <s v="Technical Degree"/>
    <n v="1"/>
    <n v="1299"/>
    <n v="2"/>
    <x v="0"/>
    <n v="39"/>
    <n v="3"/>
    <x v="1"/>
    <x v="2"/>
    <n v="3"/>
    <x v="2"/>
    <n v="3339"/>
    <n v="17285"/>
    <n v="3"/>
    <s v="Y"/>
    <x v="0"/>
    <n v="13"/>
    <n v="3"/>
    <n v="1"/>
    <n v="80"/>
    <n v="2"/>
    <n v="10"/>
    <n v="2"/>
    <n v="3"/>
    <n v="7"/>
    <n v="7"/>
    <n v="7"/>
    <n v="7"/>
    <x v="2"/>
    <x v="0"/>
    <x v="2"/>
    <n v="1"/>
  </r>
  <r>
    <x v="14"/>
    <x v="1"/>
    <x v="0"/>
    <n v="640"/>
    <x v="1"/>
    <n v="1"/>
    <n v="3"/>
    <s v="Technical Degree"/>
    <n v="1"/>
    <n v="1301"/>
    <n v="4"/>
    <x v="1"/>
    <n v="84"/>
    <n v="3"/>
    <x v="1"/>
    <x v="1"/>
    <n v="1"/>
    <x v="0"/>
    <n v="2080"/>
    <n v="4732"/>
    <n v="2"/>
    <s v="Y"/>
    <x v="1"/>
    <n v="11"/>
    <n v="3"/>
    <n v="2"/>
    <n v="80"/>
    <n v="0"/>
    <n v="5"/>
    <n v="2"/>
    <n v="2"/>
    <n v="3"/>
    <n v="2"/>
    <n v="1"/>
    <n v="2"/>
    <x v="2"/>
    <x v="2"/>
    <x v="1"/>
    <n v="0"/>
  </r>
  <r>
    <x v="36"/>
    <x v="1"/>
    <x v="0"/>
    <n v="266"/>
    <x v="1"/>
    <n v="1"/>
    <n v="3"/>
    <s v="Medical"/>
    <n v="1"/>
    <n v="1303"/>
    <n v="4"/>
    <x v="0"/>
    <n v="40"/>
    <n v="3"/>
    <x v="1"/>
    <x v="1"/>
    <n v="2"/>
    <x v="0"/>
    <n v="2096"/>
    <n v="18830"/>
    <n v="1"/>
    <s v="Y"/>
    <x v="1"/>
    <n v="18"/>
    <n v="3"/>
    <n v="4"/>
    <n v="80"/>
    <n v="0"/>
    <n v="2"/>
    <n v="3"/>
    <n v="2"/>
    <n v="2"/>
    <n v="2"/>
    <n v="2"/>
    <n v="1"/>
    <x v="2"/>
    <x v="1"/>
    <x v="1"/>
    <n v="0"/>
  </r>
  <r>
    <x v="5"/>
    <x v="1"/>
    <x v="0"/>
    <n v="604"/>
    <x v="0"/>
    <n v="8"/>
    <n v="3"/>
    <s v="Medical"/>
    <n v="1"/>
    <n v="1304"/>
    <n v="3"/>
    <x v="1"/>
    <n v="56"/>
    <n v="4"/>
    <x v="0"/>
    <x v="0"/>
    <n v="4"/>
    <x v="1"/>
    <n v="6209"/>
    <n v="11693"/>
    <n v="1"/>
    <s v="Y"/>
    <x v="1"/>
    <n v="15"/>
    <n v="3"/>
    <n v="3"/>
    <n v="80"/>
    <n v="2"/>
    <n v="10"/>
    <n v="4"/>
    <n v="4"/>
    <n v="10"/>
    <n v="7"/>
    <n v="0"/>
    <n v="8"/>
    <x v="2"/>
    <x v="0"/>
    <x v="0"/>
    <n v="0"/>
  </r>
  <r>
    <x v="28"/>
    <x v="1"/>
    <x v="1"/>
    <n v="364"/>
    <x v="1"/>
    <n v="25"/>
    <n v="3"/>
    <s v="Medical"/>
    <n v="1"/>
    <n v="1306"/>
    <n v="2"/>
    <x v="0"/>
    <n v="83"/>
    <n v="3"/>
    <x v="4"/>
    <x v="5"/>
    <n v="2"/>
    <x v="0"/>
    <n v="18061"/>
    <n v="13035"/>
    <n v="3"/>
    <s v="Y"/>
    <x v="1"/>
    <n v="22"/>
    <n v="4"/>
    <n v="3"/>
    <n v="80"/>
    <n v="0"/>
    <n v="22"/>
    <n v="4"/>
    <n v="3"/>
    <n v="0"/>
    <n v="0"/>
    <n v="0"/>
    <n v="0"/>
    <x v="1"/>
    <x v="1"/>
    <x v="3"/>
    <n v="0"/>
  </r>
  <r>
    <x v="22"/>
    <x v="1"/>
    <x v="0"/>
    <n v="412"/>
    <x v="1"/>
    <n v="13"/>
    <n v="4"/>
    <s v="Medical"/>
    <n v="1"/>
    <n v="1307"/>
    <n v="3"/>
    <x v="0"/>
    <n v="94"/>
    <n v="2"/>
    <x v="3"/>
    <x v="5"/>
    <n v="2"/>
    <x v="2"/>
    <n v="17123"/>
    <n v="17334"/>
    <n v="6"/>
    <s v="Y"/>
    <x v="0"/>
    <n v="13"/>
    <n v="3"/>
    <n v="4"/>
    <n v="80"/>
    <n v="2"/>
    <n v="21"/>
    <n v="4"/>
    <n v="3"/>
    <n v="19"/>
    <n v="9"/>
    <n v="15"/>
    <n v="2"/>
    <x v="0"/>
    <x v="3"/>
    <x v="3"/>
    <n v="0"/>
  </r>
  <r>
    <x v="34"/>
    <x v="1"/>
    <x v="0"/>
    <n v="848"/>
    <x v="1"/>
    <n v="23"/>
    <n v="4"/>
    <s v="Life Sciences"/>
    <n v="1"/>
    <n v="1308"/>
    <n v="1"/>
    <x v="1"/>
    <n v="88"/>
    <n v="3"/>
    <x v="1"/>
    <x v="1"/>
    <n v="3"/>
    <x v="2"/>
    <n v="2372"/>
    <n v="26076"/>
    <n v="1"/>
    <s v="Y"/>
    <x v="1"/>
    <n v="12"/>
    <n v="3"/>
    <n v="4"/>
    <n v="80"/>
    <n v="2"/>
    <n v="2"/>
    <n v="3"/>
    <n v="3"/>
    <n v="2"/>
    <n v="2"/>
    <n v="2"/>
    <n v="2"/>
    <x v="3"/>
    <x v="1"/>
    <x v="1"/>
    <n v="0"/>
  </r>
  <r>
    <x v="5"/>
    <x v="0"/>
    <x v="0"/>
    <n v="1089"/>
    <x v="1"/>
    <n v="7"/>
    <n v="2"/>
    <s v="Life Sciences"/>
    <n v="1"/>
    <n v="1309"/>
    <n v="4"/>
    <x v="1"/>
    <n v="79"/>
    <n v="3"/>
    <x v="0"/>
    <x v="2"/>
    <n v="3"/>
    <x v="1"/>
    <n v="4883"/>
    <n v="22845"/>
    <n v="1"/>
    <s v="Y"/>
    <x v="1"/>
    <n v="18"/>
    <n v="3"/>
    <n v="1"/>
    <n v="80"/>
    <n v="1"/>
    <n v="10"/>
    <n v="3"/>
    <n v="3"/>
    <n v="10"/>
    <n v="4"/>
    <n v="1"/>
    <n v="1"/>
    <x v="2"/>
    <x v="0"/>
    <x v="2"/>
    <n v="1"/>
  </r>
  <r>
    <x v="22"/>
    <x v="0"/>
    <x v="0"/>
    <n v="360"/>
    <x v="1"/>
    <n v="23"/>
    <n v="3"/>
    <s v="Medical"/>
    <n v="1"/>
    <n v="1310"/>
    <n v="3"/>
    <x v="1"/>
    <n v="93"/>
    <n v="3"/>
    <x v="1"/>
    <x v="1"/>
    <n v="1"/>
    <x v="0"/>
    <n v="3904"/>
    <n v="22154"/>
    <n v="0"/>
    <s v="Y"/>
    <x v="1"/>
    <n v="13"/>
    <n v="3"/>
    <n v="1"/>
    <n v="80"/>
    <n v="0"/>
    <n v="6"/>
    <n v="2"/>
    <n v="3"/>
    <n v="5"/>
    <n v="2"/>
    <n v="0"/>
    <n v="3"/>
    <x v="0"/>
    <x v="2"/>
    <x v="2"/>
    <n v="1"/>
  </r>
  <r>
    <x v="7"/>
    <x v="1"/>
    <x v="0"/>
    <n v="1138"/>
    <x v="1"/>
    <n v="6"/>
    <n v="3"/>
    <s v="Technical Degree"/>
    <n v="1"/>
    <n v="1311"/>
    <n v="1"/>
    <x v="0"/>
    <n v="48"/>
    <n v="2"/>
    <x v="0"/>
    <x v="2"/>
    <n v="4"/>
    <x v="1"/>
    <n v="4627"/>
    <n v="23631"/>
    <n v="0"/>
    <s v="Y"/>
    <x v="1"/>
    <n v="12"/>
    <n v="3"/>
    <n v="1"/>
    <n v="80"/>
    <n v="1"/>
    <n v="10"/>
    <n v="6"/>
    <n v="3"/>
    <n v="9"/>
    <n v="2"/>
    <n v="6"/>
    <n v="7"/>
    <x v="2"/>
    <x v="0"/>
    <x v="2"/>
    <n v="0"/>
  </r>
  <r>
    <x v="9"/>
    <x v="1"/>
    <x v="0"/>
    <n v="325"/>
    <x v="1"/>
    <n v="10"/>
    <n v="4"/>
    <s v="Technical Degree"/>
    <n v="1"/>
    <n v="1312"/>
    <n v="4"/>
    <x v="0"/>
    <n v="63"/>
    <n v="3"/>
    <x v="2"/>
    <x v="4"/>
    <n v="3"/>
    <x v="1"/>
    <n v="7094"/>
    <n v="5747"/>
    <n v="3"/>
    <s v="Y"/>
    <x v="1"/>
    <n v="12"/>
    <n v="3"/>
    <n v="1"/>
    <n v="80"/>
    <n v="0"/>
    <n v="10"/>
    <n v="0"/>
    <n v="3"/>
    <n v="7"/>
    <n v="7"/>
    <n v="1"/>
    <n v="7"/>
    <x v="0"/>
    <x v="0"/>
    <x v="0"/>
    <n v="0"/>
  </r>
  <r>
    <x v="21"/>
    <x v="1"/>
    <x v="0"/>
    <n v="991"/>
    <x v="2"/>
    <n v="1"/>
    <n v="2"/>
    <s v="Life Sciences"/>
    <n v="1"/>
    <n v="1314"/>
    <n v="4"/>
    <x v="0"/>
    <n v="44"/>
    <n v="3"/>
    <x v="1"/>
    <x v="8"/>
    <n v="1"/>
    <x v="0"/>
    <n v="3423"/>
    <n v="22957"/>
    <n v="6"/>
    <s v="Y"/>
    <x v="1"/>
    <n v="12"/>
    <n v="3"/>
    <n v="3"/>
    <n v="80"/>
    <n v="0"/>
    <n v="10"/>
    <n v="3"/>
    <n v="4"/>
    <n v="7"/>
    <n v="6"/>
    <n v="5"/>
    <n v="7"/>
    <x v="1"/>
    <x v="0"/>
    <x v="2"/>
    <n v="0"/>
  </r>
  <r>
    <x v="14"/>
    <x v="1"/>
    <x v="2"/>
    <n v="1476"/>
    <x v="1"/>
    <n v="1"/>
    <n v="3"/>
    <s v="Life Sciences"/>
    <n v="1"/>
    <n v="1315"/>
    <n v="3"/>
    <x v="0"/>
    <n v="55"/>
    <n v="1"/>
    <x v="0"/>
    <x v="2"/>
    <n v="4"/>
    <x v="1"/>
    <n v="6674"/>
    <n v="16392"/>
    <n v="0"/>
    <s v="Y"/>
    <x v="1"/>
    <n v="11"/>
    <n v="3"/>
    <n v="1"/>
    <n v="80"/>
    <n v="3"/>
    <n v="10"/>
    <n v="6"/>
    <n v="3"/>
    <n v="9"/>
    <n v="8"/>
    <n v="7"/>
    <n v="5"/>
    <x v="2"/>
    <x v="0"/>
    <x v="0"/>
    <n v="0"/>
  </r>
  <r>
    <x v="24"/>
    <x v="1"/>
    <x v="0"/>
    <n v="1322"/>
    <x v="1"/>
    <n v="28"/>
    <n v="3"/>
    <s v="Life Sciences"/>
    <n v="1"/>
    <n v="1317"/>
    <n v="4"/>
    <x v="0"/>
    <n v="43"/>
    <n v="3"/>
    <x v="3"/>
    <x v="7"/>
    <n v="1"/>
    <x v="1"/>
    <n v="16880"/>
    <n v="22422"/>
    <n v="4"/>
    <s v="Y"/>
    <x v="0"/>
    <n v="11"/>
    <n v="3"/>
    <n v="2"/>
    <n v="80"/>
    <n v="0"/>
    <n v="25"/>
    <n v="2"/>
    <n v="3"/>
    <n v="3"/>
    <n v="2"/>
    <n v="1"/>
    <n v="2"/>
    <x v="1"/>
    <x v="2"/>
    <x v="3"/>
    <n v="0"/>
  </r>
  <r>
    <x v="32"/>
    <x v="0"/>
    <x v="0"/>
    <n v="299"/>
    <x v="0"/>
    <n v="25"/>
    <n v="4"/>
    <s v="Marketing"/>
    <n v="1"/>
    <n v="1318"/>
    <n v="4"/>
    <x v="1"/>
    <n v="57"/>
    <n v="2"/>
    <x v="2"/>
    <x v="0"/>
    <n v="2"/>
    <x v="0"/>
    <n v="9094"/>
    <n v="17235"/>
    <n v="2"/>
    <s v="Y"/>
    <x v="0"/>
    <n v="12"/>
    <n v="3"/>
    <n v="3"/>
    <n v="80"/>
    <n v="0"/>
    <n v="9"/>
    <n v="2"/>
    <n v="3"/>
    <n v="5"/>
    <n v="4"/>
    <n v="1"/>
    <n v="0"/>
    <x v="0"/>
    <x v="2"/>
    <x v="3"/>
    <n v="1"/>
  </r>
  <r>
    <x v="39"/>
    <x v="0"/>
    <x v="0"/>
    <n v="1030"/>
    <x v="0"/>
    <n v="5"/>
    <n v="3"/>
    <s v="Life Sciences"/>
    <n v="1"/>
    <n v="1319"/>
    <n v="2"/>
    <x v="1"/>
    <n v="64"/>
    <n v="3"/>
    <x v="2"/>
    <x v="0"/>
    <n v="2"/>
    <x v="0"/>
    <n v="8446"/>
    <n v="21534"/>
    <n v="9"/>
    <s v="Y"/>
    <x v="0"/>
    <n v="19"/>
    <n v="3"/>
    <n v="3"/>
    <n v="80"/>
    <n v="0"/>
    <n v="10"/>
    <n v="2"/>
    <n v="2"/>
    <n v="8"/>
    <n v="7"/>
    <n v="7"/>
    <n v="7"/>
    <x v="1"/>
    <x v="0"/>
    <x v="3"/>
    <n v="1"/>
  </r>
  <r>
    <x v="7"/>
    <x v="1"/>
    <x v="0"/>
    <n v="634"/>
    <x v="1"/>
    <n v="17"/>
    <n v="4"/>
    <s v="Medical"/>
    <n v="1"/>
    <n v="1321"/>
    <n v="2"/>
    <x v="0"/>
    <n v="95"/>
    <n v="3"/>
    <x v="2"/>
    <x v="5"/>
    <n v="1"/>
    <x v="1"/>
    <n v="11916"/>
    <n v="25927"/>
    <n v="1"/>
    <s v="Y"/>
    <x v="0"/>
    <n v="23"/>
    <n v="4"/>
    <n v="4"/>
    <n v="80"/>
    <n v="2"/>
    <n v="9"/>
    <n v="2"/>
    <n v="3"/>
    <n v="9"/>
    <n v="1"/>
    <n v="0"/>
    <n v="8"/>
    <x v="2"/>
    <x v="0"/>
    <x v="3"/>
    <n v="0"/>
  </r>
  <r>
    <x v="22"/>
    <x v="1"/>
    <x v="0"/>
    <n v="524"/>
    <x v="1"/>
    <n v="18"/>
    <n v="2"/>
    <s v="Life Sciences"/>
    <n v="1"/>
    <n v="1322"/>
    <n v="1"/>
    <x v="1"/>
    <n v="32"/>
    <n v="3"/>
    <x v="0"/>
    <x v="3"/>
    <n v="3"/>
    <x v="0"/>
    <n v="4534"/>
    <n v="13352"/>
    <n v="0"/>
    <s v="Y"/>
    <x v="1"/>
    <n v="11"/>
    <n v="3"/>
    <n v="1"/>
    <n v="80"/>
    <n v="0"/>
    <n v="9"/>
    <n v="6"/>
    <n v="3"/>
    <n v="8"/>
    <n v="7"/>
    <n v="1"/>
    <n v="7"/>
    <x v="0"/>
    <x v="0"/>
    <x v="2"/>
    <n v="0"/>
  </r>
  <r>
    <x v="12"/>
    <x v="1"/>
    <x v="2"/>
    <n v="587"/>
    <x v="0"/>
    <n v="2"/>
    <n v="4"/>
    <s v="Life Sciences"/>
    <n v="1"/>
    <n v="1324"/>
    <n v="4"/>
    <x v="0"/>
    <n v="57"/>
    <n v="3"/>
    <x v="2"/>
    <x v="0"/>
    <n v="3"/>
    <x v="2"/>
    <n v="9852"/>
    <n v="8935"/>
    <n v="1"/>
    <s v="Y"/>
    <x v="0"/>
    <n v="19"/>
    <n v="3"/>
    <n v="1"/>
    <n v="80"/>
    <n v="1"/>
    <n v="10"/>
    <n v="5"/>
    <n v="2"/>
    <n v="10"/>
    <n v="8"/>
    <n v="9"/>
    <n v="6"/>
    <x v="2"/>
    <x v="0"/>
    <x v="3"/>
    <n v="0"/>
  </r>
  <r>
    <x v="0"/>
    <x v="1"/>
    <x v="2"/>
    <n v="256"/>
    <x v="0"/>
    <n v="10"/>
    <n v="2"/>
    <s v="Medical"/>
    <n v="1"/>
    <n v="1329"/>
    <n v="3"/>
    <x v="1"/>
    <n v="40"/>
    <n v="1"/>
    <x v="0"/>
    <x v="0"/>
    <n v="2"/>
    <x v="0"/>
    <n v="6151"/>
    <n v="22074"/>
    <n v="1"/>
    <s v="Y"/>
    <x v="1"/>
    <n v="13"/>
    <n v="3"/>
    <n v="1"/>
    <n v="80"/>
    <n v="0"/>
    <n v="19"/>
    <n v="4"/>
    <n v="3"/>
    <n v="19"/>
    <n v="2"/>
    <n v="11"/>
    <n v="9"/>
    <x v="0"/>
    <x v="3"/>
    <x v="0"/>
    <n v="0"/>
  </r>
  <r>
    <x v="12"/>
    <x v="0"/>
    <x v="1"/>
    <n v="1060"/>
    <x v="0"/>
    <n v="1"/>
    <n v="3"/>
    <s v="Life Sciences"/>
    <n v="1"/>
    <n v="1331"/>
    <n v="4"/>
    <x v="0"/>
    <n v="54"/>
    <n v="3"/>
    <x v="1"/>
    <x v="6"/>
    <n v="2"/>
    <x v="0"/>
    <n v="2302"/>
    <n v="8319"/>
    <n v="1"/>
    <s v="Y"/>
    <x v="0"/>
    <n v="11"/>
    <n v="3"/>
    <n v="1"/>
    <n v="80"/>
    <n v="0"/>
    <n v="3"/>
    <n v="2"/>
    <n v="4"/>
    <n v="3"/>
    <n v="2"/>
    <n v="2"/>
    <n v="2"/>
    <x v="2"/>
    <x v="2"/>
    <x v="1"/>
    <n v="1"/>
  </r>
  <r>
    <x v="20"/>
    <x v="0"/>
    <x v="0"/>
    <n v="935"/>
    <x v="1"/>
    <n v="3"/>
    <n v="3"/>
    <s v="Life Sciences"/>
    <n v="1"/>
    <n v="1333"/>
    <n v="1"/>
    <x v="1"/>
    <n v="89"/>
    <n v="3"/>
    <x v="1"/>
    <x v="2"/>
    <n v="1"/>
    <x v="1"/>
    <n v="2362"/>
    <n v="14669"/>
    <n v="4"/>
    <s v="Y"/>
    <x v="1"/>
    <n v="12"/>
    <n v="3"/>
    <n v="3"/>
    <n v="80"/>
    <n v="0"/>
    <n v="10"/>
    <n v="4"/>
    <n v="4"/>
    <n v="3"/>
    <n v="2"/>
    <n v="1"/>
    <n v="2"/>
    <x v="0"/>
    <x v="2"/>
    <x v="1"/>
    <n v="1"/>
  </r>
  <r>
    <x v="19"/>
    <x v="1"/>
    <x v="2"/>
    <n v="495"/>
    <x v="1"/>
    <n v="2"/>
    <n v="1"/>
    <s v="Life Sciences"/>
    <n v="1"/>
    <n v="1334"/>
    <n v="3"/>
    <x v="1"/>
    <n v="37"/>
    <n v="3"/>
    <x v="3"/>
    <x v="5"/>
    <n v="3"/>
    <x v="1"/>
    <n v="17861"/>
    <n v="26582"/>
    <n v="0"/>
    <s v="Y"/>
    <x v="0"/>
    <n v="13"/>
    <n v="3"/>
    <n v="4"/>
    <n v="80"/>
    <n v="0"/>
    <n v="21"/>
    <n v="3"/>
    <n v="2"/>
    <n v="20"/>
    <n v="8"/>
    <n v="2"/>
    <n v="10"/>
    <x v="0"/>
    <x v="3"/>
    <x v="3"/>
    <n v="0"/>
  </r>
  <r>
    <x v="27"/>
    <x v="1"/>
    <x v="0"/>
    <n v="282"/>
    <x v="1"/>
    <n v="2"/>
    <n v="2"/>
    <s v="Medical"/>
    <n v="1"/>
    <n v="1336"/>
    <n v="4"/>
    <x v="0"/>
    <n v="58"/>
    <n v="1"/>
    <x v="4"/>
    <x v="5"/>
    <n v="3"/>
    <x v="1"/>
    <n v="19187"/>
    <n v="6992"/>
    <n v="4"/>
    <s v="Y"/>
    <x v="1"/>
    <n v="14"/>
    <n v="3"/>
    <n v="4"/>
    <n v="80"/>
    <n v="1"/>
    <n v="23"/>
    <n v="5"/>
    <n v="3"/>
    <n v="19"/>
    <n v="9"/>
    <n v="9"/>
    <n v="11"/>
    <x v="3"/>
    <x v="3"/>
    <x v="3"/>
    <n v="0"/>
  </r>
  <r>
    <x v="29"/>
    <x v="1"/>
    <x v="0"/>
    <n v="206"/>
    <x v="2"/>
    <n v="8"/>
    <n v="4"/>
    <s v="Life Sciences"/>
    <n v="1"/>
    <n v="1338"/>
    <n v="4"/>
    <x v="1"/>
    <n v="99"/>
    <n v="3"/>
    <x v="4"/>
    <x v="5"/>
    <n v="2"/>
    <x v="0"/>
    <n v="19717"/>
    <n v="4022"/>
    <n v="6"/>
    <s v="Y"/>
    <x v="1"/>
    <n v="14"/>
    <n v="3"/>
    <n v="1"/>
    <n v="80"/>
    <n v="0"/>
    <n v="36"/>
    <n v="4"/>
    <n v="3"/>
    <n v="7"/>
    <n v="3"/>
    <n v="7"/>
    <n v="7"/>
    <x v="3"/>
    <x v="0"/>
    <x v="3"/>
    <n v="0"/>
  </r>
  <r>
    <x v="32"/>
    <x v="1"/>
    <x v="2"/>
    <n v="458"/>
    <x v="1"/>
    <n v="16"/>
    <n v="2"/>
    <s v="Life Sciences"/>
    <n v="1"/>
    <n v="1340"/>
    <n v="3"/>
    <x v="1"/>
    <n v="74"/>
    <n v="3"/>
    <x v="1"/>
    <x v="1"/>
    <n v="3"/>
    <x v="2"/>
    <n v="3544"/>
    <n v="8532"/>
    <n v="9"/>
    <s v="Y"/>
    <x v="1"/>
    <n v="16"/>
    <n v="3"/>
    <n v="2"/>
    <n v="80"/>
    <n v="1"/>
    <n v="6"/>
    <n v="0"/>
    <n v="3"/>
    <n v="4"/>
    <n v="2"/>
    <n v="0"/>
    <n v="0"/>
    <x v="0"/>
    <x v="2"/>
    <x v="2"/>
    <n v="0"/>
  </r>
  <r>
    <x v="13"/>
    <x v="1"/>
    <x v="0"/>
    <n v="943"/>
    <x v="1"/>
    <n v="9"/>
    <n v="3"/>
    <s v="Life Sciences"/>
    <n v="1"/>
    <n v="1344"/>
    <n v="4"/>
    <x v="1"/>
    <n v="86"/>
    <n v="3"/>
    <x v="2"/>
    <x v="4"/>
    <n v="4"/>
    <x v="2"/>
    <n v="8500"/>
    <n v="5494"/>
    <n v="0"/>
    <s v="Y"/>
    <x v="1"/>
    <n v="11"/>
    <n v="3"/>
    <n v="4"/>
    <n v="80"/>
    <n v="1"/>
    <n v="10"/>
    <n v="0"/>
    <n v="2"/>
    <n v="9"/>
    <n v="7"/>
    <n v="1"/>
    <n v="6"/>
    <x v="2"/>
    <x v="0"/>
    <x v="3"/>
    <n v="0"/>
  </r>
  <r>
    <x v="32"/>
    <x v="1"/>
    <x v="0"/>
    <n v="523"/>
    <x v="1"/>
    <n v="2"/>
    <n v="3"/>
    <s v="Life Sciences"/>
    <n v="1"/>
    <n v="1346"/>
    <n v="3"/>
    <x v="1"/>
    <n v="98"/>
    <n v="3"/>
    <x v="0"/>
    <x v="1"/>
    <n v="4"/>
    <x v="0"/>
    <n v="4661"/>
    <n v="22455"/>
    <n v="1"/>
    <s v="Y"/>
    <x v="1"/>
    <n v="13"/>
    <n v="3"/>
    <n v="3"/>
    <n v="80"/>
    <n v="0"/>
    <n v="9"/>
    <n v="4"/>
    <n v="3"/>
    <n v="9"/>
    <n v="8"/>
    <n v="8"/>
    <n v="8"/>
    <x v="0"/>
    <x v="0"/>
    <x v="2"/>
    <n v="0"/>
  </r>
  <r>
    <x v="0"/>
    <x v="1"/>
    <x v="1"/>
    <n v="1018"/>
    <x v="0"/>
    <n v="1"/>
    <n v="3"/>
    <s v="Marketing"/>
    <n v="1"/>
    <n v="1349"/>
    <n v="3"/>
    <x v="0"/>
    <n v="66"/>
    <n v="3"/>
    <x v="0"/>
    <x v="0"/>
    <n v="1"/>
    <x v="2"/>
    <n v="4103"/>
    <n v="4297"/>
    <n v="0"/>
    <s v="Y"/>
    <x v="1"/>
    <n v="17"/>
    <n v="3"/>
    <n v="4"/>
    <n v="80"/>
    <n v="1"/>
    <n v="10"/>
    <n v="2"/>
    <n v="3"/>
    <n v="9"/>
    <n v="3"/>
    <n v="1"/>
    <n v="7"/>
    <x v="0"/>
    <x v="0"/>
    <x v="2"/>
    <n v="0"/>
  </r>
  <r>
    <x v="10"/>
    <x v="1"/>
    <x v="1"/>
    <n v="482"/>
    <x v="1"/>
    <n v="4"/>
    <n v="4"/>
    <s v="Life Sciences"/>
    <n v="1"/>
    <n v="1350"/>
    <n v="3"/>
    <x v="1"/>
    <n v="87"/>
    <n v="3"/>
    <x v="0"/>
    <x v="1"/>
    <n v="3"/>
    <x v="0"/>
    <n v="4249"/>
    <n v="2690"/>
    <n v="1"/>
    <s v="Y"/>
    <x v="0"/>
    <n v="11"/>
    <n v="3"/>
    <n v="2"/>
    <n v="80"/>
    <n v="0"/>
    <n v="9"/>
    <n v="3"/>
    <n v="3"/>
    <n v="9"/>
    <n v="6"/>
    <n v="1"/>
    <n v="1"/>
    <x v="0"/>
    <x v="0"/>
    <x v="2"/>
    <n v="0"/>
  </r>
  <r>
    <x v="31"/>
    <x v="1"/>
    <x v="0"/>
    <n v="770"/>
    <x v="2"/>
    <n v="5"/>
    <n v="3"/>
    <s v="Life Sciences"/>
    <n v="1"/>
    <n v="1352"/>
    <n v="3"/>
    <x v="1"/>
    <n v="84"/>
    <n v="3"/>
    <x v="3"/>
    <x v="5"/>
    <n v="2"/>
    <x v="2"/>
    <n v="14026"/>
    <n v="17588"/>
    <n v="1"/>
    <s v="Y"/>
    <x v="0"/>
    <n v="11"/>
    <n v="3"/>
    <n v="2"/>
    <n v="80"/>
    <n v="1"/>
    <n v="33"/>
    <n v="2"/>
    <n v="3"/>
    <n v="33"/>
    <n v="9"/>
    <n v="0"/>
    <n v="10"/>
    <x v="1"/>
    <x v="3"/>
    <x v="3"/>
    <n v="0"/>
  </r>
  <r>
    <x v="8"/>
    <x v="1"/>
    <x v="0"/>
    <n v="1009"/>
    <x v="0"/>
    <n v="2"/>
    <n v="2"/>
    <s v="Life Sciences"/>
    <n v="1"/>
    <n v="1355"/>
    <n v="2"/>
    <x v="0"/>
    <n v="31"/>
    <n v="3"/>
    <x v="0"/>
    <x v="0"/>
    <n v="1"/>
    <x v="2"/>
    <n v="6893"/>
    <n v="19461"/>
    <n v="3"/>
    <s v="Y"/>
    <x v="1"/>
    <n v="15"/>
    <n v="3"/>
    <n v="4"/>
    <n v="80"/>
    <n v="1"/>
    <n v="11"/>
    <n v="3"/>
    <n v="3"/>
    <n v="7"/>
    <n v="7"/>
    <n v="1"/>
    <n v="7"/>
    <x v="0"/>
    <x v="0"/>
    <x v="0"/>
    <n v="0"/>
  </r>
  <r>
    <x v="13"/>
    <x v="1"/>
    <x v="0"/>
    <n v="507"/>
    <x v="0"/>
    <n v="15"/>
    <n v="2"/>
    <s v="Medical"/>
    <n v="1"/>
    <n v="1356"/>
    <n v="3"/>
    <x v="0"/>
    <n v="66"/>
    <n v="3"/>
    <x v="0"/>
    <x v="0"/>
    <n v="1"/>
    <x v="0"/>
    <n v="6125"/>
    <n v="23553"/>
    <n v="1"/>
    <s v="Y"/>
    <x v="1"/>
    <n v="12"/>
    <n v="3"/>
    <n v="4"/>
    <n v="80"/>
    <n v="0"/>
    <n v="10"/>
    <n v="6"/>
    <n v="4"/>
    <n v="10"/>
    <n v="8"/>
    <n v="9"/>
    <n v="6"/>
    <x v="2"/>
    <x v="0"/>
    <x v="0"/>
    <n v="0"/>
  </r>
  <r>
    <x v="36"/>
    <x v="1"/>
    <x v="0"/>
    <n v="882"/>
    <x v="1"/>
    <n v="19"/>
    <n v="1"/>
    <s v="Medical"/>
    <n v="1"/>
    <n v="1358"/>
    <n v="4"/>
    <x v="1"/>
    <n v="67"/>
    <n v="3"/>
    <x v="1"/>
    <x v="2"/>
    <n v="4"/>
    <x v="1"/>
    <n v="3669"/>
    <n v="9075"/>
    <n v="3"/>
    <s v="Y"/>
    <x v="1"/>
    <n v="11"/>
    <n v="3"/>
    <n v="3"/>
    <n v="80"/>
    <n v="3"/>
    <n v="7"/>
    <n v="6"/>
    <n v="2"/>
    <n v="3"/>
    <n v="2"/>
    <n v="1"/>
    <n v="2"/>
    <x v="2"/>
    <x v="2"/>
    <x v="2"/>
    <n v="0"/>
  </r>
  <r>
    <x v="34"/>
    <x v="0"/>
    <x v="0"/>
    <n v="601"/>
    <x v="1"/>
    <n v="7"/>
    <n v="4"/>
    <s v="Medical"/>
    <n v="1"/>
    <n v="1360"/>
    <n v="3"/>
    <x v="0"/>
    <n v="53"/>
    <n v="2"/>
    <x v="2"/>
    <x v="3"/>
    <n v="1"/>
    <x v="1"/>
    <n v="10008"/>
    <n v="12023"/>
    <n v="7"/>
    <s v="Y"/>
    <x v="0"/>
    <n v="14"/>
    <n v="3"/>
    <n v="4"/>
    <n v="80"/>
    <n v="0"/>
    <n v="31"/>
    <n v="0"/>
    <n v="2"/>
    <n v="10"/>
    <n v="9"/>
    <n v="5"/>
    <n v="9"/>
    <x v="3"/>
    <x v="0"/>
    <x v="3"/>
    <n v="1"/>
  </r>
  <r>
    <x v="32"/>
    <x v="1"/>
    <x v="0"/>
    <n v="329"/>
    <x v="1"/>
    <n v="1"/>
    <n v="4"/>
    <s v="Life Sciences"/>
    <n v="1"/>
    <n v="1361"/>
    <n v="2"/>
    <x v="1"/>
    <n v="88"/>
    <n v="3"/>
    <x v="1"/>
    <x v="2"/>
    <n v="2"/>
    <x v="1"/>
    <n v="2387"/>
    <n v="6762"/>
    <n v="3"/>
    <s v="Y"/>
    <x v="1"/>
    <n v="22"/>
    <n v="4"/>
    <n v="3"/>
    <n v="80"/>
    <n v="1"/>
    <n v="7"/>
    <n v="3"/>
    <n v="3"/>
    <n v="4"/>
    <n v="2"/>
    <n v="0"/>
    <n v="3"/>
    <x v="0"/>
    <x v="2"/>
    <x v="1"/>
    <n v="0"/>
  </r>
  <r>
    <x v="9"/>
    <x v="1"/>
    <x v="1"/>
    <n v="607"/>
    <x v="0"/>
    <n v="7"/>
    <n v="3"/>
    <s v="Marketing"/>
    <n v="1"/>
    <n v="1362"/>
    <n v="1"/>
    <x v="0"/>
    <n v="83"/>
    <n v="4"/>
    <x v="0"/>
    <x v="0"/>
    <n v="1"/>
    <x v="1"/>
    <n v="4639"/>
    <n v="2261"/>
    <n v="2"/>
    <s v="Y"/>
    <x v="1"/>
    <n v="16"/>
    <n v="3"/>
    <n v="4"/>
    <n v="80"/>
    <n v="1"/>
    <n v="17"/>
    <n v="2"/>
    <n v="2"/>
    <n v="15"/>
    <n v="7"/>
    <n v="6"/>
    <n v="13"/>
    <x v="0"/>
    <x v="3"/>
    <x v="2"/>
    <n v="0"/>
  </r>
  <r>
    <x v="26"/>
    <x v="1"/>
    <x v="0"/>
    <n v="855"/>
    <x v="1"/>
    <n v="4"/>
    <n v="3"/>
    <s v="Life Sciences"/>
    <n v="1"/>
    <n v="1363"/>
    <n v="4"/>
    <x v="1"/>
    <n v="54"/>
    <n v="3"/>
    <x v="2"/>
    <x v="3"/>
    <n v="4"/>
    <x v="0"/>
    <n v="7898"/>
    <n v="18706"/>
    <n v="1"/>
    <s v="Y"/>
    <x v="1"/>
    <n v="11"/>
    <n v="3"/>
    <n v="3"/>
    <n v="80"/>
    <n v="0"/>
    <n v="11"/>
    <n v="2"/>
    <n v="3"/>
    <n v="10"/>
    <n v="9"/>
    <n v="0"/>
    <n v="8"/>
    <x v="1"/>
    <x v="0"/>
    <x v="0"/>
    <n v="0"/>
  </r>
  <r>
    <x v="4"/>
    <x v="1"/>
    <x v="0"/>
    <n v="1291"/>
    <x v="0"/>
    <n v="11"/>
    <n v="3"/>
    <s v="Medical"/>
    <n v="1"/>
    <n v="1364"/>
    <n v="3"/>
    <x v="0"/>
    <n v="98"/>
    <n v="4"/>
    <x v="1"/>
    <x v="6"/>
    <n v="4"/>
    <x v="1"/>
    <n v="2534"/>
    <n v="6527"/>
    <n v="8"/>
    <s v="Y"/>
    <x v="1"/>
    <n v="14"/>
    <n v="3"/>
    <n v="2"/>
    <n v="80"/>
    <n v="1"/>
    <n v="5"/>
    <n v="4"/>
    <n v="3"/>
    <n v="1"/>
    <n v="0"/>
    <n v="0"/>
    <n v="0"/>
    <x v="2"/>
    <x v="1"/>
    <x v="1"/>
    <n v="0"/>
  </r>
  <r>
    <x v="31"/>
    <x v="1"/>
    <x v="0"/>
    <n v="1405"/>
    <x v="1"/>
    <n v="11"/>
    <n v="2"/>
    <s v="Technical Degree"/>
    <n v="1"/>
    <n v="1367"/>
    <n v="4"/>
    <x v="0"/>
    <n v="82"/>
    <n v="2"/>
    <x v="3"/>
    <x v="3"/>
    <n v="2"/>
    <x v="0"/>
    <n v="13142"/>
    <n v="24439"/>
    <n v="3"/>
    <s v="Y"/>
    <x v="1"/>
    <n v="16"/>
    <n v="3"/>
    <n v="2"/>
    <n v="80"/>
    <n v="0"/>
    <n v="29"/>
    <n v="1"/>
    <n v="2"/>
    <n v="5"/>
    <n v="2"/>
    <n v="0"/>
    <n v="3"/>
    <x v="1"/>
    <x v="2"/>
    <x v="3"/>
    <n v="0"/>
  </r>
  <r>
    <x v="41"/>
    <x v="1"/>
    <x v="2"/>
    <n v="1124"/>
    <x v="1"/>
    <n v="1"/>
    <n v="3"/>
    <s v="Life Sciences"/>
    <n v="1"/>
    <n v="1368"/>
    <n v="4"/>
    <x v="0"/>
    <n v="97"/>
    <n v="3"/>
    <x v="1"/>
    <x v="2"/>
    <n v="4"/>
    <x v="0"/>
    <n v="1611"/>
    <n v="19305"/>
    <n v="1"/>
    <s v="Y"/>
    <x v="1"/>
    <n v="15"/>
    <n v="3"/>
    <n v="3"/>
    <n v="80"/>
    <n v="0"/>
    <n v="0"/>
    <n v="5"/>
    <n v="4"/>
    <n v="0"/>
    <n v="0"/>
    <n v="0"/>
    <n v="0"/>
    <x v="4"/>
    <x v="1"/>
    <x v="1"/>
    <n v="0"/>
  </r>
  <r>
    <x v="10"/>
    <x v="1"/>
    <x v="0"/>
    <n v="817"/>
    <x v="1"/>
    <n v="1"/>
    <n v="3"/>
    <s v="Medical"/>
    <n v="1"/>
    <n v="1369"/>
    <n v="4"/>
    <x v="0"/>
    <n v="60"/>
    <n v="2"/>
    <x v="0"/>
    <x v="2"/>
    <n v="4"/>
    <x v="1"/>
    <n v="5363"/>
    <n v="10846"/>
    <n v="0"/>
    <s v="Y"/>
    <x v="1"/>
    <n v="12"/>
    <n v="3"/>
    <n v="2"/>
    <n v="80"/>
    <n v="1"/>
    <n v="10"/>
    <n v="0"/>
    <n v="3"/>
    <n v="9"/>
    <n v="7"/>
    <n v="0"/>
    <n v="0"/>
    <x v="0"/>
    <x v="0"/>
    <x v="0"/>
    <n v="0"/>
  </r>
  <r>
    <x v="4"/>
    <x v="1"/>
    <x v="1"/>
    <n v="793"/>
    <x v="0"/>
    <n v="2"/>
    <n v="1"/>
    <s v="Life Sciences"/>
    <n v="1"/>
    <n v="1371"/>
    <n v="4"/>
    <x v="1"/>
    <n v="43"/>
    <n v="1"/>
    <x v="0"/>
    <x v="0"/>
    <n v="4"/>
    <x v="0"/>
    <n v="5071"/>
    <n v="20392"/>
    <n v="3"/>
    <s v="Y"/>
    <x v="1"/>
    <n v="20"/>
    <n v="4"/>
    <n v="2"/>
    <n v="80"/>
    <n v="0"/>
    <n v="8"/>
    <n v="3"/>
    <n v="3"/>
    <n v="6"/>
    <n v="2"/>
    <n v="0"/>
    <n v="0"/>
    <x v="2"/>
    <x v="0"/>
    <x v="0"/>
    <n v="0"/>
  </r>
  <r>
    <x v="27"/>
    <x v="0"/>
    <x v="0"/>
    <n v="267"/>
    <x v="0"/>
    <n v="13"/>
    <n v="4"/>
    <s v="Marketing"/>
    <n v="1"/>
    <n v="1372"/>
    <n v="1"/>
    <x v="1"/>
    <n v="85"/>
    <n v="4"/>
    <x v="3"/>
    <x v="0"/>
    <n v="3"/>
    <x v="0"/>
    <n v="13695"/>
    <n v="9277"/>
    <n v="6"/>
    <s v="Y"/>
    <x v="0"/>
    <n v="17"/>
    <n v="3"/>
    <n v="3"/>
    <n v="80"/>
    <n v="0"/>
    <n v="24"/>
    <n v="2"/>
    <n v="2"/>
    <n v="19"/>
    <n v="7"/>
    <n v="3"/>
    <n v="8"/>
    <x v="3"/>
    <x v="3"/>
    <x v="3"/>
    <n v="1"/>
  </r>
  <r>
    <x v="29"/>
    <x v="1"/>
    <x v="0"/>
    <n v="1369"/>
    <x v="1"/>
    <n v="23"/>
    <n v="3"/>
    <s v="Life Sciences"/>
    <n v="1"/>
    <n v="1373"/>
    <n v="4"/>
    <x v="1"/>
    <n v="68"/>
    <n v="3"/>
    <x v="3"/>
    <x v="3"/>
    <n v="2"/>
    <x v="1"/>
    <n v="13402"/>
    <n v="18235"/>
    <n v="4"/>
    <s v="Y"/>
    <x v="0"/>
    <n v="12"/>
    <n v="3"/>
    <n v="1"/>
    <n v="80"/>
    <n v="1"/>
    <n v="33"/>
    <n v="0"/>
    <n v="3"/>
    <n v="19"/>
    <n v="16"/>
    <n v="15"/>
    <n v="9"/>
    <x v="3"/>
    <x v="3"/>
    <x v="3"/>
    <n v="0"/>
  </r>
  <r>
    <x v="13"/>
    <x v="1"/>
    <x v="2"/>
    <n v="999"/>
    <x v="1"/>
    <n v="26"/>
    <n v="1"/>
    <s v="Technical Degree"/>
    <n v="1"/>
    <n v="1374"/>
    <n v="1"/>
    <x v="0"/>
    <n v="92"/>
    <n v="2"/>
    <x v="1"/>
    <x v="1"/>
    <n v="3"/>
    <x v="2"/>
    <n v="2029"/>
    <n v="15891"/>
    <n v="1"/>
    <s v="Y"/>
    <x v="1"/>
    <n v="20"/>
    <n v="4"/>
    <n v="3"/>
    <n v="80"/>
    <n v="3"/>
    <n v="5"/>
    <n v="2"/>
    <n v="3"/>
    <n v="5"/>
    <n v="4"/>
    <n v="0"/>
    <n v="0"/>
    <x v="2"/>
    <x v="2"/>
    <x v="1"/>
    <n v="0"/>
  </r>
  <r>
    <x v="32"/>
    <x v="1"/>
    <x v="0"/>
    <n v="1202"/>
    <x v="1"/>
    <n v="2"/>
    <n v="1"/>
    <s v="Medical"/>
    <n v="1"/>
    <n v="1375"/>
    <n v="2"/>
    <x v="0"/>
    <n v="89"/>
    <n v="4"/>
    <x v="0"/>
    <x v="4"/>
    <n v="3"/>
    <x v="2"/>
    <n v="6377"/>
    <n v="13888"/>
    <n v="5"/>
    <s v="Y"/>
    <x v="1"/>
    <n v="20"/>
    <n v="4"/>
    <n v="2"/>
    <n v="80"/>
    <n v="3"/>
    <n v="15"/>
    <n v="0"/>
    <n v="3"/>
    <n v="12"/>
    <n v="11"/>
    <n v="11"/>
    <n v="8"/>
    <x v="0"/>
    <x v="3"/>
    <x v="0"/>
    <n v="0"/>
  </r>
  <r>
    <x v="13"/>
    <x v="1"/>
    <x v="0"/>
    <n v="285"/>
    <x v="1"/>
    <n v="29"/>
    <n v="3"/>
    <s v="Medical"/>
    <n v="1"/>
    <n v="1377"/>
    <n v="2"/>
    <x v="1"/>
    <n v="86"/>
    <n v="3"/>
    <x v="0"/>
    <x v="2"/>
    <n v="3"/>
    <x v="1"/>
    <n v="5429"/>
    <n v="17491"/>
    <n v="4"/>
    <s v="Y"/>
    <x v="1"/>
    <n v="13"/>
    <n v="3"/>
    <n v="1"/>
    <n v="80"/>
    <n v="2"/>
    <n v="10"/>
    <n v="1"/>
    <n v="3"/>
    <n v="8"/>
    <n v="7"/>
    <n v="7"/>
    <n v="7"/>
    <x v="2"/>
    <x v="0"/>
    <x v="0"/>
    <n v="0"/>
  </r>
  <r>
    <x v="12"/>
    <x v="0"/>
    <x v="1"/>
    <n v="703"/>
    <x v="0"/>
    <n v="2"/>
    <n v="3"/>
    <s v="Life Sciences"/>
    <n v="1"/>
    <n v="1379"/>
    <n v="3"/>
    <x v="0"/>
    <n v="90"/>
    <n v="2"/>
    <x v="1"/>
    <x v="6"/>
    <n v="4"/>
    <x v="0"/>
    <n v="2785"/>
    <n v="11882"/>
    <n v="7"/>
    <s v="Y"/>
    <x v="1"/>
    <n v="14"/>
    <n v="3"/>
    <n v="3"/>
    <n v="80"/>
    <n v="0"/>
    <n v="3"/>
    <n v="3"/>
    <n v="4"/>
    <n v="1"/>
    <n v="0"/>
    <n v="0"/>
    <n v="0"/>
    <x v="2"/>
    <x v="1"/>
    <x v="1"/>
    <n v="1"/>
  </r>
  <r>
    <x v="10"/>
    <x v="0"/>
    <x v="1"/>
    <n v="662"/>
    <x v="0"/>
    <n v="18"/>
    <n v="4"/>
    <s v="Marketing"/>
    <n v="1"/>
    <n v="1380"/>
    <n v="4"/>
    <x v="0"/>
    <n v="67"/>
    <n v="3"/>
    <x v="0"/>
    <x v="0"/>
    <n v="3"/>
    <x v="1"/>
    <n v="4614"/>
    <n v="23288"/>
    <n v="0"/>
    <s v="Y"/>
    <x v="0"/>
    <n v="18"/>
    <n v="3"/>
    <n v="3"/>
    <n v="80"/>
    <n v="1"/>
    <n v="5"/>
    <n v="0"/>
    <n v="2"/>
    <n v="4"/>
    <n v="2"/>
    <n v="3"/>
    <n v="2"/>
    <x v="0"/>
    <x v="2"/>
    <x v="2"/>
    <n v="1"/>
  </r>
  <r>
    <x v="8"/>
    <x v="1"/>
    <x v="1"/>
    <n v="693"/>
    <x v="1"/>
    <n v="7"/>
    <n v="3"/>
    <s v="Life Sciences"/>
    <n v="1"/>
    <n v="1382"/>
    <n v="4"/>
    <x v="1"/>
    <n v="57"/>
    <n v="4"/>
    <x v="1"/>
    <x v="1"/>
    <n v="3"/>
    <x v="2"/>
    <n v="2610"/>
    <n v="15748"/>
    <n v="1"/>
    <s v="Y"/>
    <x v="1"/>
    <n v="11"/>
    <n v="3"/>
    <n v="4"/>
    <n v="80"/>
    <n v="3"/>
    <n v="4"/>
    <n v="2"/>
    <n v="3"/>
    <n v="4"/>
    <n v="2"/>
    <n v="0"/>
    <n v="3"/>
    <x v="0"/>
    <x v="2"/>
    <x v="1"/>
    <n v="0"/>
  </r>
  <r>
    <x v="13"/>
    <x v="1"/>
    <x v="0"/>
    <n v="404"/>
    <x v="1"/>
    <n v="2"/>
    <n v="4"/>
    <s v="Technical Degree"/>
    <n v="1"/>
    <n v="1383"/>
    <n v="3"/>
    <x v="0"/>
    <n v="98"/>
    <n v="3"/>
    <x v="0"/>
    <x v="4"/>
    <n v="4"/>
    <x v="0"/>
    <n v="6687"/>
    <n v="6163"/>
    <n v="1"/>
    <s v="Y"/>
    <x v="1"/>
    <n v="11"/>
    <n v="3"/>
    <n v="4"/>
    <n v="80"/>
    <n v="0"/>
    <n v="14"/>
    <n v="2"/>
    <n v="4"/>
    <n v="14"/>
    <n v="11"/>
    <n v="4"/>
    <n v="11"/>
    <x v="2"/>
    <x v="3"/>
    <x v="0"/>
    <n v="0"/>
  </r>
  <r>
    <x v="14"/>
    <x v="1"/>
    <x v="0"/>
    <n v="736"/>
    <x v="0"/>
    <n v="26"/>
    <n v="3"/>
    <s v="Life Sciences"/>
    <n v="1"/>
    <n v="1387"/>
    <n v="3"/>
    <x v="1"/>
    <n v="48"/>
    <n v="2"/>
    <x v="0"/>
    <x v="0"/>
    <n v="1"/>
    <x v="1"/>
    <n v="4724"/>
    <n v="24232"/>
    <n v="1"/>
    <s v="Y"/>
    <x v="1"/>
    <n v="11"/>
    <n v="3"/>
    <n v="3"/>
    <n v="80"/>
    <n v="1"/>
    <n v="5"/>
    <n v="0"/>
    <n v="3"/>
    <n v="5"/>
    <n v="3"/>
    <n v="0"/>
    <n v="4"/>
    <x v="2"/>
    <x v="2"/>
    <x v="2"/>
    <n v="0"/>
  </r>
  <r>
    <x v="12"/>
    <x v="0"/>
    <x v="0"/>
    <n v="330"/>
    <x v="1"/>
    <n v="22"/>
    <n v="4"/>
    <s v="Medical"/>
    <n v="1"/>
    <n v="1389"/>
    <n v="4"/>
    <x v="1"/>
    <n v="98"/>
    <n v="3"/>
    <x v="0"/>
    <x v="3"/>
    <n v="3"/>
    <x v="1"/>
    <n v="6179"/>
    <n v="21057"/>
    <n v="1"/>
    <s v="Y"/>
    <x v="0"/>
    <n v="15"/>
    <n v="3"/>
    <n v="4"/>
    <n v="80"/>
    <n v="2"/>
    <n v="10"/>
    <n v="3"/>
    <n v="2"/>
    <n v="10"/>
    <n v="2"/>
    <n v="6"/>
    <n v="7"/>
    <x v="2"/>
    <x v="0"/>
    <x v="0"/>
    <n v="1"/>
  </r>
  <r>
    <x v="22"/>
    <x v="1"/>
    <x v="0"/>
    <n v="1498"/>
    <x v="0"/>
    <n v="21"/>
    <n v="4"/>
    <s v="Life Sciences"/>
    <n v="1"/>
    <n v="1390"/>
    <n v="1"/>
    <x v="1"/>
    <n v="44"/>
    <n v="2"/>
    <x v="0"/>
    <x v="0"/>
    <n v="4"/>
    <x v="1"/>
    <n v="6120"/>
    <n v="3567"/>
    <n v="3"/>
    <s v="Y"/>
    <x v="0"/>
    <n v="12"/>
    <n v="3"/>
    <n v="4"/>
    <n v="80"/>
    <n v="2"/>
    <n v="8"/>
    <n v="2"/>
    <n v="4"/>
    <n v="5"/>
    <n v="4"/>
    <n v="1"/>
    <n v="4"/>
    <x v="0"/>
    <x v="2"/>
    <x v="0"/>
    <n v="0"/>
  </r>
  <r>
    <x v="31"/>
    <x v="1"/>
    <x v="1"/>
    <n v="541"/>
    <x v="0"/>
    <n v="2"/>
    <n v="3"/>
    <s v="Marketing"/>
    <n v="1"/>
    <n v="1391"/>
    <n v="2"/>
    <x v="1"/>
    <n v="52"/>
    <n v="3"/>
    <x v="2"/>
    <x v="0"/>
    <n v="2"/>
    <x v="1"/>
    <n v="10596"/>
    <n v="15395"/>
    <n v="2"/>
    <s v="Y"/>
    <x v="1"/>
    <n v="11"/>
    <n v="3"/>
    <n v="2"/>
    <n v="80"/>
    <n v="0"/>
    <n v="14"/>
    <n v="5"/>
    <n v="3"/>
    <n v="4"/>
    <n v="2"/>
    <n v="3"/>
    <n v="2"/>
    <x v="1"/>
    <x v="2"/>
    <x v="3"/>
    <n v="0"/>
  </r>
  <r>
    <x v="0"/>
    <x v="1"/>
    <x v="1"/>
    <n v="1200"/>
    <x v="1"/>
    <n v="22"/>
    <n v="3"/>
    <s v="Life Sciences"/>
    <n v="1"/>
    <n v="1392"/>
    <n v="4"/>
    <x v="0"/>
    <n v="75"/>
    <n v="3"/>
    <x v="0"/>
    <x v="1"/>
    <n v="4"/>
    <x v="2"/>
    <n v="5467"/>
    <n v="13953"/>
    <n v="3"/>
    <s v="Y"/>
    <x v="0"/>
    <n v="14"/>
    <n v="3"/>
    <n v="1"/>
    <n v="80"/>
    <n v="2"/>
    <n v="12"/>
    <n v="4"/>
    <n v="2"/>
    <n v="6"/>
    <n v="2"/>
    <n v="3"/>
    <n v="3"/>
    <x v="0"/>
    <x v="0"/>
    <x v="0"/>
    <n v="0"/>
  </r>
  <r>
    <x v="2"/>
    <x v="1"/>
    <x v="0"/>
    <n v="1439"/>
    <x v="1"/>
    <n v="4"/>
    <n v="1"/>
    <s v="Life Sciences"/>
    <n v="1"/>
    <n v="1394"/>
    <n v="3"/>
    <x v="1"/>
    <n v="54"/>
    <n v="3"/>
    <x v="1"/>
    <x v="1"/>
    <n v="3"/>
    <x v="1"/>
    <n v="2996"/>
    <n v="5182"/>
    <n v="7"/>
    <s v="Y"/>
    <x v="0"/>
    <n v="15"/>
    <n v="3"/>
    <n v="4"/>
    <n v="80"/>
    <n v="0"/>
    <n v="8"/>
    <n v="2"/>
    <n v="3"/>
    <n v="6"/>
    <n v="4"/>
    <n v="1"/>
    <n v="3"/>
    <x v="0"/>
    <x v="0"/>
    <x v="1"/>
    <n v="0"/>
  </r>
  <r>
    <x v="3"/>
    <x v="1"/>
    <x v="1"/>
    <n v="1111"/>
    <x v="0"/>
    <n v="5"/>
    <n v="1"/>
    <s v="Life Sciences"/>
    <n v="1"/>
    <n v="1395"/>
    <n v="2"/>
    <x v="1"/>
    <n v="61"/>
    <n v="3"/>
    <x v="0"/>
    <x v="0"/>
    <n v="4"/>
    <x v="1"/>
    <n v="9998"/>
    <n v="19293"/>
    <n v="6"/>
    <s v="Y"/>
    <x v="1"/>
    <n v="13"/>
    <n v="3"/>
    <n v="1"/>
    <n v="80"/>
    <n v="0"/>
    <n v="8"/>
    <n v="2"/>
    <n v="4"/>
    <n v="5"/>
    <n v="4"/>
    <n v="1"/>
    <n v="2"/>
    <x v="2"/>
    <x v="2"/>
    <x v="3"/>
    <n v="0"/>
  </r>
  <r>
    <x v="5"/>
    <x v="1"/>
    <x v="0"/>
    <n v="499"/>
    <x v="0"/>
    <n v="2"/>
    <n v="1"/>
    <s v="Marketing"/>
    <n v="1"/>
    <n v="1396"/>
    <n v="3"/>
    <x v="1"/>
    <n v="36"/>
    <n v="3"/>
    <x v="0"/>
    <x v="0"/>
    <n v="2"/>
    <x v="1"/>
    <n v="4078"/>
    <n v="20497"/>
    <n v="0"/>
    <s v="Y"/>
    <x v="0"/>
    <n v="13"/>
    <n v="3"/>
    <n v="1"/>
    <n v="80"/>
    <n v="3"/>
    <n v="4"/>
    <n v="3"/>
    <n v="2"/>
    <n v="3"/>
    <n v="2"/>
    <n v="1"/>
    <n v="2"/>
    <x v="2"/>
    <x v="2"/>
    <x v="2"/>
    <n v="0"/>
  </r>
  <r>
    <x v="22"/>
    <x v="1"/>
    <x v="2"/>
    <n v="1485"/>
    <x v="1"/>
    <n v="25"/>
    <n v="2"/>
    <s v="Life Sciences"/>
    <n v="1"/>
    <n v="1397"/>
    <n v="3"/>
    <x v="1"/>
    <n v="71"/>
    <n v="3"/>
    <x v="2"/>
    <x v="4"/>
    <n v="3"/>
    <x v="1"/>
    <n v="10920"/>
    <n v="3449"/>
    <n v="3"/>
    <s v="Y"/>
    <x v="1"/>
    <n v="21"/>
    <n v="4"/>
    <n v="2"/>
    <n v="80"/>
    <n v="1"/>
    <n v="13"/>
    <n v="2"/>
    <n v="3"/>
    <n v="6"/>
    <n v="4"/>
    <n v="0"/>
    <n v="5"/>
    <x v="0"/>
    <x v="0"/>
    <x v="3"/>
    <n v="0"/>
  </r>
  <r>
    <x v="36"/>
    <x v="1"/>
    <x v="0"/>
    <n v="1372"/>
    <x v="0"/>
    <n v="18"/>
    <n v="1"/>
    <s v="Life Sciences"/>
    <n v="1"/>
    <n v="1399"/>
    <n v="1"/>
    <x v="1"/>
    <n v="93"/>
    <n v="4"/>
    <x v="0"/>
    <x v="0"/>
    <n v="3"/>
    <x v="1"/>
    <n v="6232"/>
    <n v="12477"/>
    <n v="2"/>
    <s v="Y"/>
    <x v="1"/>
    <n v="11"/>
    <n v="3"/>
    <n v="2"/>
    <n v="80"/>
    <n v="0"/>
    <n v="6"/>
    <n v="3"/>
    <n v="2"/>
    <n v="3"/>
    <n v="2"/>
    <n v="1"/>
    <n v="2"/>
    <x v="2"/>
    <x v="2"/>
    <x v="0"/>
    <n v="0"/>
  </r>
  <r>
    <x v="39"/>
    <x v="1"/>
    <x v="1"/>
    <n v="322"/>
    <x v="1"/>
    <n v="28"/>
    <n v="2"/>
    <s v="Medical"/>
    <n v="1"/>
    <n v="1401"/>
    <n v="4"/>
    <x v="0"/>
    <n v="59"/>
    <n v="4"/>
    <x v="3"/>
    <x v="3"/>
    <n v="3"/>
    <x v="1"/>
    <n v="13247"/>
    <n v="9731"/>
    <n v="2"/>
    <s v="Y"/>
    <x v="0"/>
    <n v="11"/>
    <n v="3"/>
    <n v="2"/>
    <n v="80"/>
    <n v="1"/>
    <n v="24"/>
    <n v="3"/>
    <n v="2"/>
    <n v="5"/>
    <n v="3"/>
    <n v="0"/>
    <n v="2"/>
    <x v="1"/>
    <x v="2"/>
    <x v="3"/>
    <n v="0"/>
  </r>
  <r>
    <x v="23"/>
    <x v="1"/>
    <x v="0"/>
    <n v="930"/>
    <x v="1"/>
    <n v="6"/>
    <n v="3"/>
    <s v="Medical"/>
    <n v="1"/>
    <n v="1402"/>
    <n v="1"/>
    <x v="0"/>
    <n v="73"/>
    <n v="2"/>
    <x v="0"/>
    <x v="1"/>
    <n v="3"/>
    <x v="0"/>
    <n v="4081"/>
    <n v="20003"/>
    <n v="1"/>
    <s v="Y"/>
    <x v="0"/>
    <n v="14"/>
    <n v="3"/>
    <n v="1"/>
    <n v="80"/>
    <n v="0"/>
    <n v="20"/>
    <n v="3"/>
    <n v="1"/>
    <n v="20"/>
    <n v="7"/>
    <n v="1"/>
    <n v="8"/>
    <x v="0"/>
    <x v="3"/>
    <x v="2"/>
    <n v="0"/>
  </r>
  <r>
    <x v="4"/>
    <x v="1"/>
    <x v="0"/>
    <n v="205"/>
    <x v="0"/>
    <n v="10"/>
    <n v="3"/>
    <s v="Marketing"/>
    <n v="1"/>
    <n v="1403"/>
    <n v="4"/>
    <x v="0"/>
    <n v="98"/>
    <n v="2"/>
    <x v="0"/>
    <x v="0"/>
    <n v="4"/>
    <x v="1"/>
    <n v="5769"/>
    <n v="7100"/>
    <n v="1"/>
    <s v="Y"/>
    <x v="0"/>
    <n v="11"/>
    <n v="3"/>
    <n v="4"/>
    <n v="80"/>
    <n v="0"/>
    <n v="6"/>
    <n v="3"/>
    <n v="3"/>
    <n v="6"/>
    <n v="2"/>
    <n v="4"/>
    <n v="4"/>
    <x v="2"/>
    <x v="0"/>
    <x v="0"/>
    <n v="0"/>
  </r>
  <r>
    <x v="4"/>
    <x v="0"/>
    <x v="0"/>
    <n v="135"/>
    <x v="1"/>
    <n v="17"/>
    <n v="4"/>
    <s v="Life Sciences"/>
    <n v="1"/>
    <n v="1405"/>
    <n v="4"/>
    <x v="0"/>
    <n v="51"/>
    <n v="3"/>
    <x v="1"/>
    <x v="1"/>
    <n v="3"/>
    <x v="0"/>
    <n v="2394"/>
    <n v="25681"/>
    <n v="1"/>
    <s v="Y"/>
    <x v="0"/>
    <n v="13"/>
    <n v="3"/>
    <n v="4"/>
    <n v="80"/>
    <n v="0"/>
    <n v="8"/>
    <n v="2"/>
    <n v="3"/>
    <n v="8"/>
    <n v="2"/>
    <n v="7"/>
    <n v="7"/>
    <x v="2"/>
    <x v="0"/>
    <x v="1"/>
    <n v="1"/>
  </r>
  <r>
    <x v="25"/>
    <x v="1"/>
    <x v="0"/>
    <n v="683"/>
    <x v="1"/>
    <n v="2"/>
    <n v="1"/>
    <s v="Medical"/>
    <n v="1"/>
    <n v="1407"/>
    <n v="1"/>
    <x v="1"/>
    <n v="36"/>
    <n v="2"/>
    <x v="1"/>
    <x v="1"/>
    <n v="4"/>
    <x v="0"/>
    <n v="3904"/>
    <n v="4050"/>
    <n v="0"/>
    <s v="Y"/>
    <x v="1"/>
    <n v="12"/>
    <n v="3"/>
    <n v="4"/>
    <n v="80"/>
    <n v="0"/>
    <n v="5"/>
    <n v="2"/>
    <n v="3"/>
    <n v="4"/>
    <n v="3"/>
    <n v="1"/>
    <n v="1"/>
    <x v="2"/>
    <x v="2"/>
    <x v="2"/>
    <n v="0"/>
  </r>
  <r>
    <x v="19"/>
    <x v="1"/>
    <x v="0"/>
    <n v="1147"/>
    <x v="2"/>
    <n v="10"/>
    <n v="3"/>
    <s v="Human Resources"/>
    <n v="1"/>
    <n v="1408"/>
    <n v="3"/>
    <x v="0"/>
    <n v="31"/>
    <n v="3"/>
    <x v="3"/>
    <x v="5"/>
    <n v="1"/>
    <x v="1"/>
    <n v="16799"/>
    <n v="16616"/>
    <n v="0"/>
    <s v="Y"/>
    <x v="1"/>
    <n v="14"/>
    <n v="3"/>
    <n v="3"/>
    <n v="80"/>
    <n v="1"/>
    <n v="21"/>
    <n v="5"/>
    <n v="3"/>
    <n v="20"/>
    <n v="7"/>
    <n v="0"/>
    <n v="9"/>
    <x v="0"/>
    <x v="3"/>
    <x v="3"/>
    <n v="0"/>
  </r>
  <r>
    <x v="39"/>
    <x v="1"/>
    <x v="0"/>
    <n v="258"/>
    <x v="1"/>
    <n v="8"/>
    <n v="4"/>
    <s v="Other"/>
    <n v="1"/>
    <n v="1409"/>
    <n v="3"/>
    <x v="0"/>
    <n v="54"/>
    <n v="3"/>
    <x v="1"/>
    <x v="2"/>
    <n v="1"/>
    <x v="1"/>
    <n v="2950"/>
    <n v="17363"/>
    <n v="9"/>
    <s v="Y"/>
    <x v="1"/>
    <n v="13"/>
    <n v="3"/>
    <n v="3"/>
    <n v="80"/>
    <n v="0"/>
    <n v="12"/>
    <n v="2"/>
    <n v="1"/>
    <n v="5"/>
    <n v="4"/>
    <n v="0"/>
    <n v="4"/>
    <x v="1"/>
    <x v="2"/>
    <x v="1"/>
    <n v="0"/>
  </r>
  <r>
    <x v="2"/>
    <x v="1"/>
    <x v="0"/>
    <n v="1462"/>
    <x v="1"/>
    <n v="11"/>
    <n v="3"/>
    <s v="Medical"/>
    <n v="1"/>
    <n v="1411"/>
    <n v="1"/>
    <x v="0"/>
    <n v="94"/>
    <n v="3"/>
    <x v="1"/>
    <x v="2"/>
    <n v="3"/>
    <x v="0"/>
    <n v="3629"/>
    <n v="19106"/>
    <n v="4"/>
    <s v="Y"/>
    <x v="1"/>
    <n v="18"/>
    <n v="3"/>
    <n v="1"/>
    <n v="80"/>
    <n v="0"/>
    <n v="8"/>
    <n v="6"/>
    <n v="3"/>
    <n v="3"/>
    <n v="2"/>
    <n v="0"/>
    <n v="2"/>
    <x v="0"/>
    <x v="2"/>
    <x v="2"/>
    <n v="0"/>
  </r>
  <r>
    <x v="10"/>
    <x v="1"/>
    <x v="1"/>
    <n v="200"/>
    <x v="1"/>
    <n v="18"/>
    <n v="2"/>
    <s v="Life Sciences"/>
    <n v="1"/>
    <n v="1412"/>
    <n v="3"/>
    <x v="1"/>
    <n v="60"/>
    <n v="3"/>
    <x v="2"/>
    <x v="3"/>
    <n v="4"/>
    <x v="0"/>
    <n v="9362"/>
    <n v="19944"/>
    <n v="2"/>
    <s v="Y"/>
    <x v="1"/>
    <n v="11"/>
    <n v="3"/>
    <n v="3"/>
    <n v="80"/>
    <n v="0"/>
    <n v="10"/>
    <n v="2"/>
    <n v="3"/>
    <n v="2"/>
    <n v="2"/>
    <n v="2"/>
    <n v="2"/>
    <x v="0"/>
    <x v="1"/>
    <x v="3"/>
    <n v="0"/>
  </r>
  <r>
    <x v="36"/>
    <x v="1"/>
    <x v="0"/>
    <n v="949"/>
    <x v="1"/>
    <n v="1"/>
    <n v="3"/>
    <s v="Technical Degree"/>
    <n v="1"/>
    <n v="1415"/>
    <n v="1"/>
    <x v="1"/>
    <n v="81"/>
    <n v="3"/>
    <x v="1"/>
    <x v="2"/>
    <n v="4"/>
    <x v="1"/>
    <n v="3229"/>
    <n v="4910"/>
    <n v="4"/>
    <s v="Y"/>
    <x v="1"/>
    <n v="11"/>
    <n v="3"/>
    <n v="2"/>
    <n v="80"/>
    <n v="1"/>
    <n v="7"/>
    <n v="2"/>
    <n v="2"/>
    <n v="3"/>
    <n v="2"/>
    <n v="0"/>
    <n v="2"/>
    <x v="2"/>
    <x v="2"/>
    <x v="2"/>
    <n v="0"/>
  </r>
  <r>
    <x v="25"/>
    <x v="1"/>
    <x v="0"/>
    <n v="652"/>
    <x v="1"/>
    <n v="7"/>
    <n v="3"/>
    <s v="Other"/>
    <n v="1"/>
    <n v="1417"/>
    <n v="3"/>
    <x v="1"/>
    <n v="100"/>
    <n v="4"/>
    <x v="1"/>
    <x v="2"/>
    <n v="1"/>
    <x v="0"/>
    <n v="3578"/>
    <n v="23577"/>
    <n v="0"/>
    <s v="Y"/>
    <x v="1"/>
    <n v="12"/>
    <n v="3"/>
    <n v="4"/>
    <n v="80"/>
    <n v="0"/>
    <n v="8"/>
    <n v="2"/>
    <n v="3"/>
    <n v="7"/>
    <n v="7"/>
    <n v="0"/>
    <n v="7"/>
    <x v="2"/>
    <x v="0"/>
    <x v="2"/>
    <n v="0"/>
  </r>
  <r>
    <x v="11"/>
    <x v="1"/>
    <x v="0"/>
    <n v="332"/>
    <x v="2"/>
    <n v="17"/>
    <n v="3"/>
    <s v="Other"/>
    <n v="1"/>
    <n v="1419"/>
    <n v="2"/>
    <x v="1"/>
    <n v="51"/>
    <n v="2"/>
    <x v="2"/>
    <x v="8"/>
    <n v="1"/>
    <x v="0"/>
    <n v="7988"/>
    <n v="9769"/>
    <n v="1"/>
    <s v="Y"/>
    <x v="1"/>
    <n v="13"/>
    <n v="3"/>
    <n v="1"/>
    <n v="80"/>
    <n v="0"/>
    <n v="10"/>
    <n v="3"/>
    <n v="2"/>
    <n v="10"/>
    <n v="9"/>
    <n v="0"/>
    <n v="9"/>
    <x v="2"/>
    <x v="0"/>
    <x v="0"/>
    <n v="0"/>
  </r>
  <r>
    <x v="1"/>
    <x v="0"/>
    <x v="1"/>
    <n v="1475"/>
    <x v="1"/>
    <n v="28"/>
    <n v="2"/>
    <s v="Life Sciences"/>
    <n v="1"/>
    <n v="1420"/>
    <n v="1"/>
    <x v="1"/>
    <n v="97"/>
    <n v="2"/>
    <x v="0"/>
    <x v="2"/>
    <n v="1"/>
    <x v="0"/>
    <n v="4284"/>
    <n v="22710"/>
    <n v="3"/>
    <s v="Y"/>
    <x v="1"/>
    <n v="20"/>
    <n v="4"/>
    <n v="1"/>
    <n v="80"/>
    <n v="0"/>
    <n v="20"/>
    <n v="2"/>
    <n v="3"/>
    <n v="4"/>
    <n v="3"/>
    <n v="1"/>
    <n v="3"/>
    <x v="1"/>
    <x v="2"/>
    <x v="2"/>
    <n v="1"/>
  </r>
  <r>
    <x v="11"/>
    <x v="0"/>
    <x v="1"/>
    <n v="337"/>
    <x v="1"/>
    <n v="14"/>
    <n v="1"/>
    <s v="Other"/>
    <n v="1"/>
    <n v="1421"/>
    <n v="3"/>
    <x v="0"/>
    <n v="84"/>
    <n v="3"/>
    <x v="2"/>
    <x v="4"/>
    <n v="4"/>
    <x v="0"/>
    <n v="7553"/>
    <n v="22930"/>
    <n v="0"/>
    <s v="Y"/>
    <x v="0"/>
    <n v="12"/>
    <n v="3"/>
    <n v="1"/>
    <n v="80"/>
    <n v="0"/>
    <n v="9"/>
    <n v="1"/>
    <n v="3"/>
    <n v="8"/>
    <n v="7"/>
    <n v="7"/>
    <n v="7"/>
    <x v="2"/>
    <x v="0"/>
    <x v="0"/>
    <n v="1"/>
  </r>
  <r>
    <x v="33"/>
    <x v="1"/>
    <x v="0"/>
    <n v="971"/>
    <x v="1"/>
    <n v="1"/>
    <n v="3"/>
    <s v="Medical"/>
    <n v="1"/>
    <n v="1422"/>
    <n v="4"/>
    <x v="0"/>
    <n v="54"/>
    <n v="3"/>
    <x v="3"/>
    <x v="7"/>
    <n v="4"/>
    <x v="0"/>
    <n v="17328"/>
    <n v="5652"/>
    <n v="6"/>
    <s v="Y"/>
    <x v="1"/>
    <n v="19"/>
    <n v="3"/>
    <n v="4"/>
    <n v="80"/>
    <n v="0"/>
    <n v="29"/>
    <n v="3"/>
    <n v="2"/>
    <n v="20"/>
    <n v="7"/>
    <n v="12"/>
    <n v="7"/>
    <x v="1"/>
    <x v="3"/>
    <x v="3"/>
    <n v="0"/>
  </r>
  <r>
    <x v="34"/>
    <x v="1"/>
    <x v="0"/>
    <n v="1055"/>
    <x v="1"/>
    <n v="1"/>
    <n v="3"/>
    <s v="Medical"/>
    <n v="1"/>
    <n v="1423"/>
    <n v="4"/>
    <x v="0"/>
    <n v="76"/>
    <n v="3"/>
    <x v="4"/>
    <x v="7"/>
    <n v="1"/>
    <x v="1"/>
    <n v="19701"/>
    <n v="22456"/>
    <n v="3"/>
    <s v="Y"/>
    <x v="0"/>
    <n v="21"/>
    <n v="4"/>
    <n v="3"/>
    <n v="80"/>
    <n v="1"/>
    <n v="32"/>
    <n v="3"/>
    <n v="3"/>
    <n v="9"/>
    <n v="8"/>
    <n v="1"/>
    <n v="5"/>
    <x v="3"/>
    <x v="0"/>
    <x v="3"/>
    <n v="0"/>
  </r>
  <r>
    <x v="27"/>
    <x v="1"/>
    <x v="0"/>
    <n v="1136"/>
    <x v="1"/>
    <n v="1"/>
    <n v="4"/>
    <s v="Medical"/>
    <n v="1"/>
    <n v="1424"/>
    <n v="2"/>
    <x v="1"/>
    <n v="81"/>
    <n v="4"/>
    <x v="3"/>
    <x v="7"/>
    <n v="4"/>
    <x v="2"/>
    <n v="14732"/>
    <n v="12414"/>
    <n v="2"/>
    <s v="Y"/>
    <x v="1"/>
    <n v="13"/>
    <n v="3"/>
    <n v="4"/>
    <n v="80"/>
    <n v="2"/>
    <n v="31"/>
    <n v="4"/>
    <n v="4"/>
    <n v="7"/>
    <n v="7"/>
    <n v="0"/>
    <n v="0"/>
    <x v="3"/>
    <x v="0"/>
    <x v="3"/>
    <n v="0"/>
  </r>
  <r>
    <x v="9"/>
    <x v="1"/>
    <x v="0"/>
    <n v="1174"/>
    <x v="0"/>
    <n v="3"/>
    <n v="4"/>
    <s v="Marketing"/>
    <n v="1"/>
    <n v="1425"/>
    <n v="1"/>
    <x v="0"/>
    <n v="99"/>
    <n v="3"/>
    <x v="0"/>
    <x v="0"/>
    <n v="2"/>
    <x v="0"/>
    <n v="9278"/>
    <n v="20763"/>
    <n v="3"/>
    <s v="Y"/>
    <x v="0"/>
    <n v="16"/>
    <n v="3"/>
    <n v="4"/>
    <n v="80"/>
    <n v="0"/>
    <n v="15"/>
    <n v="3"/>
    <n v="3"/>
    <n v="5"/>
    <n v="4"/>
    <n v="0"/>
    <n v="1"/>
    <x v="0"/>
    <x v="2"/>
    <x v="3"/>
    <n v="0"/>
  </r>
  <r>
    <x v="12"/>
    <x v="0"/>
    <x v="1"/>
    <n v="667"/>
    <x v="0"/>
    <n v="1"/>
    <n v="4"/>
    <s v="Life Sciences"/>
    <n v="1"/>
    <n v="1427"/>
    <n v="2"/>
    <x v="0"/>
    <n v="50"/>
    <n v="1"/>
    <x v="1"/>
    <x v="6"/>
    <n v="3"/>
    <x v="0"/>
    <n v="1359"/>
    <n v="16154"/>
    <n v="1"/>
    <s v="Y"/>
    <x v="1"/>
    <n v="12"/>
    <n v="3"/>
    <n v="2"/>
    <n v="80"/>
    <n v="0"/>
    <n v="1"/>
    <n v="3"/>
    <n v="3"/>
    <n v="1"/>
    <n v="0"/>
    <n v="0"/>
    <n v="0"/>
    <x v="2"/>
    <x v="1"/>
    <x v="1"/>
    <n v="1"/>
  </r>
  <r>
    <x v="7"/>
    <x v="1"/>
    <x v="0"/>
    <n v="855"/>
    <x v="0"/>
    <n v="7"/>
    <n v="4"/>
    <s v="Marketing"/>
    <n v="1"/>
    <n v="1428"/>
    <n v="4"/>
    <x v="0"/>
    <n v="73"/>
    <n v="3"/>
    <x v="0"/>
    <x v="0"/>
    <n v="1"/>
    <x v="2"/>
    <n v="4779"/>
    <n v="12761"/>
    <n v="7"/>
    <s v="Y"/>
    <x v="1"/>
    <n v="14"/>
    <n v="3"/>
    <n v="2"/>
    <n v="80"/>
    <n v="2"/>
    <n v="8"/>
    <n v="3"/>
    <n v="3"/>
    <n v="3"/>
    <n v="2"/>
    <n v="0"/>
    <n v="2"/>
    <x v="2"/>
    <x v="2"/>
    <x v="2"/>
    <n v="0"/>
  </r>
  <r>
    <x v="12"/>
    <x v="1"/>
    <x v="0"/>
    <n v="182"/>
    <x v="1"/>
    <n v="8"/>
    <n v="5"/>
    <s v="Life Sciences"/>
    <n v="1"/>
    <n v="1430"/>
    <n v="1"/>
    <x v="0"/>
    <n v="93"/>
    <n v="3"/>
    <x v="3"/>
    <x v="7"/>
    <n v="2"/>
    <x v="0"/>
    <n v="16422"/>
    <n v="8847"/>
    <n v="3"/>
    <s v="Y"/>
    <x v="1"/>
    <n v="11"/>
    <n v="3"/>
    <n v="3"/>
    <n v="80"/>
    <n v="0"/>
    <n v="9"/>
    <n v="3"/>
    <n v="4"/>
    <n v="3"/>
    <n v="2"/>
    <n v="1"/>
    <n v="0"/>
    <x v="2"/>
    <x v="2"/>
    <x v="3"/>
    <n v="0"/>
  </r>
  <r>
    <x v="13"/>
    <x v="1"/>
    <x v="1"/>
    <n v="560"/>
    <x v="1"/>
    <n v="1"/>
    <n v="4"/>
    <s v="Other"/>
    <n v="1"/>
    <n v="1431"/>
    <n v="4"/>
    <x v="1"/>
    <n v="91"/>
    <n v="3"/>
    <x v="1"/>
    <x v="1"/>
    <n v="1"/>
    <x v="2"/>
    <n v="2996"/>
    <n v="20284"/>
    <n v="5"/>
    <s v="Y"/>
    <x v="1"/>
    <n v="14"/>
    <n v="3"/>
    <n v="3"/>
    <n v="80"/>
    <n v="2"/>
    <n v="10"/>
    <n v="2"/>
    <n v="3"/>
    <n v="4"/>
    <n v="3"/>
    <n v="1"/>
    <n v="3"/>
    <x v="2"/>
    <x v="2"/>
    <x v="1"/>
    <n v="0"/>
  </r>
  <r>
    <x v="12"/>
    <x v="0"/>
    <x v="0"/>
    <n v="202"/>
    <x v="1"/>
    <n v="8"/>
    <n v="3"/>
    <s v="Life Sciences"/>
    <n v="1"/>
    <n v="1433"/>
    <n v="1"/>
    <x v="0"/>
    <n v="34"/>
    <n v="2"/>
    <x v="1"/>
    <x v="1"/>
    <n v="2"/>
    <x v="0"/>
    <n v="1261"/>
    <n v="22262"/>
    <n v="1"/>
    <s v="Y"/>
    <x v="1"/>
    <n v="12"/>
    <n v="3"/>
    <n v="3"/>
    <n v="80"/>
    <n v="0"/>
    <n v="1"/>
    <n v="3"/>
    <n v="4"/>
    <n v="1"/>
    <n v="0"/>
    <n v="0"/>
    <n v="0"/>
    <x v="2"/>
    <x v="1"/>
    <x v="1"/>
    <n v="1"/>
  </r>
  <r>
    <x v="4"/>
    <x v="1"/>
    <x v="0"/>
    <n v="1377"/>
    <x v="1"/>
    <n v="11"/>
    <n v="1"/>
    <s v="Life Sciences"/>
    <n v="1"/>
    <n v="1434"/>
    <n v="2"/>
    <x v="1"/>
    <n v="91"/>
    <n v="3"/>
    <x v="1"/>
    <x v="2"/>
    <n v="1"/>
    <x v="1"/>
    <n v="2099"/>
    <n v="7679"/>
    <n v="0"/>
    <s v="Y"/>
    <x v="1"/>
    <n v="14"/>
    <n v="3"/>
    <n v="2"/>
    <n v="80"/>
    <n v="0"/>
    <n v="6"/>
    <n v="3"/>
    <n v="4"/>
    <n v="5"/>
    <n v="0"/>
    <n v="1"/>
    <n v="4"/>
    <x v="2"/>
    <x v="2"/>
    <x v="1"/>
    <n v="0"/>
  </r>
  <r>
    <x v="9"/>
    <x v="1"/>
    <x v="0"/>
    <n v="172"/>
    <x v="1"/>
    <n v="4"/>
    <n v="4"/>
    <s v="Life Sciences"/>
    <n v="1"/>
    <n v="1435"/>
    <n v="1"/>
    <x v="1"/>
    <n v="37"/>
    <n v="2"/>
    <x v="0"/>
    <x v="2"/>
    <n v="4"/>
    <x v="0"/>
    <n v="5810"/>
    <n v="22604"/>
    <n v="1"/>
    <s v="Y"/>
    <x v="1"/>
    <n v="16"/>
    <n v="3"/>
    <n v="3"/>
    <n v="80"/>
    <n v="0"/>
    <n v="10"/>
    <n v="2"/>
    <n v="2"/>
    <n v="10"/>
    <n v="4"/>
    <n v="1"/>
    <n v="8"/>
    <x v="0"/>
    <x v="0"/>
    <x v="0"/>
    <n v="0"/>
  </r>
  <r>
    <x v="9"/>
    <x v="1"/>
    <x v="0"/>
    <n v="329"/>
    <x v="0"/>
    <n v="16"/>
    <n v="4"/>
    <s v="Marketing"/>
    <n v="1"/>
    <n v="1436"/>
    <n v="3"/>
    <x v="0"/>
    <n v="98"/>
    <n v="2"/>
    <x v="0"/>
    <x v="0"/>
    <n v="1"/>
    <x v="1"/>
    <n v="5647"/>
    <n v="13494"/>
    <n v="4"/>
    <s v="Y"/>
    <x v="1"/>
    <n v="13"/>
    <n v="3"/>
    <n v="1"/>
    <n v="80"/>
    <n v="2"/>
    <n v="11"/>
    <n v="3"/>
    <n v="2"/>
    <n v="3"/>
    <n v="2"/>
    <n v="0"/>
    <n v="2"/>
    <x v="0"/>
    <x v="2"/>
    <x v="0"/>
    <n v="0"/>
  </r>
  <r>
    <x v="40"/>
    <x v="1"/>
    <x v="0"/>
    <n v="465"/>
    <x v="1"/>
    <n v="1"/>
    <n v="3"/>
    <s v="Technical Degree"/>
    <n v="1"/>
    <n v="1438"/>
    <n v="1"/>
    <x v="1"/>
    <n v="74"/>
    <n v="3"/>
    <x v="1"/>
    <x v="1"/>
    <n v="4"/>
    <x v="1"/>
    <n v="3420"/>
    <n v="10205"/>
    <n v="7"/>
    <s v="Y"/>
    <x v="1"/>
    <n v="12"/>
    <n v="3"/>
    <n v="3"/>
    <n v="80"/>
    <n v="1"/>
    <n v="17"/>
    <n v="2"/>
    <n v="2"/>
    <n v="6"/>
    <n v="5"/>
    <n v="1"/>
    <n v="2"/>
    <x v="1"/>
    <x v="0"/>
    <x v="2"/>
    <n v="0"/>
  </r>
  <r>
    <x v="36"/>
    <x v="0"/>
    <x v="0"/>
    <n v="383"/>
    <x v="0"/>
    <n v="9"/>
    <n v="2"/>
    <s v="Life Sciences"/>
    <n v="1"/>
    <n v="1439"/>
    <n v="1"/>
    <x v="1"/>
    <n v="68"/>
    <n v="2"/>
    <x v="1"/>
    <x v="6"/>
    <n v="1"/>
    <x v="1"/>
    <n v="4400"/>
    <n v="15182"/>
    <n v="3"/>
    <s v="Y"/>
    <x v="1"/>
    <n v="12"/>
    <n v="3"/>
    <n v="1"/>
    <n v="80"/>
    <n v="0"/>
    <n v="6"/>
    <n v="2"/>
    <n v="3"/>
    <n v="3"/>
    <n v="2"/>
    <n v="2"/>
    <n v="2"/>
    <x v="2"/>
    <x v="2"/>
    <x v="2"/>
    <n v="1"/>
  </r>
  <r>
    <x v="2"/>
    <x v="1"/>
    <x v="2"/>
    <n v="1413"/>
    <x v="1"/>
    <n v="5"/>
    <n v="2"/>
    <s v="Technical Degree"/>
    <n v="1"/>
    <n v="1440"/>
    <n v="3"/>
    <x v="1"/>
    <n v="84"/>
    <n v="4"/>
    <x v="1"/>
    <x v="2"/>
    <n v="3"/>
    <x v="0"/>
    <n v="3500"/>
    <n v="25470"/>
    <n v="0"/>
    <s v="Y"/>
    <x v="1"/>
    <n v="14"/>
    <n v="3"/>
    <n v="1"/>
    <n v="80"/>
    <n v="0"/>
    <n v="7"/>
    <n v="2"/>
    <n v="1"/>
    <n v="6"/>
    <n v="5"/>
    <n v="1"/>
    <n v="3"/>
    <x v="0"/>
    <x v="0"/>
    <x v="2"/>
    <n v="0"/>
  </r>
  <r>
    <x v="29"/>
    <x v="1"/>
    <x v="0"/>
    <n v="1255"/>
    <x v="1"/>
    <n v="1"/>
    <n v="2"/>
    <s v="Life Sciences"/>
    <n v="1"/>
    <n v="1441"/>
    <n v="1"/>
    <x v="0"/>
    <n v="90"/>
    <n v="3"/>
    <x v="1"/>
    <x v="1"/>
    <n v="1"/>
    <x v="1"/>
    <n v="2066"/>
    <n v="10494"/>
    <n v="2"/>
    <s v="Y"/>
    <x v="1"/>
    <n v="22"/>
    <n v="4"/>
    <n v="4"/>
    <n v="80"/>
    <n v="1"/>
    <n v="5"/>
    <n v="3"/>
    <n v="4"/>
    <n v="3"/>
    <n v="2"/>
    <n v="1"/>
    <n v="0"/>
    <x v="3"/>
    <x v="2"/>
    <x v="1"/>
    <n v="0"/>
  </r>
  <r>
    <x v="40"/>
    <x v="1"/>
    <x v="0"/>
    <n v="359"/>
    <x v="1"/>
    <n v="2"/>
    <n v="4"/>
    <s v="Medical"/>
    <n v="1"/>
    <n v="1443"/>
    <n v="1"/>
    <x v="0"/>
    <n v="82"/>
    <n v="3"/>
    <x v="3"/>
    <x v="7"/>
    <n v="3"/>
    <x v="1"/>
    <n v="17169"/>
    <n v="26703"/>
    <n v="3"/>
    <s v="Y"/>
    <x v="1"/>
    <n v="19"/>
    <n v="3"/>
    <n v="2"/>
    <n v="80"/>
    <n v="2"/>
    <n v="26"/>
    <n v="2"/>
    <n v="4"/>
    <n v="20"/>
    <n v="17"/>
    <n v="5"/>
    <n v="6"/>
    <x v="1"/>
    <x v="3"/>
    <x v="3"/>
    <n v="0"/>
  </r>
  <r>
    <x v="17"/>
    <x v="1"/>
    <x v="0"/>
    <n v="1476"/>
    <x v="0"/>
    <n v="4"/>
    <n v="1"/>
    <s v="Medical"/>
    <n v="1"/>
    <n v="1445"/>
    <n v="4"/>
    <x v="0"/>
    <n v="42"/>
    <n v="3"/>
    <x v="0"/>
    <x v="0"/>
    <n v="3"/>
    <x v="1"/>
    <n v="4162"/>
    <n v="15211"/>
    <n v="1"/>
    <s v="Y"/>
    <x v="0"/>
    <n v="12"/>
    <n v="3"/>
    <n v="3"/>
    <n v="80"/>
    <n v="2"/>
    <n v="5"/>
    <n v="3"/>
    <n v="3"/>
    <n v="5"/>
    <n v="4"/>
    <n v="0"/>
    <n v="3"/>
    <x v="4"/>
    <x v="2"/>
    <x v="2"/>
    <n v="0"/>
  </r>
  <r>
    <x v="5"/>
    <x v="1"/>
    <x v="0"/>
    <n v="601"/>
    <x v="0"/>
    <n v="7"/>
    <n v="5"/>
    <s v="Marketing"/>
    <n v="1"/>
    <n v="1446"/>
    <n v="4"/>
    <x v="1"/>
    <n v="97"/>
    <n v="3"/>
    <x v="0"/>
    <x v="0"/>
    <n v="4"/>
    <x v="1"/>
    <n v="9204"/>
    <n v="23343"/>
    <n v="4"/>
    <s v="Y"/>
    <x v="1"/>
    <n v="12"/>
    <n v="3"/>
    <n v="3"/>
    <n v="80"/>
    <n v="1"/>
    <n v="7"/>
    <n v="3"/>
    <n v="2"/>
    <n v="4"/>
    <n v="3"/>
    <n v="0"/>
    <n v="3"/>
    <x v="2"/>
    <x v="2"/>
    <x v="3"/>
    <n v="0"/>
  </r>
  <r>
    <x v="13"/>
    <x v="1"/>
    <x v="0"/>
    <n v="401"/>
    <x v="1"/>
    <n v="1"/>
    <n v="3"/>
    <s v="Life Sciences"/>
    <n v="1"/>
    <n v="1447"/>
    <n v="4"/>
    <x v="0"/>
    <n v="86"/>
    <n v="2"/>
    <x v="1"/>
    <x v="2"/>
    <n v="2"/>
    <x v="1"/>
    <n v="3294"/>
    <n v="3708"/>
    <n v="5"/>
    <s v="Y"/>
    <x v="1"/>
    <n v="17"/>
    <n v="3"/>
    <n v="1"/>
    <n v="80"/>
    <n v="1"/>
    <n v="7"/>
    <n v="2"/>
    <n v="2"/>
    <n v="5"/>
    <n v="4"/>
    <n v="0"/>
    <n v="2"/>
    <x v="2"/>
    <x v="2"/>
    <x v="2"/>
    <n v="0"/>
  </r>
  <r>
    <x v="0"/>
    <x v="1"/>
    <x v="0"/>
    <n v="1283"/>
    <x v="1"/>
    <n v="5"/>
    <n v="5"/>
    <s v="Medical"/>
    <n v="1"/>
    <n v="1448"/>
    <n v="2"/>
    <x v="1"/>
    <n v="90"/>
    <n v="4"/>
    <x v="1"/>
    <x v="1"/>
    <n v="3"/>
    <x v="1"/>
    <n v="2127"/>
    <n v="5561"/>
    <n v="2"/>
    <s v="Y"/>
    <x v="0"/>
    <n v="12"/>
    <n v="3"/>
    <n v="1"/>
    <n v="80"/>
    <n v="0"/>
    <n v="7"/>
    <n v="5"/>
    <n v="2"/>
    <n v="4"/>
    <n v="2"/>
    <n v="0"/>
    <n v="3"/>
    <x v="0"/>
    <x v="2"/>
    <x v="1"/>
    <n v="0"/>
  </r>
  <r>
    <x v="32"/>
    <x v="1"/>
    <x v="2"/>
    <n v="663"/>
    <x v="1"/>
    <n v="9"/>
    <n v="4"/>
    <s v="Other"/>
    <n v="1"/>
    <n v="1449"/>
    <n v="3"/>
    <x v="1"/>
    <n v="81"/>
    <n v="3"/>
    <x v="0"/>
    <x v="2"/>
    <n v="3"/>
    <x v="2"/>
    <n v="3975"/>
    <n v="23099"/>
    <n v="3"/>
    <s v="Y"/>
    <x v="1"/>
    <n v="11"/>
    <n v="3"/>
    <n v="3"/>
    <n v="80"/>
    <n v="2"/>
    <n v="11"/>
    <n v="2"/>
    <n v="4"/>
    <n v="8"/>
    <n v="7"/>
    <n v="0"/>
    <n v="7"/>
    <x v="0"/>
    <x v="0"/>
    <x v="2"/>
    <n v="0"/>
  </r>
  <r>
    <x v="12"/>
    <x v="1"/>
    <x v="0"/>
    <n v="326"/>
    <x v="0"/>
    <n v="8"/>
    <n v="2"/>
    <s v="Life Sciences"/>
    <n v="1"/>
    <n v="1453"/>
    <n v="1"/>
    <x v="1"/>
    <n v="31"/>
    <n v="3"/>
    <x v="2"/>
    <x v="0"/>
    <n v="4"/>
    <x v="2"/>
    <n v="10793"/>
    <n v="8386"/>
    <n v="1"/>
    <s v="Y"/>
    <x v="1"/>
    <n v="18"/>
    <n v="3"/>
    <n v="1"/>
    <n v="80"/>
    <n v="1"/>
    <n v="13"/>
    <n v="5"/>
    <n v="3"/>
    <n v="13"/>
    <n v="7"/>
    <n v="9"/>
    <n v="9"/>
    <x v="2"/>
    <x v="3"/>
    <x v="3"/>
    <n v="0"/>
  </r>
  <r>
    <x v="21"/>
    <x v="0"/>
    <x v="0"/>
    <n v="377"/>
    <x v="0"/>
    <n v="9"/>
    <n v="3"/>
    <s v="Marketing"/>
    <n v="1"/>
    <n v="1457"/>
    <n v="1"/>
    <x v="1"/>
    <n v="52"/>
    <n v="3"/>
    <x v="2"/>
    <x v="0"/>
    <n v="4"/>
    <x v="2"/>
    <n v="10096"/>
    <n v="15986"/>
    <n v="4"/>
    <s v="Y"/>
    <x v="1"/>
    <n v="11"/>
    <n v="3"/>
    <n v="1"/>
    <n v="80"/>
    <n v="1"/>
    <n v="28"/>
    <n v="1"/>
    <n v="4"/>
    <n v="7"/>
    <n v="7"/>
    <n v="4"/>
    <n v="3"/>
    <x v="1"/>
    <x v="0"/>
    <x v="3"/>
    <n v="1"/>
  </r>
  <r>
    <x v="22"/>
    <x v="0"/>
    <x v="2"/>
    <n v="592"/>
    <x v="1"/>
    <n v="2"/>
    <n v="3"/>
    <s v="Life Sciences"/>
    <n v="1"/>
    <n v="1458"/>
    <n v="1"/>
    <x v="0"/>
    <n v="54"/>
    <n v="2"/>
    <x v="1"/>
    <x v="2"/>
    <n v="1"/>
    <x v="0"/>
    <n v="3646"/>
    <n v="17181"/>
    <n v="2"/>
    <s v="Y"/>
    <x v="0"/>
    <n v="23"/>
    <n v="4"/>
    <n v="2"/>
    <n v="80"/>
    <n v="0"/>
    <n v="11"/>
    <n v="2"/>
    <n v="4"/>
    <n v="1"/>
    <n v="0"/>
    <n v="0"/>
    <n v="0"/>
    <x v="0"/>
    <x v="1"/>
    <x v="2"/>
    <n v="1"/>
  </r>
  <r>
    <x v="12"/>
    <x v="0"/>
    <x v="1"/>
    <n v="1445"/>
    <x v="1"/>
    <n v="1"/>
    <n v="5"/>
    <s v="Life Sciences"/>
    <n v="1"/>
    <n v="1459"/>
    <n v="3"/>
    <x v="0"/>
    <n v="100"/>
    <n v="4"/>
    <x v="2"/>
    <x v="3"/>
    <n v="2"/>
    <x v="0"/>
    <n v="7446"/>
    <n v="8931"/>
    <n v="1"/>
    <s v="Y"/>
    <x v="1"/>
    <n v="11"/>
    <n v="3"/>
    <n v="1"/>
    <n v="80"/>
    <n v="0"/>
    <n v="10"/>
    <n v="2"/>
    <n v="3"/>
    <n v="10"/>
    <n v="8"/>
    <n v="4"/>
    <n v="7"/>
    <x v="2"/>
    <x v="0"/>
    <x v="0"/>
    <n v="1"/>
  </r>
  <r>
    <x v="28"/>
    <x v="1"/>
    <x v="0"/>
    <n v="1038"/>
    <x v="1"/>
    <n v="20"/>
    <n v="3"/>
    <s v="Medical"/>
    <n v="1"/>
    <n v="1460"/>
    <n v="2"/>
    <x v="1"/>
    <n v="95"/>
    <n v="1"/>
    <x v="2"/>
    <x v="4"/>
    <n v="1"/>
    <x v="2"/>
    <n v="10851"/>
    <n v="19863"/>
    <n v="2"/>
    <s v="Y"/>
    <x v="0"/>
    <n v="18"/>
    <n v="3"/>
    <n v="2"/>
    <n v="80"/>
    <n v="1"/>
    <n v="24"/>
    <n v="2"/>
    <n v="3"/>
    <n v="7"/>
    <n v="7"/>
    <n v="0"/>
    <n v="7"/>
    <x v="1"/>
    <x v="0"/>
    <x v="3"/>
    <n v="0"/>
  </r>
  <r>
    <x v="12"/>
    <x v="1"/>
    <x v="0"/>
    <n v="1398"/>
    <x v="2"/>
    <n v="8"/>
    <n v="2"/>
    <s v="Medical"/>
    <n v="1"/>
    <n v="1461"/>
    <n v="4"/>
    <x v="0"/>
    <n v="96"/>
    <n v="4"/>
    <x v="1"/>
    <x v="8"/>
    <n v="2"/>
    <x v="0"/>
    <n v="2109"/>
    <n v="24609"/>
    <n v="9"/>
    <s v="Y"/>
    <x v="1"/>
    <n v="18"/>
    <n v="3"/>
    <n v="4"/>
    <n v="80"/>
    <n v="0"/>
    <n v="8"/>
    <n v="3"/>
    <n v="3"/>
    <n v="3"/>
    <n v="2"/>
    <n v="0"/>
    <n v="2"/>
    <x v="2"/>
    <x v="2"/>
    <x v="1"/>
    <n v="0"/>
  </r>
  <r>
    <x v="12"/>
    <x v="0"/>
    <x v="1"/>
    <n v="523"/>
    <x v="1"/>
    <n v="2"/>
    <n v="3"/>
    <s v="Life Sciences"/>
    <n v="1"/>
    <n v="1464"/>
    <n v="2"/>
    <x v="1"/>
    <n v="94"/>
    <n v="3"/>
    <x v="1"/>
    <x v="2"/>
    <n v="4"/>
    <x v="1"/>
    <n v="3722"/>
    <n v="21081"/>
    <n v="6"/>
    <s v="Y"/>
    <x v="0"/>
    <n v="13"/>
    <n v="3"/>
    <n v="3"/>
    <n v="80"/>
    <n v="1"/>
    <n v="7"/>
    <n v="2"/>
    <n v="1"/>
    <n v="2"/>
    <n v="2"/>
    <n v="2"/>
    <n v="2"/>
    <x v="2"/>
    <x v="1"/>
    <x v="2"/>
    <n v="1"/>
  </r>
  <r>
    <x v="28"/>
    <x v="1"/>
    <x v="0"/>
    <n v="1448"/>
    <x v="1"/>
    <n v="29"/>
    <n v="3"/>
    <s v="Technical Degree"/>
    <n v="1"/>
    <n v="1465"/>
    <n v="2"/>
    <x v="1"/>
    <n v="55"/>
    <n v="3"/>
    <x v="2"/>
    <x v="3"/>
    <n v="4"/>
    <x v="1"/>
    <n v="9380"/>
    <n v="14720"/>
    <n v="4"/>
    <s v="Y"/>
    <x v="0"/>
    <n v="18"/>
    <n v="3"/>
    <n v="4"/>
    <n v="80"/>
    <n v="2"/>
    <n v="10"/>
    <n v="4"/>
    <n v="4"/>
    <n v="3"/>
    <n v="1"/>
    <n v="1"/>
    <n v="2"/>
    <x v="1"/>
    <x v="2"/>
    <x v="3"/>
    <n v="0"/>
  </r>
  <r>
    <x v="26"/>
    <x v="1"/>
    <x v="0"/>
    <n v="1221"/>
    <x v="0"/>
    <n v="7"/>
    <n v="3"/>
    <s v="Marketing"/>
    <n v="1"/>
    <n v="1466"/>
    <n v="3"/>
    <x v="1"/>
    <n v="96"/>
    <n v="3"/>
    <x v="0"/>
    <x v="0"/>
    <n v="1"/>
    <x v="2"/>
    <n v="5486"/>
    <n v="24795"/>
    <n v="4"/>
    <s v="Y"/>
    <x v="1"/>
    <n v="11"/>
    <n v="3"/>
    <n v="1"/>
    <n v="80"/>
    <n v="3"/>
    <n v="15"/>
    <n v="3"/>
    <n v="3"/>
    <n v="2"/>
    <n v="2"/>
    <n v="2"/>
    <n v="2"/>
    <x v="1"/>
    <x v="1"/>
    <x v="0"/>
    <n v="0"/>
  </r>
  <r>
    <x v="13"/>
    <x v="0"/>
    <x v="0"/>
    <n v="1107"/>
    <x v="2"/>
    <n v="9"/>
    <n v="4"/>
    <s v="Technical Degree"/>
    <n v="1"/>
    <n v="1467"/>
    <n v="1"/>
    <x v="0"/>
    <n v="52"/>
    <n v="3"/>
    <x v="1"/>
    <x v="8"/>
    <n v="3"/>
    <x v="1"/>
    <n v="2742"/>
    <n v="3072"/>
    <n v="1"/>
    <s v="Y"/>
    <x v="1"/>
    <n v="15"/>
    <n v="3"/>
    <n v="4"/>
    <n v="80"/>
    <n v="0"/>
    <n v="2"/>
    <n v="0"/>
    <n v="3"/>
    <n v="2"/>
    <n v="2"/>
    <n v="2"/>
    <n v="2"/>
    <x v="2"/>
    <x v="1"/>
    <x v="1"/>
    <n v="1"/>
  </r>
  <r>
    <x v="32"/>
    <x v="1"/>
    <x v="2"/>
    <n v="218"/>
    <x v="1"/>
    <n v="8"/>
    <n v="1"/>
    <s v="Medical"/>
    <n v="1"/>
    <n v="1468"/>
    <n v="4"/>
    <x v="1"/>
    <n v="55"/>
    <n v="2"/>
    <x v="2"/>
    <x v="7"/>
    <n v="2"/>
    <x v="2"/>
    <n v="13757"/>
    <n v="25178"/>
    <n v="2"/>
    <s v="Y"/>
    <x v="1"/>
    <n v="11"/>
    <n v="3"/>
    <n v="3"/>
    <n v="80"/>
    <n v="1"/>
    <n v="16"/>
    <n v="5"/>
    <n v="3"/>
    <n v="9"/>
    <n v="8"/>
    <n v="4"/>
    <n v="8"/>
    <x v="0"/>
    <x v="0"/>
    <x v="3"/>
    <n v="0"/>
  </r>
  <r>
    <x v="14"/>
    <x v="1"/>
    <x v="0"/>
    <n v="866"/>
    <x v="0"/>
    <n v="5"/>
    <n v="3"/>
    <s v="Medical"/>
    <n v="1"/>
    <n v="1469"/>
    <n v="4"/>
    <x v="1"/>
    <n v="84"/>
    <n v="3"/>
    <x v="0"/>
    <x v="0"/>
    <n v="1"/>
    <x v="0"/>
    <n v="8463"/>
    <n v="23490"/>
    <n v="0"/>
    <s v="Y"/>
    <x v="1"/>
    <n v="18"/>
    <n v="3"/>
    <n v="4"/>
    <n v="80"/>
    <n v="0"/>
    <n v="6"/>
    <n v="4"/>
    <n v="3"/>
    <n v="5"/>
    <n v="4"/>
    <n v="1"/>
    <n v="3"/>
    <x v="2"/>
    <x v="2"/>
    <x v="3"/>
    <n v="0"/>
  </r>
  <r>
    <x v="20"/>
    <x v="1"/>
    <x v="2"/>
    <n v="981"/>
    <x v="1"/>
    <n v="5"/>
    <n v="3"/>
    <s v="Life Sciences"/>
    <n v="1"/>
    <n v="1471"/>
    <n v="3"/>
    <x v="1"/>
    <n v="90"/>
    <n v="2"/>
    <x v="1"/>
    <x v="2"/>
    <n v="3"/>
    <x v="0"/>
    <n v="3162"/>
    <n v="7973"/>
    <n v="3"/>
    <s v="Y"/>
    <x v="1"/>
    <n v="14"/>
    <n v="3"/>
    <n v="4"/>
    <n v="80"/>
    <n v="0"/>
    <n v="7"/>
    <n v="5"/>
    <n v="3"/>
    <n v="5"/>
    <n v="2"/>
    <n v="0"/>
    <n v="3"/>
    <x v="0"/>
    <x v="2"/>
    <x v="2"/>
    <n v="0"/>
  </r>
  <r>
    <x v="16"/>
    <x v="1"/>
    <x v="0"/>
    <n v="447"/>
    <x v="1"/>
    <n v="2"/>
    <n v="3"/>
    <s v="Medical"/>
    <n v="1"/>
    <n v="1472"/>
    <n v="4"/>
    <x v="1"/>
    <n v="39"/>
    <n v="4"/>
    <x v="3"/>
    <x v="7"/>
    <n v="2"/>
    <x v="0"/>
    <n v="16598"/>
    <n v="19764"/>
    <n v="4"/>
    <s v="Y"/>
    <x v="1"/>
    <n v="12"/>
    <n v="3"/>
    <n v="2"/>
    <n v="80"/>
    <n v="0"/>
    <n v="35"/>
    <n v="2"/>
    <n v="2"/>
    <n v="9"/>
    <n v="8"/>
    <n v="8"/>
    <n v="8"/>
    <x v="1"/>
    <x v="0"/>
    <x v="3"/>
    <n v="0"/>
  </r>
  <r>
    <x v="1"/>
    <x v="1"/>
    <x v="0"/>
    <n v="1495"/>
    <x v="1"/>
    <n v="5"/>
    <n v="4"/>
    <s v="Technical Degree"/>
    <n v="1"/>
    <n v="1473"/>
    <n v="1"/>
    <x v="1"/>
    <n v="96"/>
    <n v="3"/>
    <x v="0"/>
    <x v="4"/>
    <n v="3"/>
    <x v="1"/>
    <n v="6651"/>
    <n v="21534"/>
    <n v="2"/>
    <s v="Y"/>
    <x v="1"/>
    <n v="14"/>
    <n v="3"/>
    <n v="2"/>
    <n v="80"/>
    <n v="1"/>
    <n v="20"/>
    <n v="0"/>
    <n v="2"/>
    <n v="3"/>
    <n v="2"/>
    <n v="1"/>
    <n v="2"/>
    <x v="1"/>
    <x v="2"/>
    <x v="0"/>
    <n v="0"/>
  </r>
  <r>
    <x v="32"/>
    <x v="1"/>
    <x v="0"/>
    <n v="896"/>
    <x v="1"/>
    <n v="2"/>
    <n v="3"/>
    <s v="Medical"/>
    <n v="1"/>
    <n v="1474"/>
    <n v="3"/>
    <x v="1"/>
    <n v="68"/>
    <n v="3"/>
    <x v="1"/>
    <x v="1"/>
    <n v="3"/>
    <x v="2"/>
    <n v="2345"/>
    <n v="8045"/>
    <n v="2"/>
    <s v="Y"/>
    <x v="1"/>
    <n v="14"/>
    <n v="3"/>
    <n v="3"/>
    <n v="80"/>
    <n v="1"/>
    <n v="8"/>
    <n v="3"/>
    <n v="4"/>
    <n v="3"/>
    <n v="1"/>
    <n v="1"/>
    <n v="2"/>
    <x v="0"/>
    <x v="2"/>
    <x v="1"/>
    <n v="0"/>
  </r>
  <r>
    <x v="20"/>
    <x v="1"/>
    <x v="0"/>
    <n v="1467"/>
    <x v="1"/>
    <n v="20"/>
    <n v="3"/>
    <s v="Life Sciences"/>
    <n v="1"/>
    <n v="1475"/>
    <n v="4"/>
    <x v="1"/>
    <n v="49"/>
    <n v="3"/>
    <x v="1"/>
    <x v="1"/>
    <n v="2"/>
    <x v="0"/>
    <n v="3420"/>
    <n v="21158"/>
    <n v="1"/>
    <s v="Y"/>
    <x v="1"/>
    <n v="13"/>
    <n v="3"/>
    <n v="3"/>
    <n v="80"/>
    <n v="0"/>
    <n v="6"/>
    <n v="3"/>
    <n v="2"/>
    <n v="5"/>
    <n v="2"/>
    <n v="1"/>
    <n v="3"/>
    <x v="0"/>
    <x v="2"/>
    <x v="2"/>
    <n v="0"/>
  </r>
  <r>
    <x v="3"/>
    <x v="1"/>
    <x v="1"/>
    <n v="430"/>
    <x v="0"/>
    <n v="7"/>
    <n v="3"/>
    <s v="Medical"/>
    <n v="1"/>
    <n v="1477"/>
    <n v="4"/>
    <x v="1"/>
    <n v="54"/>
    <n v="3"/>
    <x v="0"/>
    <x v="0"/>
    <n v="1"/>
    <x v="1"/>
    <n v="4373"/>
    <n v="17456"/>
    <n v="0"/>
    <s v="Y"/>
    <x v="1"/>
    <n v="14"/>
    <n v="3"/>
    <n v="1"/>
    <n v="80"/>
    <n v="2"/>
    <n v="5"/>
    <n v="2"/>
    <n v="3"/>
    <n v="4"/>
    <n v="3"/>
    <n v="0"/>
    <n v="3"/>
    <x v="2"/>
    <x v="2"/>
    <x v="2"/>
    <n v="0"/>
  </r>
  <r>
    <x v="13"/>
    <x v="1"/>
    <x v="0"/>
    <n v="1326"/>
    <x v="0"/>
    <n v="3"/>
    <n v="3"/>
    <s v="Other"/>
    <n v="1"/>
    <n v="1478"/>
    <n v="4"/>
    <x v="1"/>
    <n v="81"/>
    <n v="1"/>
    <x v="0"/>
    <x v="0"/>
    <n v="1"/>
    <x v="0"/>
    <n v="4759"/>
    <n v="15891"/>
    <n v="3"/>
    <s v="Y"/>
    <x v="1"/>
    <n v="18"/>
    <n v="3"/>
    <n v="4"/>
    <n v="80"/>
    <n v="0"/>
    <n v="15"/>
    <n v="2"/>
    <n v="3"/>
    <n v="13"/>
    <n v="9"/>
    <n v="3"/>
    <n v="12"/>
    <x v="2"/>
    <x v="3"/>
    <x v="2"/>
    <n v="0"/>
  </r>
  <r>
    <x v="7"/>
    <x v="1"/>
    <x v="0"/>
    <n v="1358"/>
    <x v="0"/>
    <n v="16"/>
    <n v="1"/>
    <s v="Life Sciences"/>
    <n v="1"/>
    <n v="1479"/>
    <n v="4"/>
    <x v="1"/>
    <n v="96"/>
    <n v="3"/>
    <x v="0"/>
    <x v="0"/>
    <n v="3"/>
    <x v="1"/>
    <n v="5301"/>
    <n v="2939"/>
    <n v="8"/>
    <s v="Y"/>
    <x v="1"/>
    <n v="15"/>
    <n v="3"/>
    <n v="3"/>
    <n v="80"/>
    <n v="2"/>
    <n v="4"/>
    <n v="2"/>
    <n v="2"/>
    <n v="2"/>
    <n v="1"/>
    <n v="2"/>
    <n v="2"/>
    <x v="2"/>
    <x v="1"/>
    <x v="0"/>
    <n v="0"/>
  </r>
  <r>
    <x v="19"/>
    <x v="1"/>
    <x v="1"/>
    <n v="748"/>
    <x v="1"/>
    <n v="9"/>
    <n v="2"/>
    <s v="Medical"/>
    <n v="1"/>
    <n v="1480"/>
    <n v="1"/>
    <x v="0"/>
    <n v="74"/>
    <n v="3"/>
    <x v="1"/>
    <x v="2"/>
    <n v="4"/>
    <x v="0"/>
    <n v="3673"/>
    <n v="16458"/>
    <n v="1"/>
    <s v="Y"/>
    <x v="1"/>
    <n v="13"/>
    <n v="3"/>
    <n v="3"/>
    <n v="80"/>
    <n v="0"/>
    <n v="12"/>
    <n v="3"/>
    <n v="3"/>
    <n v="12"/>
    <n v="9"/>
    <n v="5"/>
    <n v="8"/>
    <x v="0"/>
    <x v="3"/>
    <x v="2"/>
    <n v="0"/>
  </r>
  <r>
    <x v="20"/>
    <x v="1"/>
    <x v="1"/>
    <n v="383"/>
    <x v="0"/>
    <n v="1"/>
    <n v="5"/>
    <s v="Marketing"/>
    <n v="1"/>
    <n v="1481"/>
    <n v="1"/>
    <x v="0"/>
    <n v="79"/>
    <n v="3"/>
    <x v="0"/>
    <x v="0"/>
    <n v="3"/>
    <x v="1"/>
    <n v="4768"/>
    <n v="9282"/>
    <n v="7"/>
    <s v="Y"/>
    <x v="1"/>
    <n v="12"/>
    <n v="3"/>
    <n v="3"/>
    <n v="80"/>
    <n v="1"/>
    <n v="11"/>
    <n v="4"/>
    <n v="2"/>
    <n v="1"/>
    <n v="0"/>
    <n v="0"/>
    <n v="0"/>
    <x v="0"/>
    <x v="1"/>
    <x v="2"/>
    <n v="0"/>
  </r>
  <r>
    <x v="7"/>
    <x v="1"/>
    <x v="2"/>
    <n v="990"/>
    <x v="1"/>
    <n v="7"/>
    <n v="3"/>
    <s v="Technical Degree"/>
    <n v="1"/>
    <n v="1482"/>
    <n v="3"/>
    <x v="1"/>
    <n v="64"/>
    <n v="3"/>
    <x v="1"/>
    <x v="1"/>
    <n v="3"/>
    <x v="2"/>
    <n v="1274"/>
    <n v="7152"/>
    <n v="1"/>
    <s v="Y"/>
    <x v="1"/>
    <n v="13"/>
    <n v="3"/>
    <n v="2"/>
    <n v="80"/>
    <n v="2"/>
    <n v="1"/>
    <n v="2"/>
    <n v="2"/>
    <n v="1"/>
    <n v="0"/>
    <n v="0"/>
    <n v="0"/>
    <x v="2"/>
    <x v="1"/>
    <x v="1"/>
    <n v="0"/>
  </r>
  <r>
    <x v="38"/>
    <x v="1"/>
    <x v="0"/>
    <n v="405"/>
    <x v="1"/>
    <n v="1"/>
    <n v="2"/>
    <s v="Life Sciences"/>
    <n v="1"/>
    <n v="1483"/>
    <n v="2"/>
    <x v="1"/>
    <n v="93"/>
    <n v="4"/>
    <x v="0"/>
    <x v="1"/>
    <n v="3"/>
    <x v="1"/>
    <n v="4900"/>
    <n v="2721"/>
    <n v="0"/>
    <s v="Y"/>
    <x v="1"/>
    <n v="24"/>
    <n v="4"/>
    <n v="1"/>
    <n v="80"/>
    <n v="1"/>
    <n v="13"/>
    <n v="2"/>
    <n v="2"/>
    <n v="12"/>
    <n v="9"/>
    <n v="2"/>
    <n v="8"/>
    <x v="3"/>
    <x v="3"/>
    <x v="2"/>
    <n v="0"/>
  </r>
  <r>
    <x v="1"/>
    <x v="1"/>
    <x v="0"/>
    <n v="1490"/>
    <x v="1"/>
    <n v="7"/>
    <n v="4"/>
    <s v="Life Sciences"/>
    <n v="1"/>
    <n v="1484"/>
    <n v="3"/>
    <x v="1"/>
    <n v="35"/>
    <n v="3"/>
    <x v="2"/>
    <x v="4"/>
    <n v="2"/>
    <x v="2"/>
    <n v="10466"/>
    <n v="20948"/>
    <n v="3"/>
    <s v="Y"/>
    <x v="1"/>
    <n v="14"/>
    <n v="3"/>
    <n v="2"/>
    <n v="80"/>
    <n v="2"/>
    <n v="29"/>
    <n v="3"/>
    <n v="3"/>
    <n v="8"/>
    <n v="7"/>
    <n v="0"/>
    <n v="7"/>
    <x v="1"/>
    <x v="0"/>
    <x v="3"/>
    <n v="0"/>
  </r>
  <r>
    <x v="13"/>
    <x v="1"/>
    <x v="1"/>
    <n v="829"/>
    <x v="1"/>
    <n v="15"/>
    <n v="3"/>
    <s v="Medical"/>
    <n v="1"/>
    <n v="1485"/>
    <n v="2"/>
    <x v="1"/>
    <n v="71"/>
    <n v="3"/>
    <x v="3"/>
    <x v="7"/>
    <n v="1"/>
    <x v="2"/>
    <n v="17007"/>
    <n v="11929"/>
    <n v="7"/>
    <s v="Y"/>
    <x v="1"/>
    <n v="14"/>
    <n v="3"/>
    <n v="4"/>
    <n v="80"/>
    <n v="2"/>
    <n v="16"/>
    <n v="3"/>
    <n v="2"/>
    <n v="14"/>
    <n v="8"/>
    <n v="6"/>
    <n v="9"/>
    <x v="2"/>
    <x v="3"/>
    <x v="3"/>
    <n v="0"/>
  </r>
  <r>
    <x v="14"/>
    <x v="0"/>
    <x v="1"/>
    <n v="1496"/>
    <x v="0"/>
    <n v="1"/>
    <n v="3"/>
    <s v="Technical Degree"/>
    <n v="1"/>
    <n v="1486"/>
    <n v="1"/>
    <x v="1"/>
    <n v="92"/>
    <n v="3"/>
    <x v="1"/>
    <x v="6"/>
    <n v="3"/>
    <x v="1"/>
    <n v="2909"/>
    <n v="15747"/>
    <n v="3"/>
    <s v="Y"/>
    <x v="1"/>
    <n v="15"/>
    <n v="3"/>
    <n v="4"/>
    <n v="80"/>
    <n v="1"/>
    <n v="5"/>
    <n v="3"/>
    <n v="4"/>
    <n v="3"/>
    <n v="2"/>
    <n v="1"/>
    <n v="2"/>
    <x v="2"/>
    <x v="2"/>
    <x v="1"/>
    <n v="1"/>
  </r>
  <r>
    <x v="11"/>
    <x v="0"/>
    <x v="1"/>
    <n v="115"/>
    <x v="0"/>
    <n v="13"/>
    <n v="3"/>
    <s v="Technical Degree"/>
    <n v="1"/>
    <n v="1487"/>
    <n v="1"/>
    <x v="0"/>
    <n v="51"/>
    <n v="3"/>
    <x v="0"/>
    <x v="0"/>
    <n v="2"/>
    <x v="0"/>
    <n v="5765"/>
    <n v="17485"/>
    <n v="5"/>
    <s v="Y"/>
    <x v="1"/>
    <n v="11"/>
    <n v="3"/>
    <n v="1"/>
    <n v="80"/>
    <n v="0"/>
    <n v="7"/>
    <n v="4"/>
    <n v="1"/>
    <n v="5"/>
    <n v="3"/>
    <n v="0"/>
    <n v="0"/>
    <x v="2"/>
    <x v="2"/>
    <x v="0"/>
    <n v="1"/>
  </r>
  <r>
    <x v="13"/>
    <x v="0"/>
    <x v="0"/>
    <n v="790"/>
    <x v="0"/>
    <n v="24"/>
    <n v="4"/>
    <s v="Medical"/>
    <n v="1"/>
    <n v="1489"/>
    <n v="1"/>
    <x v="0"/>
    <n v="40"/>
    <n v="2"/>
    <x v="0"/>
    <x v="0"/>
    <n v="2"/>
    <x v="0"/>
    <n v="4599"/>
    <n v="7815"/>
    <n v="0"/>
    <s v="Y"/>
    <x v="0"/>
    <n v="23"/>
    <n v="4"/>
    <n v="3"/>
    <n v="80"/>
    <n v="0"/>
    <n v="16"/>
    <n v="2"/>
    <n v="4"/>
    <n v="15"/>
    <n v="9"/>
    <n v="10"/>
    <n v="10"/>
    <x v="2"/>
    <x v="3"/>
    <x v="2"/>
    <n v="1"/>
  </r>
  <r>
    <x v="10"/>
    <x v="1"/>
    <x v="0"/>
    <n v="660"/>
    <x v="0"/>
    <n v="7"/>
    <n v="1"/>
    <s v="Life Sciences"/>
    <n v="1"/>
    <n v="1492"/>
    <n v="4"/>
    <x v="1"/>
    <n v="76"/>
    <n v="3"/>
    <x v="1"/>
    <x v="6"/>
    <n v="3"/>
    <x v="1"/>
    <n v="2404"/>
    <n v="16192"/>
    <n v="1"/>
    <s v="Y"/>
    <x v="1"/>
    <n v="13"/>
    <n v="3"/>
    <n v="1"/>
    <n v="80"/>
    <n v="1"/>
    <n v="1"/>
    <n v="3"/>
    <n v="3"/>
    <n v="1"/>
    <n v="0"/>
    <n v="0"/>
    <n v="0"/>
    <x v="0"/>
    <x v="1"/>
    <x v="1"/>
    <n v="0"/>
  </r>
  <r>
    <x v="17"/>
    <x v="0"/>
    <x v="1"/>
    <n v="381"/>
    <x v="1"/>
    <n v="9"/>
    <n v="3"/>
    <s v="Medical"/>
    <n v="1"/>
    <n v="1494"/>
    <n v="2"/>
    <x v="1"/>
    <n v="89"/>
    <n v="3"/>
    <x v="1"/>
    <x v="2"/>
    <n v="1"/>
    <x v="0"/>
    <n v="3172"/>
    <n v="16998"/>
    <n v="2"/>
    <s v="Y"/>
    <x v="0"/>
    <n v="11"/>
    <n v="3"/>
    <n v="3"/>
    <n v="80"/>
    <n v="0"/>
    <n v="4"/>
    <n v="2"/>
    <n v="2"/>
    <n v="0"/>
    <n v="0"/>
    <n v="0"/>
    <n v="0"/>
    <x v="4"/>
    <x v="1"/>
    <x v="2"/>
    <n v="1"/>
  </r>
  <r>
    <x v="17"/>
    <x v="1"/>
    <x v="2"/>
    <n v="830"/>
    <x v="0"/>
    <n v="13"/>
    <n v="2"/>
    <s v="Life Sciences"/>
    <n v="1"/>
    <n v="1495"/>
    <n v="4"/>
    <x v="0"/>
    <n v="78"/>
    <n v="3"/>
    <x v="1"/>
    <x v="6"/>
    <n v="2"/>
    <x v="1"/>
    <n v="2033"/>
    <n v="7103"/>
    <n v="1"/>
    <s v="Y"/>
    <x v="1"/>
    <n v="13"/>
    <n v="3"/>
    <n v="3"/>
    <n v="80"/>
    <n v="1"/>
    <n v="1"/>
    <n v="2"/>
    <n v="3"/>
    <n v="1"/>
    <n v="0"/>
    <n v="0"/>
    <n v="0"/>
    <x v="4"/>
    <x v="1"/>
    <x v="1"/>
    <n v="0"/>
  </r>
  <r>
    <x v="20"/>
    <x v="1"/>
    <x v="1"/>
    <n v="1193"/>
    <x v="1"/>
    <n v="2"/>
    <n v="1"/>
    <s v="Medical"/>
    <n v="1"/>
    <n v="1496"/>
    <n v="2"/>
    <x v="1"/>
    <n v="86"/>
    <n v="3"/>
    <x v="2"/>
    <x v="3"/>
    <n v="3"/>
    <x v="0"/>
    <n v="10209"/>
    <n v="19719"/>
    <n v="5"/>
    <s v="Y"/>
    <x v="0"/>
    <n v="18"/>
    <n v="3"/>
    <n v="2"/>
    <n v="80"/>
    <n v="0"/>
    <n v="16"/>
    <n v="2"/>
    <n v="2"/>
    <n v="2"/>
    <n v="2"/>
    <n v="2"/>
    <n v="2"/>
    <x v="0"/>
    <x v="1"/>
    <x v="3"/>
    <n v="0"/>
  </r>
  <r>
    <x v="11"/>
    <x v="1"/>
    <x v="0"/>
    <n v="1246"/>
    <x v="0"/>
    <n v="19"/>
    <n v="3"/>
    <s v="Life Sciences"/>
    <n v="1"/>
    <n v="1497"/>
    <n v="3"/>
    <x v="1"/>
    <n v="77"/>
    <n v="2"/>
    <x v="0"/>
    <x v="0"/>
    <n v="3"/>
    <x v="2"/>
    <n v="8620"/>
    <n v="23757"/>
    <n v="1"/>
    <s v="Y"/>
    <x v="1"/>
    <n v="14"/>
    <n v="3"/>
    <n v="3"/>
    <n v="80"/>
    <n v="2"/>
    <n v="10"/>
    <n v="3"/>
    <n v="3"/>
    <n v="10"/>
    <n v="7"/>
    <n v="0"/>
    <n v="4"/>
    <x v="2"/>
    <x v="0"/>
    <x v="3"/>
    <n v="0"/>
  </r>
  <r>
    <x v="7"/>
    <x v="1"/>
    <x v="0"/>
    <n v="330"/>
    <x v="2"/>
    <n v="1"/>
    <n v="3"/>
    <s v="Life Sciences"/>
    <n v="1"/>
    <n v="1499"/>
    <n v="3"/>
    <x v="1"/>
    <n v="46"/>
    <n v="3"/>
    <x v="1"/>
    <x v="8"/>
    <n v="3"/>
    <x v="2"/>
    <n v="2064"/>
    <n v="15428"/>
    <n v="0"/>
    <s v="Y"/>
    <x v="1"/>
    <n v="21"/>
    <n v="4"/>
    <n v="1"/>
    <n v="80"/>
    <n v="1"/>
    <n v="6"/>
    <n v="3"/>
    <n v="4"/>
    <n v="5"/>
    <n v="3"/>
    <n v="1"/>
    <n v="3"/>
    <x v="2"/>
    <x v="2"/>
    <x v="1"/>
    <n v="0"/>
  </r>
  <r>
    <x v="27"/>
    <x v="1"/>
    <x v="0"/>
    <n v="1229"/>
    <x v="1"/>
    <n v="4"/>
    <n v="4"/>
    <s v="Life Sciences"/>
    <n v="1"/>
    <n v="1501"/>
    <n v="4"/>
    <x v="1"/>
    <n v="30"/>
    <n v="3"/>
    <x v="0"/>
    <x v="4"/>
    <n v="3"/>
    <x v="1"/>
    <n v="4035"/>
    <n v="16143"/>
    <n v="0"/>
    <s v="Y"/>
    <x v="0"/>
    <n v="16"/>
    <n v="3"/>
    <n v="2"/>
    <n v="80"/>
    <n v="0"/>
    <n v="4"/>
    <n v="2"/>
    <n v="3"/>
    <n v="3"/>
    <n v="2"/>
    <n v="1"/>
    <n v="2"/>
    <x v="3"/>
    <x v="2"/>
    <x v="2"/>
    <n v="0"/>
  </r>
  <r>
    <x v="3"/>
    <x v="1"/>
    <x v="0"/>
    <n v="1099"/>
    <x v="1"/>
    <n v="4"/>
    <n v="4"/>
    <s v="Medical"/>
    <n v="1"/>
    <n v="1502"/>
    <n v="1"/>
    <x v="0"/>
    <n v="82"/>
    <n v="2"/>
    <x v="1"/>
    <x v="2"/>
    <n v="2"/>
    <x v="1"/>
    <n v="3838"/>
    <n v="8192"/>
    <n v="8"/>
    <s v="Y"/>
    <x v="1"/>
    <n v="11"/>
    <n v="3"/>
    <n v="4"/>
    <n v="80"/>
    <n v="0"/>
    <n v="8"/>
    <n v="5"/>
    <n v="3"/>
    <n v="5"/>
    <n v="4"/>
    <n v="0"/>
    <n v="2"/>
    <x v="2"/>
    <x v="2"/>
    <x v="2"/>
    <n v="0"/>
  </r>
  <r>
    <x v="40"/>
    <x v="1"/>
    <x v="0"/>
    <n v="571"/>
    <x v="0"/>
    <n v="14"/>
    <n v="3"/>
    <s v="Medical"/>
    <n v="1"/>
    <n v="1503"/>
    <n v="3"/>
    <x v="0"/>
    <n v="78"/>
    <n v="3"/>
    <x v="0"/>
    <x v="0"/>
    <n v="3"/>
    <x v="1"/>
    <n v="4591"/>
    <n v="24200"/>
    <n v="3"/>
    <s v="Y"/>
    <x v="0"/>
    <n v="17"/>
    <n v="3"/>
    <n v="3"/>
    <n v="80"/>
    <n v="1"/>
    <n v="11"/>
    <n v="4"/>
    <n v="2"/>
    <n v="5"/>
    <n v="4"/>
    <n v="1"/>
    <n v="2"/>
    <x v="1"/>
    <x v="2"/>
    <x v="2"/>
    <n v="0"/>
  </r>
  <r>
    <x v="14"/>
    <x v="0"/>
    <x v="1"/>
    <n v="289"/>
    <x v="1"/>
    <n v="2"/>
    <n v="2"/>
    <s v="Medical"/>
    <n v="1"/>
    <n v="1504"/>
    <n v="3"/>
    <x v="1"/>
    <n v="38"/>
    <n v="2"/>
    <x v="1"/>
    <x v="2"/>
    <n v="1"/>
    <x v="0"/>
    <n v="2561"/>
    <n v="5355"/>
    <n v="7"/>
    <s v="Y"/>
    <x v="1"/>
    <n v="11"/>
    <n v="3"/>
    <n v="3"/>
    <n v="80"/>
    <n v="0"/>
    <n v="8"/>
    <n v="2"/>
    <n v="2"/>
    <n v="0"/>
    <n v="0"/>
    <n v="0"/>
    <n v="0"/>
    <x v="2"/>
    <x v="1"/>
    <x v="1"/>
    <n v="1"/>
  </r>
  <r>
    <x v="14"/>
    <x v="1"/>
    <x v="0"/>
    <n v="1423"/>
    <x v="1"/>
    <n v="1"/>
    <n v="3"/>
    <s v="Life Sciences"/>
    <n v="1"/>
    <n v="1506"/>
    <n v="1"/>
    <x v="1"/>
    <n v="72"/>
    <n v="2"/>
    <x v="1"/>
    <x v="1"/>
    <n v="3"/>
    <x v="2"/>
    <n v="1563"/>
    <n v="12530"/>
    <n v="1"/>
    <s v="Y"/>
    <x v="1"/>
    <n v="14"/>
    <n v="3"/>
    <n v="4"/>
    <n v="80"/>
    <n v="1"/>
    <n v="1"/>
    <n v="2"/>
    <n v="1"/>
    <n v="1"/>
    <n v="0"/>
    <n v="0"/>
    <n v="0"/>
    <x v="2"/>
    <x v="1"/>
    <x v="1"/>
    <n v="0"/>
  </r>
  <r>
    <x v="14"/>
    <x v="1"/>
    <x v="1"/>
    <n v="467"/>
    <x v="0"/>
    <n v="7"/>
    <n v="3"/>
    <s v="Life Sciences"/>
    <n v="1"/>
    <n v="1507"/>
    <n v="3"/>
    <x v="1"/>
    <n v="55"/>
    <n v="3"/>
    <x v="0"/>
    <x v="0"/>
    <n v="1"/>
    <x v="0"/>
    <n v="4898"/>
    <n v="11827"/>
    <n v="0"/>
    <s v="Y"/>
    <x v="1"/>
    <n v="14"/>
    <n v="3"/>
    <n v="4"/>
    <n v="80"/>
    <n v="0"/>
    <n v="5"/>
    <n v="5"/>
    <n v="3"/>
    <n v="4"/>
    <n v="2"/>
    <n v="1"/>
    <n v="3"/>
    <x v="2"/>
    <x v="2"/>
    <x v="2"/>
    <n v="0"/>
  </r>
  <r>
    <x v="1"/>
    <x v="1"/>
    <x v="0"/>
    <n v="271"/>
    <x v="1"/>
    <n v="3"/>
    <n v="2"/>
    <s v="Medical"/>
    <n v="1"/>
    <n v="1509"/>
    <n v="3"/>
    <x v="0"/>
    <n v="43"/>
    <n v="2"/>
    <x v="0"/>
    <x v="2"/>
    <n v="1"/>
    <x v="1"/>
    <n v="4789"/>
    <n v="23070"/>
    <n v="4"/>
    <s v="Y"/>
    <x v="1"/>
    <n v="25"/>
    <n v="4"/>
    <n v="1"/>
    <n v="80"/>
    <n v="1"/>
    <n v="10"/>
    <n v="3"/>
    <n v="3"/>
    <n v="3"/>
    <n v="2"/>
    <n v="1"/>
    <n v="2"/>
    <x v="1"/>
    <x v="2"/>
    <x v="2"/>
    <n v="0"/>
  </r>
  <r>
    <x v="11"/>
    <x v="1"/>
    <x v="1"/>
    <n v="410"/>
    <x v="1"/>
    <n v="2"/>
    <n v="1"/>
    <s v="Life Sciences"/>
    <n v="1"/>
    <n v="1513"/>
    <n v="4"/>
    <x v="0"/>
    <n v="97"/>
    <n v="3"/>
    <x v="1"/>
    <x v="2"/>
    <n v="2"/>
    <x v="1"/>
    <n v="3180"/>
    <n v="4668"/>
    <n v="0"/>
    <s v="Y"/>
    <x v="1"/>
    <n v="13"/>
    <n v="3"/>
    <n v="3"/>
    <n v="80"/>
    <n v="3"/>
    <n v="4"/>
    <n v="3"/>
    <n v="3"/>
    <n v="3"/>
    <n v="2"/>
    <n v="0"/>
    <n v="2"/>
    <x v="2"/>
    <x v="2"/>
    <x v="2"/>
    <n v="0"/>
  </r>
  <r>
    <x v="14"/>
    <x v="1"/>
    <x v="0"/>
    <n v="1083"/>
    <x v="1"/>
    <n v="29"/>
    <n v="1"/>
    <s v="Life Sciences"/>
    <n v="1"/>
    <n v="1514"/>
    <n v="3"/>
    <x v="1"/>
    <n v="96"/>
    <n v="1"/>
    <x v="0"/>
    <x v="3"/>
    <n v="2"/>
    <x v="1"/>
    <n v="6549"/>
    <n v="3173"/>
    <n v="1"/>
    <s v="Y"/>
    <x v="1"/>
    <n v="14"/>
    <n v="3"/>
    <n v="2"/>
    <n v="80"/>
    <n v="2"/>
    <n v="8"/>
    <n v="2"/>
    <n v="2"/>
    <n v="8"/>
    <n v="6"/>
    <n v="1"/>
    <n v="7"/>
    <x v="2"/>
    <x v="0"/>
    <x v="0"/>
    <n v="0"/>
  </r>
  <r>
    <x v="3"/>
    <x v="1"/>
    <x v="0"/>
    <n v="516"/>
    <x v="1"/>
    <n v="8"/>
    <n v="5"/>
    <s v="Life Sciences"/>
    <n v="1"/>
    <n v="1515"/>
    <n v="4"/>
    <x v="1"/>
    <n v="69"/>
    <n v="3"/>
    <x v="0"/>
    <x v="4"/>
    <n v="3"/>
    <x v="0"/>
    <n v="6388"/>
    <n v="22049"/>
    <n v="2"/>
    <s v="Y"/>
    <x v="0"/>
    <n v="17"/>
    <n v="3"/>
    <n v="1"/>
    <n v="80"/>
    <n v="0"/>
    <n v="14"/>
    <n v="6"/>
    <n v="3"/>
    <n v="0"/>
    <n v="0"/>
    <n v="0"/>
    <n v="0"/>
    <x v="2"/>
    <x v="1"/>
    <x v="0"/>
    <n v="0"/>
  </r>
  <r>
    <x v="5"/>
    <x v="1"/>
    <x v="0"/>
    <n v="495"/>
    <x v="1"/>
    <n v="10"/>
    <n v="3"/>
    <s v="Medical"/>
    <n v="1"/>
    <n v="1516"/>
    <n v="3"/>
    <x v="1"/>
    <n v="64"/>
    <n v="3"/>
    <x v="2"/>
    <x v="5"/>
    <n v="4"/>
    <x v="0"/>
    <n v="11244"/>
    <n v="21072"/>
    <n v="2"/>
    <s v="Y"/>
    <x v="1"/>
    <n v="25"/>
    <n v="4"/>
    <n v="2"/>
    <n v="80"/>
    <n v="0"/>
    <n v="10"/>
    <n v="5"/>
    <n v="4"/>
    <n v="5"/>
    <n v="2"/>
    <n v="0"/>
    <n v="0"/>
    <x v="2"/>
    <x v="2"/>
    <x v="3"/>
    <n v="0"/>
  </r>
  <r>
    <x v="33"/>
    <x v="1"/>
    <x v="1"/>
    <n v="1050"/>
    <x v="1"/>
    <n v="11"/>
    <n v="4"/>
    <s v="Medical"/>
    <n v="1"/>
    <n v="1520"/>
    <n v="2"/>
    <x v="0"/>
    <n v="87"/>
    <n v="3"/>
    <x v="3"/>
    <x v="5"/>
    <n v="4"/>
    <x v="2"/>
    <n v="16032"/>
    <n v="24456"/>
    <n v="3"/>
    <s v="Y"/>
    <x v="1"/>
    <n v="20"/>
    <n v="4"/>
    <n v="1"/>
    <n v="80"/>
    <n v="1"/>
    <n v="26"/>
    <n v="2"/>
    <n v="3"/>
    <n v="14"/>
    <n v="9"/>
    <n v="1"/>
    <n v="12"/>
    <x v="1"/>
    <x v="3"/>
    <x v="3"/>
    <n v="0"/>
  </r>
  <r>
    <x v="11"/>
    <x v="0"/>
    <x v="0"/>
    <n v="224"/>
    <x v="1"/>
    <n v="1"/>
    <n v="4"/>
    <s v="Technical Degree"/>
    <n v="1"/>
    <n v="1522"/>
    <n v="1"/>
    <x v="1"/>
    <n v="100"/>
    <n v="2"/>
    <x v="1"/>
    <x v="1"/>
    <n v="1"/>
    <x v="0"/>
    <n v="2362"/>
    <n v="7568"/>
    <n v="6"/>
    <s v="Y"/>
    <x v="1"/>
    <n v="13"/>
    <n v="3"/>
    <n v="3"/>
    <n v="80"/>
    <n v="0"/>
    <n v="11"/>
    <n v="2"/>
    <n v="1"/>
    <n v="9"/>
    <n v="7"/>
    <n v="0"/>
    <n v="7"/>
    <x v="2"/>
    <x v="0"/>
    <x v="1"/>
    <n v="1"/>
  </r>
  <r>
    <x v="20"/>
    <x v="1"/>
    <x v="0"/>
    <n v="136"/>
    <x v="1"/>
    <n v="28"/>
    <n v="3"/>
    <s v="Life Sciences"/>
    <n v="1"/>
    <n v="1523"/>
    <n v="4"/>
    <x v="1"/>
    <n v="32"/>
    <n v="3"/>
    <x v="3"/>
    <x v="7"/>
    <n v="1"/>
    <x v="1"/>
    <n v="16328"/>
    <n v="22074"/>
    <n v="3"/>
    <s v="Y"/>
    <x v="1"/>
    <n v="13"/>
    <n v="3"/>
    <n v="3"/>
    <n v="80"/>
    <n v="1"/>
    <n v="24"/>
    <n v="1"/>
    <n v="4"/>
    <n v="20"/>
    <n v="6"/>
    <n v="14"/>
    <n v="17"/>
    <x v="0"/>
    <x v="3"/>
    <x v="3"/>
    <n v="0"/>
  </r>
  <r>
    <x v="22"/>
    <x v="1"/>
    <x v="0"/>
    <n v="1089"/>
    <x v="1"/>
    <n v="6"/>
    <n v="3"/>
    <s v="Life Sciences"/>
    <n v="1"/>
    <n v="1525"/>
    <n v="2"/>
    <x v="0"/>
    <n v="32"/>
    <n v="3"/>
    <x v="2"/>
    <x v="3"/>
    <n v="2"/>
    <x v="0"/>
    <n v="8376"/>
    <n v="9150"/>
    <n v="4"/>
    <s v="Y"/>
    <x v="1"/>
    <n v="18"/>
    <n v="3"/>
    <n v="4"/>
    <n v="80"/>
    <n v="0"/>
    <n v="9"/>
    <n v="3"/>
    <n v="3"/>
    <n v="2"/>
    <n v="0"/>
    <n v="2"/>
    <n v="2"/>
    <x v="0"/>
    <x v="1"/>
    <x v="3"/>
    <n v="0"/>
  </r>
  <r>
    <x v="21"/>
    <x v="1"/>
    <x v="0"/>
    <n v="228"/>
    <x v="0"/>
    <n v="3"/>
    <n v="3"/>
    <s v="Life Sciences"/>
    <n v="1"/>
    <n v="1527"/>
    <n v="3"/>
    <x v="0"/>
    <n v="51"/>
    <n v="3"/>
    <x v="3"/>
    <x v="5"/>
    <n v="2"/>
    <x v="1"/>
    <n v="16606"/>
    <n v="11380"/>
    <n v="8"/>
    <s v="Y"/>
    <x v="1"/>
    <n v="12"/>
    <n v="3"/>
    <n v="4"/>
    <n v="80"/>
    <n v="1"/>
    <n v="23"/>
    <n v="2"/>
    <n v="4"/>
    <n v="13"/>
    <n v="12"/>
    <n v="5"/>
    <n v="1"/>
    <x v="1"/>
    <x v="3"/>
    <x v="3"/>
    <n v="0"/>
  </r>
  <r>
    <x v="10"/>
    <x v="1"/>
    <x v="0"/>
    <n v="1029"/>
    <x v="1"/>
    <n v="16"/>
    <n v="3"/>
    <s v="Life Sciences"/>
    <n v="1"/>
    <n v="1529"/>
    <n v="4"/>
    <x v="0"/>
    <n v="91"/>
    <n v="2"/>
    <x v="2"/>
    <x v="4"/>
    <n v="2"/>
    <x v="0"/>
    <n v="8606"/>
    <n v="21195"/>
    <n v="1"/>
    <s v="Y"/>
    <x v="1"/>
    <n v="19"/>
    <n v="3"/>
    <n v="4"/>
    <n v="80"/>
    <n v="0"/>
    <n v="11"/>
    <n v="3"/>
    <n v="1"/>
    <n v="11"/>
    <n v="8"/>
    <n v="3"/>
    <n v="3"/>
    <x v="0"/>
    <x v="3"/>
    <x v="3"/>
    <n v="0"/>
  </r>
  <r>
    <x v="30"/>
    <x v="1"/>
    <x v="0"/>
    <n v="507"/>
    <x v="1"/>
    <n v="20"/>
    <n v="1"/>
    <s v="Life Sciences"/>
    <n v="1"/>
    <n v="1533"/>
    <n v="1"/>
    <x v="1"/>
    <n v="97"/>
    <n v="3"/>
    <x v="0"/>
    <x v="2"/>
    <n v="3"/>
    <x v="0"/>
    <n v="2272"/>
    <n v="24812"/>
    <n v="0"/>
    <s v="Y"/>
    <x v="1"/>
    <n v="14"/>
    <n v="3"/>
    <n v="2"/>
    <n v="80"/>
    <n v="0"/>
    <n v="5"/>
    <n v="2"/>
    <n v="3"/>
    <n v="4"/>
    <n v="3"/>
    <n v="1"/>
    <n v="2"/>
    <x v="4"/>
    <x v="2"/>
    <x v="1"/>
    <n v="0"/>
  </r>
  <r>
    <x v="32"/>
    <x v="0"/>
    <x v="0"/>
    <n v="676"/>
    <x v="1"/>
    <n v="9"/>
    <n v="4"/>
    <s v="Life Sciences"/>
    <n v="1"/>
    <n v="1534"/>
    <n v="4"/>
    <x v="1"/>
    <n v="86"/>
    <n v="3"/>
    <x v="1"/>
    <x v="2"/>
    <n v="1"/>
    <x v="0"/>
    <n v="2018"/>
    <n v="21831"/>
    <n v="3"/>
    <s v="Y"/>
    <x v="1"/>
    <n v="14"/>
    <n v="3"/>
    <n v="2"/>
    <n v="80"/>
    <n v="0"/>
    <n v="15"/>
    <n v="3"/>
    <n v="1"/>
    <n v="5"/>
    <n v="4"/>
    <n v="1"/>
    <n v="0"/>
    <x v="0"/>
    <x v="2"/>
    <x v="1"/>
    <n v="1"/>
  </r>
  <r>
    <x v="13"/>
    <x v="1"/>
    <x v="0"/>
    <n v="971"/>
    <x v="0"/>
    <n v="1"/>
    <n v="3"/>
    <s v="Technical Degree"/>
    <n v="1"/>
    <n v="1535"/>
    <n v="4"/>
    <x v="1"/>
    <n v="64"/>
    <n v="2"/>
    <x v="2"/>
    <x v="0"/>
    <n v="3"/>
    <x v="1"/>
    <n v="7083"/>
    <n v="12288"/>
    <n v="1"/>
    <s v="Y"/>
    <x v="0"/>
    <n v="14"/>
    <n v="3"/>
    <n v="4"/>
    <n v="80"/>
    <n v="0"/>
    <n v="10"/>
    <n v="3"/>
    <n v="3"/>
    <n v="10"/>
    <n v="9"/>
    <n v="8"/>
    <n v="6"/>
    <x v="2"/>
    <x v="0"/>
    <x v="0"/>
    <n v="0"/>
  </r>
  <r>
    <x v="12"/>
    <x v="0"/>
    <x v="1"/>
    <n v="561"/>
    <x v="1"/>
    <n v="3"/>
    <n v="3"/>
    <s v="Life Sciences"/>
    <n v="1"/>
    <n v="1537"/>
    <n v="4"/>
    <x v="0"/>
    <n v="33"/>
    <n v="3"/>
    <x v="1"/>
    <x v="1"/>
    <n v="3"/>
    <x v="0"/>
    <n v="4084"/>
    <n v="4156"/>
    <n v="1"/>
    <s v="Y"/>
    <x v="1"/>
    <n v="12"/>
    <n v="3"/>
    <n v="1"/>
    <n v="80"/>
    <n v="0"/>
    <n v="7"/>
    <n v="2"/>
    <n v="1"/>
    <n v="7"/>
    <n v="2"/>
    <n v="7"/>
    <n v="7"/>
    <x v="2"/>
    <x v="0"/>
    <x v="2"/>
    <n v="1"/>
  </r>
  <r>
    <x v="24"/>
    <x v="1"/>
    <x v="1"/>
    <n v="333"/>
    <x v="1"/>
    <n v="22"/>
    <n v="5"/>
    <s v="Medical"/>
    <n v="1"/>
    <n v="1539"/>
    <n v="3"/>
    <x v="1"/>
    <n v="88"/>
    <n v="1"/>
    <x v="3"/>
    <x v="7"/>
    <n v="4"/>
    <x v="0"/>
    <n v="14411"/>
    <n v="24450"/>
    <n v="1"/>
    <s v="Y"/>
    <x v="0"/>
    <n v="13"/>
    <n v="3"/>
    <n v="4"/>
    <n v="80"/>
    <n v="0"/>
    <n v="32"/>
    <n v="2"/>
    <n v="3"/>
    <n v="32"/>
    <n v="6"/>
    <n v="13"/>
    <n v="9"/>
    <x v="1"/>
    <x v="3"/>
    <x v="3"/>
    <n v="0"/>
  </r>
  <r>
    <x v="13"/>
    <x v="1"/>
    <x v="0"/>
    <n v="1440"/>
    <x v="0"/>
    <n v="7"/>
    <n v="2"/>
    <s v="Technical Degree"/>
    <n v="1"/>
    <n v="1541"/>
    <n v="2"/>
    <x v="1"/>
    <n v="55"/>
    <n v="3"/>
    <x v="1"/>
    <x v="6"/>
    <n v="3"/>
    <x v="1"/>
    <n v="2308"/>
    <n v="4944"/>
    <n v="0"/>
    <s v="Y"/>
    <x v="0"/>
    <n v="25"/>
    <n v="4"/>
    <n v="2"/>
    <n v="80"/>
    <n v="1"/>
    <n v="12"/>
    <n v="4"/>
    <n v="3"/>
    <n v="11"/>
    <n v="10"/>
    <n v="5"/>
    <n v="7"/>
    <x v="2"/>
    <x v="3"/>
    <x v="1"/>
    <n v="0"/>
  </r>
  <r>
    <x v="19"/>
    <x v="1"/>
    <x v="0"/>
    <n v="1210"/>
    <x v="1"/>
    <n v="2"/>
    <n v="3"/>
    <s v="Medical"/>
    <n v="1"/>
    <n v="1542"/>
    <n v="3"/>
    <x v="1"/>
    <n v="68"/>
    <n v="2"/>
    <x v="1"/>
    <x v="2"/>
    <n v="2"/>
    <x v="1"/>
    <n v="4841"/>
    <n v="24052"/>
    <n v="4"/>
    <s v="Y"/>
    <x v="1"/>
    <n v="14"/>
    <n v="3"/>
    <n v="2"/>
    <n v="80"/>
    <n v="1"/>
    <n v="4"/>
    <n v="3"/>
    <n v="3"/>
    <n v="1"/>
    <n v="0"/>
    <n v="0"/>
    <n v="0"/>
    <x v="0"/>
    <x v="1"/>
    <x v="2"/>
    <n v="0"/>
  </r>
  <r>
    <x v="2"/>
    <x v="1"/>
    <x v="0"/>
    <n v="674"/>
    <x v="1"/>
    <n v="13"/>
    <n v="3"/>
    <s v="Medical"/>
    <n v="1"/>
    <n v="1543"/>
    <n v="1"/>
    <x v="1"/>
    <n v="47"/>
    <n v="3"/>
    <x v="0"/>
    <x v="1"/>
    <n v="4"/>
    <x v="1"/>
    <n v="4285"/>
    <n v="3031"/>
    <n v="1"/>
    <s v="Y"/>
    <x v="1"/>
    <n v="17"/>
    <n v="3"/>
    <n v="1"/>
    <n v="80"/>
    <n v="0"/>
    <n v="10"/>
    <n v="2"/>
    <n v="3"/>
    <n v="10"/>
    <n v="8"/>
    <n v="3"/>
    <n v="7"/>
    <x v="0"/>
    <x v="0"/>
    <x v="2"/>
    <n v="0"/>
  </r>
  <r>
    <x v="11"/>
    <x v="1"/>
    <x v="0"/>
    <n v="441"/>
    <x v="1"/>
    <n v="8"/>
    <n v="1"/>
    <s v="Other"/>
    <n v="1"/>
    <n v="1544"/>
    <n v="3"/>
    <x v="0"/>
    <n v="39"/>
    <n v="1"/>
    <x v="0"/>
    <x v="4"/>
    <n v="1"/>
    <x v="1"/>
    <n v="9715"/>
    <n v="7288"/>
    <n v="3"/>
    <s v="Y"/>
    <x v="1"/>
    <n v="13"/>
    <n v="3"/>
    <n v="3"/>
    <n v="80"/>
    <n v="1"/>
    <n v="9"/>
    <n v="3"/>
    <n v="3"/>
    <n v="7"/>
    <n v="7"/>
    <n v="0"/>
    <n v="7"/>
    <x v="2"/>
    <x v="0"/>
    <x v="3"/>
    <n v="0"/>
  </r>
  <r>
    <x v="3"/>
    <x v="1"/>
    <x v="0"/>
    <n v="575"/>
    <x v="1"/>
    <n v="25"/>
    <n v="3"/>
    <s v="Life Sciences"/>
    <n v="1"/>
    <n v="1545"/>
    <n v="4"/>
    <x v="1"/>
    <n v="44"/>
    <n v="2"/>
    <x v="0"/>
    <x v="3"/>
    <n v="2"/>
    <x v="0"/>
    <n v="4320"/>
    <n v="24152"/>
    <n v="1"/>
    <s v="Y"/>
    <x v="1"/>
    <n v="13"/>
    <n v="3"/>
    <n v="4"/>
    <n v="80"/>
    <n v="0"/>
    <n v="5"/>
    <n v="2"/>
    <n v="3"/>
    <n v="5"/>
    <n v="3"/>
    <n v="0"/>
    <n v="2"/>
    <x v="2"/>
    <x v="2"/>
    <x v="2"/>
    <n v="0"/>
  </r>
  <r>
    <x v="28"/>
    <x v="1"/>
    <x v="0"/>
    <n v="950"/>
    <x v="1"/>
    <n v="28"/>
    <n v="3"/>
    <s v="Technical Degree"/>
    <n v="1"/>
    <n v="1546"/>
    <n v="4"/>
    <x v="1"/>
    <n v="97"/>
    <n v="3"/>
    <x v="1"/>
    <x v="1"/>
    <n v="4"/>
    <x v="1"/>
    <n v="2132"/>
    <n v="4585"/>
    <n v="4"/>
    <s v="Y"/>
    <x v="1"/>
    <n v="20"/>
    <n v="4"/>
    <n v="4"/>
    <n v="80"/>
    <n v="1"/>
    <n v="8"/>
    <n v="3"/>
    <n v="3"/>
    <n v="5"/>
    <n v="4"/>
    <n v="0"/>
    <n v="3"/>
    <x v="1"/>
    <x v="2"/>
    <x v="1"/>
    <n v="0"/>
  </r>
  <r>
    <x v="19"/>
    <x v="1"/>
    <x v="1"/>
    <n v="288"/>
    <x v="1"/>
    <n v="2"/>
    <n v="3"/>
    <s v="Life Sciences"/>
    <n v="1"/>
    <n v="1547"/>
    <n v="4"/>
    <x v="1"/>
    <n v="40"/>
    <n v="3"/>
    <x v="2"/>
    <x v="4"/>
    <n v="4"/>
    <x v="1"/>
    <n v="10124"/>
    <n v="18611"/>
    <n v="2"/>
    <s v="Y"/>
    <x v="0"/>
    <n v="14"/>
    <n v="3"/>
    <n v="3"/>
    <n v="80"/>
    <n v="1"/>
    <n v="24"/>
    <n v="3"/>
    <n v="1"/>
    <n v="20"/>
    <n v="8"/>
    <n v="13"/>
    <n v="9"/>
    <x v="0"/>
    <x v="3"/>
    <x v="3"/>
    <n v="0"/>
  </r>
  <r>
    <x v="32"/>
    <x v="1"/>
    <x v="0"/>
    <n v="1342"/>
    <x v="0"/>
    <n v="9"/>
    <n v="2"/>
    <s v="Medical"/>
    <n v="1"/>
    <n v="1548"/>
    <n v="1"/>
    <x v="1"/>
    <n v="47"/>
    <n v="3"/>
    <x v="0"/>
    <x v="0"/>
    <n v="1"/>
    <x v="1"/>
    <n v="5473"/>
    <n v="19345"/>
    <n v="0"/>
    <s v="Y"/>
    <x v="1"/>
    <n v="12"/>
    <n v="3"/>
    <n v="4"/>
    <n v="80"/>
    <n v="0"/>
    <n v="9"/>
    <n v="5"/>
    <n v="4"/>
    <n v="8"/>
    <n v="4"/>
    <n v="7"/>
    <n v="1"/>
    <x v="0"/>
    <x v="0"/>
    <x v="0"/>
    <n v="0"/>
  </r>
  <r>
    <x v="3"/>
    <x v="1"/>
    <x v="0"/>
    <n v="589"/>
    <x v="1"/>
    <n v="28"/>
    <n v="4"/>
    <s v="Life Sciences"/>
    <n v="1"/>
    <n v="1549"/>
    <n v="2"/>
    <x v="1"/>
    <n v="79"/>
    <n v="3"/>
    <x v="0"/>
    <x v="2"/>
    <n v="3"/>
    <x v="1"/>
    <n v="5207"/>
    <n v="22949"/>
    <n v="1"/>
    <s v="Y"/>
    <x v="0"/>
    <n v="12"/>
    <n v="3"/>
    <n v="2"/>
    <n v="80"/>
    <n v="1"/>
    <n v="15"/>
    <n v="3"/>
    <n v="3"/>
    <n v="15"/>
    <n v="14"/>
    <n v="5"/>
    <n v="7"/>
    <x v="2"/>
    <x v="3"/>
    <x v="0"/>
    <n v="0"/>
  </r>
  <r>
    <x v="32"/>
    <x v="1"/>
    <x v="0"/>
    <n v="898"/>
    <x v="2"/>
    <n v="6"/>
    <n v="2"/>
    <s v="Medical"/>
    <n v="1"/>
    <n v="1550"/>
    <n v="3"/>
    <x v="1"/>
    <n v="38"/>
    <n v="3"/>
    <x v="3"/>
    <x v="5"/>
    <n v="4"/>
    <x v="0"/>
    <n v="16437"/>
    <n v="17381"/>
    <n v="1"/>
    <s v="Y"/>
    <x v="0"/>
    <n v="21"/>
    <n v="4"/>
    <n v="4"/>
    <n v="80"/>
    <n v="0"/>
    <n v="21"/>
    <n v="2"/>
    <n v="3"/>
    <n v="21"/>
    <n v="7"/>
    <n v="7"/>
    <n v="7"/>
    <x v="0"/>
    <x v="3"/>
    <x v="3"/>
    <n v="0"/>
  </r>
  <r>
    <x v="17"/>
    <x v="1"/>
    <x v="0"/>
    <n v="350"/>
    <x v="1"/>
    <n v="21"/>
    <n v="2"/>
    <s v="Technical Degree"/>
    <n v="1"/>
    <n v="1551"/>
    <n v="3"/>
    <x v="1"/>
    <n v="57"/>
    <n v="2"/>
    <x v="1"/>
    <x v="2"/>
    <n v="1"/>
    <x v="2"/>
    <n v="2296"/>
    <n v="10036"/>
    <n v="0"/>
    <s v="Y"/>
    <x v="1"/>
    <n v="14"/>
    <n v="3"/>
    <n v="2"/>
    <n v="80"/>
    <n v="3"/>
    <n v="2"/>
    <n v="3"/>
    <n v="3"/>
    <n v="1"/>
    <n v="1"/>
    <n v="0"/>
    <n v="0"/>
    <x v="4"/>
    <x v="1"/>
    <x v="1"/>
    <n v="0"/>
  </r>
  <r>
    <x v="32"/>
    <x v="1"/>
    <x v="2"/>
    <n v="1142"/>
    <x v="1"/>
    <n v="8"/>
    <n v="2"/>
    <s v="Life Sciences"/>
    <n v="1"/>
    <n v="1552"/>
    <n v="4"/>
    <x v="1"/>
    <n v="72"/>
    <n v="3"/>
    <x v="0"/>
    <x v="4"/>
    <n v="4"/>
    <x v="2"/>
    <n v="4069"/>
    <n v="8841"/>
    <n v="3"/>
    <s v="Y"/>
    <x v="0"/>
    <n v="18"/>
    <n v="3"/>
    <n v="3"/>
    <n v="80"/>
    <n v="0"/>
    <n v="8"/>
    <n v="2"/>
    <n v="3"/>
    <n v="2"/>
    <n v="2"/>
    <n v="2"/>
    <n v="2"/>
    <x v="0"/>
    <x v="1"/>
    <x v="2"/>
    <n v="0"/>
  </r>
  <r>
    <x v="28"/>
    <x v="1"/>
    <x v="0"/>
    <n v="538"/>
    <x v="1"/>
    <n v="1"/>
    <n v="4"/>
    <s v="Technical Degree"/>
    <n v="1"/>
    <n v="1553"/>
    <n v="1"/>
    <x v="1"/>
    <n v="66"/>
    <n v="3"/>
    <x v="2"/>
    <x v="4"/>
    <n v="2"/>
    <x v="2"/>
    <n v="7441"/>
    <n v="20933"/>
    <n v="1"/>
    <s v="Y"/>
    <x v="1"/>
    <n v="12"/>
    <n v="3"/>
    <n v="1"/>
    <n v="80"/>
    <n v="3"/>
    <n v="10"/>
    <n v="4"/>
    <n v="3"/>
    <n v="10"/>
    <n v="8"/>
    <n v="7"/>
    <n v="7"/>
    <x v="1"/>
    <x v="0"/>
    <x v="0"/>
    <n v="0"/>
  </r>
  <r>
    <x v="10"/>
    <x v="1"/>
    <x v="0"/>
    <n v="1402"/>
    <x v="0"/>
    <n v="28"/>
    <n v="4"/>
    <s v="Life Sciences"/>
    <n v="1"/>
    <n v="1554"/>
    <n v="2"/>
    <x v="0"/>
    <n v="98"/>
    <n v="2"/>
    <x v="1"/>
    <x v="6"/>
    <n v="3"/>
    <x v="1"/>
    <n v="2430"/>
    <n v="26204"/>
    <n v="0"/>
    <s v="Y"/>
    <x v="1"/>
    <n v="23"/>
    <n v="4"/>
    <n v="1"/>
    <n v="80"/>
    <n v="2"/>
    <n v="6"/>
    <n v="5"/>
    <n v="3"/>
    <n v="5"/>
    <n v="3"/>
    <n v="4"/>
    <n v="2"/>
    <x v="0"/>
    <x v="2"/>
    <x v="1"/>
    <n v="0"/>
  </r>
  <r>
    <x v="5"/>
    <x v="1"/>
    <x v="0"/>
    <n v="824"/>
    <x v="1"/>
    <n v="5"/>
    <n v="2"/>
    <s v="Life Sciences"/>
    <n v="1"/>
    <n v="1555"/>
    <n v="4"/>
    <x v="0"/>
    <n v="67"/>
    <n v="2"/>
    <x v="0"/>
    <x v="1"/>
    <n v="2"/>
    <x v="1"/>
    <n v="5878"/>
    <n v="15624"/>
    <n v="3"/>
    <s v="Y"/>
    <x v="1"/>
    <n v="12"/>
    <n v="3"/>
    <n v="1"/>
    <n v="80"/>
    <n v="1"/>
    <n v="12"/>
    <n v="2"/>
    <n v="3"/>
    <n v="7"/>
    <n v="1"/>
    <n v="2"/>
    <n v="5"/>
    <x v="2"/>
    <x v="0"/>
    <x v="0"/>
    <n v="0"/>
  </r>
  <r>
    <x v="9"/>
    <x v="1"/>
    <x v="0"/>
    <n v="1157"/>
    <x v="0"/>
    <n v="2"/>
    <n v="4"/>
    <s v="Life Sciences"/>
    <n v="1"/>
    <n v="1556"/>
    <n v="3"/>
    <x v="1"/>
    <n v="70"/>
    <n v="3"/>
    <x v="1"/>
    <x v="6"/>
    <n v="4"/>
    <x v="0"/>
    <n v="2644"/>
    <n v="17001"/>
    <n v="3"/>
    <s v="Y"/>
    <x v="0"/>
    <n v="21"/>
    <n v="4"/>
    <n v="4"/>
    <n v="80"/>
    <n v="0"/>
    <n v="7"/>
    <n v="3"/>
    <n v="2"/>
    <n v="3"/>
    <n v="2"/>
    <n v="1"/>
    <n v="2"/>
    <x v="0"/>
    <x v="2"/>
    <x v="1"/>
    <n v="0"/>
  </r>
  <r>
    <x v="26"/>
    <x v="1"/>
    <x v="0"/>
    <n v="492"/>
    <x v="0"/>
    <n v="16"/>
    <n v="4"/>
    <s v="Life Sciences"/>
    <n v="1"/>
    <n v="1557"/>
    <n v="3"/>
    <x v="0"/>
    <n v="96"/>
    <n v="3"/>
    <x v="0"/>
    <x v="0"/>
    <n v="3"/>
    <x v="2"/>
    <n v="6439"/>
    <n v="13693"/>
    <n v="8"/>
    <s v="Y"/>
    <x v="1"/>
    <n v="14"/>
    <n v="3"/>
    <n v="3"/>
    <n v="80"/>
    <n v="1"/>
    <n v="18"/>
    <n v="2"/>
    <n v="3"/>
    <n v="8"/>
    <n v="7"/>
    <n v="7"/>
    <n v="7"/>
    <x v="1"/>
    <x v="0"/>
    <x v="0"/>
    <n v="0"/>
  </r>
  <r>
    <x v="11"/>
    <x v="1"/>
    <x v="0"/>
    <n v="598"/>
    <x v="1"/>
    <n v="9"/>
    <n v="3"/>
    <s v="Life Sciences"/>
    <n v="1"/>
    <n v="1558"/>
    <n v="3"/>
    <x v="1"/>
    <n v="91"/>
    <n v="4"/>
    <x v="1"/>
    <x v="1"/>
    <n v="3"/>
    <x v="1"/>
    <n v="2451"/>
    <n v="22376"/>
    <n v="6"/>
    <s v="Y"/>
    <x v="1"/>
    <n v="18"/>
    <n v="3"/>
    <n v="1"/>
    <n v="80"/>
    <n v="2"/>
    <n v="5"/>
    <n v="2"/>
    <n v="2"/>
    <n v="1"/>
    <n v="0"/>
    <n v="0"/>
    <n v="0"/>
    <x v="2"/>
    <x v="1"/>
    <x v="1"/>
    <n v="0"/>
  </r>
  <r>
    <x v="3"/>
    <x v="1"/>
    <x v="0"/>
    <n v="1242"/>
    <x v="0"/>
    <n v="8"/>
    <n v="4"/>
    <s v="Life Sciences"/>
    <n v="1"/>
    <n v="1560"/>
    <n v="1"/>
    <x v="1"/>
    <n v="46"/>
    <n v="3"/>
    <x v="0"/>
    <x v="0"/>
    <n v="1"/>
    <x v="1"/>
    <n v="6392"/>
    <n v="10589"/>
    <n v="2"/>
    <s v="Y"/>
    <x v="1"/>
    <n v="13"/>
    <n v="3"/>
    <n v="4"/>
    <n v="80"/>
    <n v="1"/>
    <n v="8"/>
    <n v="6"/>
    <n v="1"/>
    <n v="2"/>
    <n v="2"/>
    <n v="2"/>
    <n v="2"/>
    <x v="2"/>
    <x v="1"/>
    <x v="0"/>
    <n v="0"/>
  </r>
  <r>
    <x v="7"/>
    <x v="0"/>
    <x v="0"/>
    <n v="740"/>
    <x v="0"/>
    <n v="1"/>
    <n v="3"/>
    <s v="Life Sciences"/>
    <n v="1"/>
    <n v="1562"/>
    <n v="2"/>
    <x v="1"/>
    <n v="64"/>
    <n v="2"/>
    <x v="0"/>
    <x v="0"/>
    <n v="1"/>
    <x v="1"/>
    <n v="9714"/>
    <n v="5323"/>
    <n v="1"/>
    <s v="Y"/>
    <x v="1"/>
    <n v="11"/>
    <n v="3"/>
    <n v="4"/>
    <n v="80"/>
    <n v="1"/>
    <n v="10"/>
    <n v="4"/>
    <n v="3"/>
    <n v="10"/>
    <n v="8"/>
    <n v="6"/>
    <n v="7"/>
    <x v="2"/>
    <x v="0"/>
    <x v="3"/>
    <n v="1"/>
  </r>
  <r>
    <x v="8"/>
    <x v="1"/>
    <x v="1"/>
    <n v="888"/>
    <x v="2"/>
    <n v="10"/>
    <n v="4"/>
    <s v="Human Resources"/>
    <n v="1"/>
    <n v="1563"/>
    <n v="3"/>
    <x v="1"/>
    <n v="71"/>
    <n v="3"/>
    <x v="0"/>
    <x v="8"/>
    <n v="3"/>
    <x v="1"/>
    <n v="6077"/>
    <n v="14814"/>
    <n v="3"/>
    <s v="Y"/>
    <x v="1"/>
    <n v="11"/>
    <n v="3"/>
    <n v="3"/>
    <n v="80"/>
    <n v="0"/>
    <n v="10"/>
    <n v="2"/>
    <n v="3"/>
    <n v="6"/>
    <n v="3"/>
    <n v="1"/>
    <n v="2"/>
    <x v="0"/>
    <x v="0"/>
    <x v="0"/>
    <n v="0"/>
  </r>
  <r>
    <x v="10"/>
    <x v="1"/>
    <x v="0"/>
    <n v="992"/>
    <x v="1"/>
    <n v="1"/>
    <n v="3"/>
    <s v="Medical"/>
    <n v="1"/>
    <n v="1564"/>
    <n v="4"/>
    <x v="1"/>
    <n v="68"/>
    <n v="2"/>
    <x v="1"/>
    <x v="2"/>
    <n v="1"/>
    <x v="0"/>
    <n v="2450"/>
    <n v="21731"/>
    <n v="1"/>
    <s v="Y"/>
    <x v="1"/>
    <n v="19"/>
    <n v="3"/>
    <n v="2"/>
    <n v="80"/>
    <n v="0"/>
    <n v="3"/>
    <n v="3"/>
    <n v="3"/>
    <n v="3"/>
    <n v="0"/>
    <n v="1"/>
    <n v="2"/>
    <x v="0"/>
    <x v="2"/>
    <x v="1"/>
    <n v="0"/>
  </r>
  <r>
    <x v="7"/>
    <x v="1"/>
    <x v="0"/>
    <n v="1288"/>
    <x v="0"/>
    <n v="29"/>
    <n v="4"/>
    <s v="Technical Degree"/>
    <n v="1"/>
    <n v="1568"/>
    <n v="3"/>
    <x v="1"/>
    <n v="33"/>
    <n v="3"/>
    <x v="2"/>
    <x v="0"/>
    <n v="2"/>
    <x v="1"/>
    <n v="9250"/>
    <n v="17799"/>
    <n v="3"/>
    <s v="Y"/>
    <x v="1"/>
    <n v="12"/>
    <n v="3"/>
    <n v="2"/>
    <n v="80"/>
    <n v="1"/>
    <n v="9"/>
    <n v="3"/>
    <n v="3"/>
    <n v="4"/>
    <n v="2"/>
    <n v="1"/>
    <n v="3"/>
    <x v="2"/>
    <x v="2"/>
    <x v="3"/>
    <n v="0"/>
  </r>
  <r>
    <x v="10"/>
    <x v="0"/>
    <x v="0"/>
    <n v="104"/>
    <x v="1"/>
    <n v="2"/>
    <n v="3"/>
    <s v="Life Sciences"/>
    <n v="1"/>
    <n v="1569"/>
    <n v="1"/>
    <x v="0"/>
    <n v="69"/>
    <n v="3"/>
    <x v="1"/>
    <x v="2"/>
    <n v="1"/>
    <x v="2"/>
    <n v="2074"/>
    <n v="26619"/>
    <n v="1"/>
    <s v="Y"/>
    <x v="0"/>
    <n v="12"/>
    <n v="3"/>
    <n v="4"/>
    <n v="80"/>
    <n v="1"/>
    <n v="1"/>
    <n v="2"/>
    <n v="3"/>
    <n v="1"/>
    <n v="0"/>
    <n v="0"/>
    <n v="0"/>
    <x v="0"/>
    <x v="1"/>
    <x v="1"/>
    <n v="1"/>
  </r>
  <r>
    <x v="16"/>
    <x v="0"/>
    <x v="0"/>
    <n v="607"/>
    <x v="1"/>
    <n v="2"/>
    <n v="5"/>
    <s v="Technical Degree"/>
    <n v="1"/>
    <n v="1572"/>
    <n v="3"/>
    <x v="0"/>
    <n v="78"/>
    <n v="2"/>
    <x v="2"/>
    <x v="3"/>
    <n v="4"/>
    <x v="1"/>
    <n v="10169"/>
    <n v="14618"/>
    <n v="0"/>
    <s v="Y"/>
    <x v="1"/>
    <n v="16"/>
    <n v="3"/>
    <n v="2"/>
    <n v="80"/>
    <n v="1"/>
    <n v="34"/>
    <n v="4"/>
    <n v="3"/>
    <n v="33"/>
    <n v="7"/>
    <n v="1"/>
    <n v="9"/>
    <x v="1"/>
    <x v="3"/>
    <x v="3"/>
    <n v="1"/>
  </r>
  <r>
    <x v="8"/>
    <x v="0"/>
    <x v="0"/>
    <n v="903"/>
    <x v="1"/>
    <n v="2"/>
    <n v="3"/>
    <s v="Medical"/>
    <n v="1"/>
    <n v="1573"/>
    <n v="3"/>
    <x v="1"/>
    <n v="81"/>
    <n v="3"/>
    <x v="0"/>
    <x v="3"/>
    <n v="2"/>
    <x v="1"/>
    <n v="4855"/>
    <n v="7653"/>
    <n v="4"/>
    <s v="Y"/>
    <x v="1"/>
    <n v="11"/>
    <n v="3"/>
    <n v="1"/>
    <n v="80"/>
    <n v="2"/>
    <n v="7"/>
    <n v="2"/>
    <n v="3"/>
    <n v="5"/>
    <n v="2"/>
    <n v="1"/>
    <n v="4"/>
    <x v="0"/>
    <x v="2"/>
    <x v="2"/>
    <n v="1"/>
  </r>
  <r>
    <x v="5"/>
    <x v="1"/>
    <x v="2"/>
    <n v="1200"/>
    <x v="1"/>
    <n v="1"/>
    <n v="4"/>
    <s v="Technical Degree"/>
    <n v="1"/>
    <n v="1574"/>
    <n v="4"/>
    <x v="1"/>
    <n v="62"/>
    <n v="3"/>
    <x v="0"/>
    <x v="1"/>
    <n v="1"/>
    <x v="1"/>
    <n v="4087"/>
    <n v="25174"/>
    <n v="4"/>
    <s v="Y"/>
    <x v="1"/>
    <n v="14"/>
    <n v="3"/>
    <n v="2"/>
    <n v="80"/>
    <n v="1"/>
    <n v="9"/>
    <n v="3"/>
    <n v="2"/>
    <n v="6"/>
    <n v="5"/>
    <n v="1"/>
    <n v="2"/>
    <x v="2"/>
    <x v="0"/>
    <x v="2"/>
    <n v="0"/>
  </r>
  <r>
    <x v="26"/>
    <x v="1"/>
    <x v="0"/>
    <n v="1108"/>
    <x v="1"/>
    <n v="15"/>
    <n v="4"/>
    <s v="Other"/>
    <n v="1"/>
    <n v="1576"/>
    <n v="3"/>
    <x v="0"/>
    <n v="65"/>
    <n v="3"/>
    <x v="1"/>
    <x v="1"/>
    <n v="1"/>
    <x v="1"/>
    <n v="2367"/>
    <n v="16530"/>
    <n v="8"/>
    <s v="Y"/>
    <x v="1"/>
    <n v="12"/>
    <n v="3"/>
    <n v="4"/>
    <n v="80"/>
    <n v="1"/>
    <n v="10"/>
    <n v="3"/>
    <n v="2"/>
    <n v="8"/>
    <n v="2"/>
    <n v="7"/>
    <n v="6"/>
    <x v="1"/>
    <x v="0"/>
    <x v="1"/>
    <n v="0"/>
  </r>
  <r>
    <x v="13"/>
    <x v="1"/>
    <x v="0"/>
    <n v="479"/>
    <x v="1"/>
    <n v="7"/>
    <n v="4"/>
    <s v="Medical"/>
    <n v="1"/>
    <n v="1577"/>
    <n v="1"/>
    <x v="1"/>
    <n v="35"/>
    <n v="3"/>
    <x v="1"/>
    <x v="1"/>
    <n v="4"/>
    <x v="0"/>
    <n v="2972"/>
    <n v="22061"/>
    <n v="1"/>
    <s v="Y"/>
    <x v="1"/>
    <n v="13"/>
    <n v="3"/>
    <n v="3"/>
    <n v="80"/>
    <n v="0"/>
    <n v="1"/>
    <n v="4"/>
    <n v="1"/>
    <n v="1"/>
    <n v="0"/>
    <n v="0"/>
    <n v="0"/>
    <x v="2"/>
    <x v="1"/>
    <x v="1"/>
    <n v="0"/>
  </r>
  <r>
    <x v="27"/>
    <x v="1"/>
    <x v="0"/>
    <n v="685"/>
    <x v="0"/>
    <n v="26"/>
    <n v="5"/>
    <s v="Marketing"/>
    <n v="1"/>
    <n v="1578"/>
    <n v="3"/>
    <x v="1"/>
    <n v="60"/>
    <n v="2"/>
    <x v="4"/>
    <x v="5"/>
    <n v="4"/>
    <x v="1"/>
    <n v="19586"/>
    <n v="23037"/>
    <n v="1"/>
    <s v="Y"/>
    <x v="1"/>
    <n v="21"/>
    <n v="4"/>
    <n v="3"/>
    <n v="80"/>
    <n v="1"/>
    <n v="36"/>
    <n v="3"/>
    <n v="3"/>
    <n v="36"/>
    <n v="6"/>
    <n v="2"/>
    <n v="13"/>
    <x v="3"/>
    <x v="3"/>
    <x v="3"/>
    <n v="0"/>
  </r>
  <r>
    <x v="13"/>
    <x v="1"/>
    <x v="0"/>
    <n v="1351"/>
    <x v="1"/>
    <n v="1"/>
    <n v="4"/>
    <s v="Life Sciences"/>
    <n v="1"/>
    <n v="1580"/>
    <n v="2"/>
    <x v="1"/>
    <n v="45"/>
    <n v="3"/>
    <x v="0"/>
    <x v="1"/>
    <n v="4"/>
    <x v="1"/>
    <n v="5484"/>
    <n v="13008"/>
    <n v="9"/>
    <s v="Y"/>
    <x v="1"/>
    <n v="17"/>
    <n v="3"/>
    <n v="2"/>
    <n v="80"/>
    <n v="1"/>
    <n v="9"/>
    <n v="3"/>
    <n v="2"/>
    <n v="2"/>
    <n v="2"/>
    <n v="2"/>
    <n v="1"/>
    <x v="2"/>
    <x v="1"/>
    <x v="0"/>
    <n v="0"/>
  </r>
  <r>
    <x v="25"/>
    <x v="1"/>
    <x v="0"/>
    <n v="474"/>
    <x v="1"/>
    <n v="3"/>
    <n v="3"/>
    <s v="Life Sciences"/>
    <n v="1"/>
    <n v="1581"/>
    <n v="1"/>
    <x v="0"/>
    <n v="89"/>
    <n v="3"/>
    <x v="1"/>
    <x v="1"/>
    <n v="4"/>
    <x v="1"/>
    <n v="2061"/>
    <n v="11133"/>
    <n v="1"/>
    <s v="Y"/>
    <x v="1"/>
    <n v="21"/>
    <n v="4"/>
    <n v="1"/>
    <n v="80"/>
    <n v="0"/>
    <n v="1"/>
    <n v="5"/>
    <n v="3"/>
    <n v="1"/>
    <n v="0"/>
    <n v="0"/>
    <n v="0"/>
    <x v="2"/>
    <x v="1"/>
    <x v="1"/>
    <n v="0"/>
  </r>
  <r>
    <x v="8"/>
    <x v="1"/>
    <x v="0"/>
    <n v="1245"/>
    <x v="0"/>
    <n v="14"/>
    <n v="3"/>
    <s v="Life Sciences"/>
    <n v="1"/>
    <n v="1582"/>
    <n v="3"/>
    <x v="1"/>
    <n v="80"/>
    <n v="3"/>
    <x v="0"/>
    <x v="0"/>
    <n v="2"/>
    <x v="1"/>
    <n v="9924"/>
    <n v="12355"/>
    <n v="0"/>
    <s v="Y"/>
    <x v="1"/>
    <n v="11"/>
    <n v="3"/>
    <n v="4"/>
    <n v="80"/>
    <n v="1"/>
    <n v="10"/>
    <n v="3"/>
    <n v="3"/>
    <n v="9"/>
    <n v="8"/>
    <n v="7"/>
    <n v="7"/>
    <x v="0"/>
    <x v="0"/>
    <x v="3"/>
    <n v="0"/>
  </r>
  <r>
    <x v="8"/>
    <x v="1"/>
    <x v="0"/>
    <n v="437"/>
    <x v="0"/>
    <n v="16"/>
    <n v="3"/>
    <s v="Life Sciences"/>
    <n v="1"/>
    <n v="1583"/>
    <n v="2"/>
    <x v="0"/>
    <n v="90"/>
    <n v="3"/>
    <x v="0"/>
    <x v="0"/>
    <n v="2"/>
    <x v="0"/>
    <n v="4198"/>
    <n v="16379"/>
    <n v="2"/>
    <s v="Y"/>
    <x v="1"/>
    <n v="12"/>
    <n v="3"/>
    <n v="2"/>
    <n v="80"/>
    <n v="0"/>
    <n v="8"/>
    <n v="5"/>
    <n v="4"/>
    <n v="3"/>
    <n v="2"/>
    <n v="1"/>
    <n v="2"/>
    <x v="0"/>
    <x v="2"/>
    <x v="2"/>
    <n v="0"/>
  </r>
  <r>
    <x v="9"/>
    <x v="1"/>
    <x v="0"/>
    <n v="884"/>
    <x v="0"/>
    <n v="1"/>
    <n v="4"/>
    <s v="Life Sciences"/>
    <n v="1"/>
    <n v="1585"/>
    <n v="2"/>
    <x v="0"/>
    <n v="73"/>
    <n v="3"/>
    <x v="0"/>
    <x v="0"/>
    <n v="3"/>
    <x v="0"/>
    <n v="6815"/>
    <n v="21447"/>
    <n v="6"/>
    <s v="Y"/>
    <x v="1"/>
    <n v="13"/>
    <n v="3"/>
    <n v="1"/>
    <n v="80"/>
    <n v="0"/>
    <n v="15"/>
    <n v="5"/>
    <n v="3"/>
    <n v="1"/>
    <n v="0"/>
    <n v="0"/>
    <n v="0"/>
    <x v="0"/>
    <x v="1"/>
    <x v="0"/>
    <n v="0"/>
  </r>
  <r>
    <x v="11"/>
    <x v="1"/>
    <x v="0"/>
    <n v="1370"/>
    <x v="1"/>
    <n v="3"/>
    <n v="1"/>
    <s v="Medical"/>
    <n v="1"/>
    <n v="1586"/>
    <n v="2"/>
    <x v="1"/>
    <n v="87"/>
    <n v="3"/>
    <x v="1"/>
    <x v="2"/>
    <n v="1"/>
    <x v="0"/>
    <n v="4723"/>
    <n v="16213"/>
    <n v="1"/>
    <s v="Y"/>
    <x v="0"/>
    <n v="18"/>
    <n v="3"/>
    <n v="4"/>
    <n v="80"/>
    <n v="0"/>
    <n v="10"/>
    <n v="3"/>
    <n v="3"/>
    <n v="10"/>
    <n v="9"/>
    <n v="1"/>
    <n v="5"/>
    <x v="2"/>
    <x v="0"/>
    <x v="2"/>
    <n v="0"/>
  </r>
  <r>
    <x v="10"/>
    <x v="1"/>
    <x v="0"/>
    <n v="670"/>
    <x v="1"/>
    <n v="10"/>
    <n v="4"/>
    <s v="Medical"/>
    <n v="1"/>
    <n v="1587"/>
    <n v="1"/>
    <x v="0"/>
    <n v="51"/>
    <n v="3"/>
    <x v="0"/>
    <x v="4"/>
    <n v="3"/>
    <x v="0"/>
    <n v="6142"/>
    <n v="4223"/>
    <n v="3"/>
    <s v="Y"/>
    <x v="0"/>
    <n v="16"/>
    <n v="3"/>
    <n v="3"/>
    <n v="80"/>
    <n v="0"/>
    <n v="10"/>
    <n v="4"/>
    <n v="3"/>
    <n v="5"/>
    <n v="2"/>
    <n v="0"/>
    <n v="4"/>
    <x v="0"/>
    <x v="2"/>
    <x v="0"/>
    <n v="0"/>
  </r>
  <r>
    <x v="22"/>
    <x v="1"/>
    <x v="0"/>
    <n v="1462"/>
    <x v="0"/>
    <n v="6"/>
    <n v="3"/>
    <s v="Medical"/>
    <n v="1"/>
    <n v="1588"/>
    <n v="4"/>
    <x v="1"/>
    <n v="38"/>
    <n v="4"/>
    <x v="2"/>
    <x v="0"/>
    <n v="3"/>
    <x v="1"/>
    <n v="8237"/>
    <n v="4658"/>
    <n v="2"/>
    <s v="Y"/>
    <x v="1"/>
    <n v="11"/>
    <n v="3"/>
    <n v="1"/>
    <n v="80"/>
    <n v="1"/>
    <n v="11"/>
    <n v="3"/>
    <n v="3"/>
    <n v="7"/>
    <n v="6"/>
    <n v="7"/>
    <n v="6"/>
    <x v="0"/>
    <x v="0"/>
    <x v="3"/>
    <n v="0"/>
  </r>
  <r>
    <x v="11"/>
    <x v="1"/>
    <x v="1"/>
    <n v="995"/>
    <x v="1"/>
    <n v="2"/>
    <n v="1"/>
    <s v="Life Sciences"/>
    <n v="1"/>
    <n v="1590"/>
    <n v="1"/>
    <x v="1"/>
    <n v="87"/>
    <n v="3"/>
    <x v="0"/>
    <x v="4"/>
    <n v="4"/>
    <x v="2"/>
    <n v="8853"/>
    <n v="24483"/>
    <n v="1"/>
    <s v="Y"/>
    <x v="1"/>
    <n v="19"/>
    <n v="3"/>
    <n v="4"/>
    <n v="80"/>
    <n v="1"/>
    <n v="6"/>
    <n v="0"/>
    <n v="4"/>
    <n v="6"/>
    <n v="4"/>
    <n v="1"/>
    <n v="3"/>
    <x v="2"/>
    <x v="0"/>
    <x v="3"/>
    <n v="0"/>
  </r>
  <r>
    <x v="24"/>
    <x v="1"/>
    <x v="0"/>
    <n v="264"/>
    <x v="0"/>
    <n v="9"/>
    <n v="3"/>
    <s v="Marketing"/>
    <n v="1"/>
    <n v="1591"/>
    <n v="3"/>
    <x v="1"/>
    <n v="59"/>
    <n v="3"/>
    <x v="4"/>
    <x v="5"/>
    <n v="3"/>
    <x v="1"/>
    <n v="19331"/>
    <n v="19519"/>
    <n v="4"/>
    <s v="Y"/>
    <x v="0"/>
    <n v="16"/>
    <n v="3"/>
    <n v="3"/>
    <n v="80"/>
    <n v="1"/>
    <n v="27"/>
    <n v="2"/>
    <n v="3"/>
    <n v="1"/>
    <n v="0"/>
    <n v="0"/>
    <n v="0"/>
    <x v="1"/>
    <x v="1"/>
    <x v="3"/>
    <n v="0"/>
  </r>
  <r>
    <x v="30"/>
    <x v="1"/>
    <x v="0"/>
    <n v="977"/>
    <x v="1"/>
    <n v="10"/>
    <n v="3"/>
    <s v="Technical Degree"/>
    <n v="1"/>
    <n v="1592"/>
    <n v="4"/>
    <x v="1"/>
    <n v="45"/>
    <n v="4"/>
    <x v="1"/>
    <x v="1"/>
    <n v="3"/>
    <x v="1"/>
    <n v="2073"/>
    <n v="12826"/>
    <n v="2"/>
    <s v="Y"/>
    <x v="1"/>
    <n v="16"/>
    <n v="3"/>
    <n v="4"/>
    <n v="80"/>
    <n v="1"/>
    <n v="4"/>
    <n v="2"/>
    <n v="3"/>
    <n v="2"/>
    <n v="2"/>
    <n v="2"/>
    <n v="2"/>
    <x v="4"/>
    <x v="1"/>
    <x v="1"/>
    <n v="0"/>
  </r>
  <r>
    <x v="9"/>
    <x v="1"/>
    <x v="1"/>
    <n v="1302"/>
    <x v="1"/>
    <n v="6"/>
    <n v="4"/>
    <s v="Life Sciences"/>
    <n v="1"/>
    <n v="1594"/>
    <n v="1"/>
    <x v="1"/>
    <n v="80"/>
    <n v="4"/>
    <x v="0"/>
    <x v="2"/>
    <n v="1"/>
    <x v="1"/>
    <n v="5562"/>
    <n v="19711"/>
    <n v="3"/>
    <s v="Y"/>
    <x v="0"/>
    <n v="13"/>
    <n v="3"/>
    <n v="4"/>
    <n v="80"/>
    <n v="1"/>
    <n v="9"/>
    <n v="3"/>
    <n v="3"/>
    <n v="3"/>
    <n v="2"/>
    <n v="0"/>
    <n v="2"/>
    <x v="0"/>
    <x v="2"/>
    <x v="0"/>
    <n v="0"/>
  </r>
  <r>
    <x v="19"/>
    <x v="1"/>
    <x v="0"/>
    <n v="1059"/>
    <x v="1"/>
    <n v="9"/>
    <n v="2"/>
    <s v="Other"/>
    <n v="1"/>
    <n v="1595"/>
    <n v="4"/>
    <x v="1"/>
    <n v="93"/>
    <n v="2"/>
    <x v="4"/>
    <x v="5"/>
    <n v="4"/>
    <x v="0"/>
    <n v="19613"/>
    <n v="26362"/>
    <n v="8"/>
    <s v="Y"/>
    <x v="1"/>
    <n v="22"/>
    <n v="4"/>
    <n v="4"/>
    <n v="80"/>
    <n v="0"/>
    <n v="24"/>
    <n v="2"/>
    <n v="3"/>
    <n v="1"/>
    <n v="0"/>
    <n v="0"/>
    <n v="1"/>
    <x v="0"/>
    <x v="1"/>
    <x v="3"/>
    <n v="0"/>
  </r>
  <r>
    <x v="10"/>
    <x v="1"/>
    <x v="0"/>
    <n v="750"/>
    <x v="1"/>
    <n v="28"/>
    <n v="3"/>
    <s v="Life Sciences"/>
    <n v="1"/>
    <n v="1596"/>
    <n v="2"/>
    <x v="1"/>
    <n v="46"/>
    <n v="4"/>
    <x v="0"/>
    <x v="2"/>
    <n v="3"/>
    <x v="1"/>
    <n v="3407"/>
    <n v="25348"/>
    <n v="1"/>
    <s v="Y"/>
    <x v="1"/>
    <n v="17"/>
    <n v="3"/>
    <n v="4"/>
    <n v="80"/>
    <n v="2"/>
    <n v="10"/>
    <n v="3"/>
    <n v="2"/>
    <n v="10"/>
    <n v="9"/>
    <n v="6"/>
    <n v="8"/>
    <x v="0"/>
    <x v="0"/>
    <x v="2"/>
    <n v="0"/>
  </r>
  <r>
    <x v="13"/>
    <x v="1"/>
    <x v="1"/>
    <n v="653"/>
    <x v="1"/>
    <n v="10"/>
    <n v="4"/>
    <s v="Technical Degree"/>
    <n v="1"/>
    <n v="1597"/>
    <n v="4"/>
    <x v="1"/>
    <n v="92"/>
    <n v="2"/>
    <x v="0"/>
    <x v="4"/>
    <n v="3"/>
    <x v="1"/>
    <n v="5063"/>
    <n v="15332"/>
    <n v="1"/>
    <s v="Y"/>
    <x v="1"/>
    <n v="14"/>
    <n v="3"/>
    <n v="2"/>
    <n v="80"/>
    <n v="1"/>
    <n v="8"/>
    <n v="3"/>
    <n v="2"/>
    <n v="8"/>
    <n v="2"/>
    <n v="7"/>
    <n v="7"/>
    <x v="2"/>
    <x v="0"/>
    <x v="0"/>
    <n v="0"/>
  </r>
  <r>
    <x v="32"/>
    <x v="1"/>
    <x v="0"/>
    <n v="118"/>
    <x v="0"/>
    <n v="14"/>
    <n v="2"/>
    <s v="Life Sciences"/>
    <n v="1"/>
    <n v="1598"/>
    <n v="4"/>
    <x v="0"/>
    <n v="84"/>
    <n v="3"/>
    <x v="0"/>
    <x v="0"/>
    <n v="1"/>
    <x v="1"/>
    <n v="4639"/>
    <n v="11262"/>
    <n v="1"/>
    <s v="Y"/>
    <x v="1"/>
    <n v="15"/>
    <n v="3"/>
    <n v="3"/>
    <n v="80"/>
    <n v="1"/>
    <n v="5"/>
    <n v="2"/>
    <n v="3"/>
    <n v="5"/>
    <n v="4"/>
    <n v="1"/>
    <n v="2"/>
    <x v="0"/>
    <x v="2"/>
    <x v="2"/>
    <n v="0"/>
  </r>
  <r>
    <x v="23"/>
    <x v="1"/>
    <x v="0"/>
    <n v="990"/>
    <x v="1"/>
    <n v="27"/>
    <n v="3"/>
    <s v="Technical Degree"/>
    <n v="1"/>
    <n v="1599"/>
    <n v="4"/>
    <x v="1"/>
    <n v="87"/>
    <n v="4"/>
    <x v="1"/>
    <x v="2"/>
    <n v="2"/>
    <x v="2"/>
    <n v="4876"/>
    <n v="5855"/>
    <n v="5"/>
    <s v="Y"/>
    <x v="1"/>
    <n v="12"/>
    <n v="3"/>
    <n v="3"/>
    <n v="80"/>
    <n v="1"/>
    <n v="8"/>
    <n v="0"/>
    <n v="3"/>
    <n v="6"/>
    <n v="4"/>
    <n v="0"/>
    <n v="2"/>
    <x v="0"/>
    <x v="0"/>
    <x v="2"/>
    <n v="0"/>
  </r>
  <r>
    <x v="10"/>
    <x v="1"/>
    <x v="0"/>
    <n v="1349"/>
    <x v="1"/>
    <n v="7"/>
    <n v="2"/>
    <s v="Life Sciences"/>
    <n v="1"/>
    <n v="1601"/>
    <n v="3"/>
    <x v="1"/>
    <n v="63"/>
    <n v="2"/>
    <x v="1"/>
    <x v="2"/>
    <n v="4"/>
    <x v="1"/>
    <n v="2690"/>
    <n v="7713"/>
    <n v="1"/>
    <s v="Y"/>
    <x v="1"/>
    <n v="18"/>
    <n v="3"/>
    <n v="4"/>
    <n v="80"/>
    <n v="1"/>
    <n v="1"/>
    <n v="5"/>
    <n v="2"/>
    <n v="1"/>
    <n v="0"/>
    <n v="0"/>
    <n v="1"/>
    <x v="0"/>
    <x v="1"/>
    <x v="1"/>
    <n v="0"/>
  </r>
  <r>
    <x v="21"/>
    <x v="1"/>
    <x v="0"/>
    <n v="563"/>
    <x v="0"/>
    <n v="1"/>
    <n v="4"/>
    <s v="Life Sciences"/>
    <n v="1"/>
    <n v="1602"/>
    <n v="4"/>
    <x v="1"/>
    <n v="56"/>
    <n v="4"/>
    <x v="3"/>
    <x v="5"/>
    <n v="1"/>
    <x v="0"/>
    <n v="17567"/>
    <n v="3156"/>
    <n v="1"/>
    <s v="Y"/>
    <x v="1"/>
    <n v="15"/>
    <n v="3"/>
    <n v="2"/>
    <n v="80"/>
    <n v="0"/>
    <n v="27"/>
    <n v="5"/>
    <n v="1"/>
    <n v="26"/>
    <n v="0"/>
    <n v="0"/>
    <n v="12"/>
    <x v="1"/>
    <x v="3"/>
    <x v="3"/>
    <n v="0"/>
  </r>
  <r>
    <x v="14"/>
    <x v="0"/>
    <x v="0"/>
    <n v="329"/>
    <x v="1"/>
    <n v="24"/>
    <n v="3"/>
    <s v="Medical"/>
    <n v="1"/>
    <n v="1604"/>
    <n v="3"/>
    <x v="1"/>
    <n v="51"/>
    <n v="3"/>
    <x v="1"/>
    <x v="2"/>
    <n v="2"/>
    <x v="1"/>
    <n v="2408"/>
    <n v="7324"/>
    <n v="1"/>
    <s v="Y"/>
    <x v="0"/>
    <n v="17"/>
    <n v="3"/>
    <n v="3"/>
    <n v="80"/>
    <n v="3"/>
    <n v="1"/>
    <n v="3"/>
    <n v="3"/>
    <n v="1"/>
    <n v="1"/>
    <n v="0"/>
    <n v="0"/>
    <x v="2"/>
    <x v="1"/>
    <x v="1"/>
    <n v="1"/>
  </r>
  <r>
    <x v="15"/>
    <x v="1"/>
    <x v="2"/>
    <n v="457"/>
    <x v="1"/>
    <n v="26"/>
    <n v="2"/>
    <s v="Other"/>
    <n v="1"/>
    <n v="1605"/>
    <n v="2"/>
    <x v="0"/>
    <n v="85"/>
    <n v="2"/>
    <x v="1"/>
    <x v="1"/>
    <n v="3"/>
    <x v="1"/>
    <n v="2814"/>
    <n v="10293"/>
    <n v="1"/>
    <s v="Y"/>
    <x v="0"/>
    <n v="14"/>
    <n v="3"/>
    <n v="2"/>
    <n v="80"/>
    <n v="0"/>
    <n v="4"/>
    <n v="2"/>
    <n v="2"/>
    <n v="4"/>
    <n v="2"/>
    <n v="1"/>
    <n v="3"/>
    <x v="4"/>
    <x v="2"/>
    <x v="1"/>
    <n v="0"/>
  </r>
  <r>
    <x v="24"/>
    <x v="1"/>
    <x v="1"/>
    <n v="1234"/>
    <x v="1"/>
    <n v="20"/>
    <n v="5"/>
    <s v="Medical"/>
    <n v="1"/>
    <n v="1606"/>
    <n v="2"/>
    <x v="1"/>
    <n v="41"/>
    <n v="3"/>
    <x v="3"/>
    <x v="4"/>
    <n v="3"/>
    <x v="1"/>
    <n v="11245"/>
    <n v="20689"/>
    <n v="2"/>
    <s v="Y"/>
    <x v="0"/>
    <n v="15"/>
    <n v="3"/>
    <n v="3"/>
    <n v="80"/>
    <n v="1"/>
    <n v="32"/>
    <n v="3"/>
    <n v="3"/>
    <n v="30"/>
    <n v="8"/>
    <n v="12"/>
    <n v="13"/>
    <x v="1"/>
    <x v="3"/>
    <x v="3"/>
    <n v="0"/>
  </r>
  <r>
    <x v="5"/>
    <x v="1"/>
    <x v="0"/>
    <n v="634"/>
    <x v="1"/>
    <n v="5"/>
    <n v="4"/>
    <s v="Other"/>
    <n v="1"/>
    <n v="1607"/>
    <n v="2"/>
    <x v="0"/>
    <n v="35"/>
    <n v="4"/>
    <x v="1"/>
    <x v="1"/>
    <n v="4"/>
    <x v="1"/>
    <n v="3312"/>
    <n v="18783"/>
    <n v="3"/>
    <s v="Y"/>
    <x v="1"/>
    <n v="17"/>
    <n v="3"/>
    <n v="4"/>
    <n v="80"/>
    <n v="2"/>
    <n v="6"/>
    <n v="3"/>
    <n v="3"/>
    <n v="3"/>
    <n v="2"/>
    <n v="0"/>
    <n v="2"/>
    <x v="2"/>
    <x v="2"/>
    <x v="2"/>
    <n v="0"/>
  </r>
  <r>
    <x v="20"/>
    <x v="1"/>
    <x v="0"/>
    <n v="1313"/>
    <x v="1"/>
    <n v="7"/>
    <n v="3"/>
    <s v="Medical"/>
    <n v="1"/>
    <n v="1608"/>
    <n v="2"/>
    <x v="0"/>
    <n v="31"/>
    <n v="3"/>
    <x v="4"/>
    <x v="7"/>
    <n v="4"/>
    <x v="2"/>
    <n v="19049"/>
    <n v="3549"/>
    <n v="0"/>
    <s v="Y"/>
    <x v="0"/>
    <n v="14"/>
    <n v="3"/>
    <n v="4"/>
    <n v="80"/>
    <n v="1"/>
    <n v="23"/>
    <n v="4"/>
    <n v="2"/>
    <n v="22"/>
    <n v="7"/>
    <n v="1"/>
    <n v="10"/>
    <x v="0"/>
    <x v="3"/>
    <x v="3"/>
    <n v="0"/>
  </r>
  <r>
    <x v="7"/>
    <x v="1"/>
    <x v="0"/>
    <n v="241"/>
    <x v="1"/>
    <n v="7"/>
    <n v="3"/>
    <s v="Medical"/>
    <n v="1"/>
    <n v="1609"/>
    <n v="2"/>
    <x v="1"/>
    <n v="48"/>
    <n v="2"/>
    <x v="1"/>
    <x v="1"/>
    <n v="2"/>
    <x v="1"/>
    <n v="2141"/>
    <n v="5348"/>
    <n v="1"/>
    <s v="Y"/>
    <x v="1"/>
    <n v="12"/>
    <n v="3"/>
    <n v="2"/>
    <n v="80"/>
    <n v="1"/>
    <n v="6"/>
    <n v="3"/>
    <n v="2"/>
    <n v="6"/>
    <n v="4"/>
    <n v="1"/>
    <n v="1"/>
    <x v="2"/>
    <x v="0"/>
    <x v="1"/>
    <n v="0"/>
  </r>
  <r>
    <x v="28"/>
    <x v="1"/>
    <x v="0"/>
    <n v="1015"/>
    <x v="1"/>
    <n v="5"/>
    <n v="5"/>
    <s v="Medical"/>
    <n v="1"/>
    <n v="1611"/>
    <n v="3"/>
    <x v="0"/>
    <n v="50"/>
    <n v="1"/>
    <x v="0"/>
    <x v="2"/>
    <n v="1"/>
    <x v="0"/>
    <n v="5769"/>
    <n v="23447"/>
    <n v="1"/>
    <s v="Y"/>
    <x v="0"/>
    <n v="14"/>
    <n v="3"/>
    <n v="1"/>
    <n v="80"/>
    <n v="0"/>
    <n v="10"/>
    <n v="3"/>
    <n v="3"/>
    <n v="10"/>
    <n v="7"/>
    <n v="1"/>
    <n v="4"/>
    <x v="1"/>
    <x v="0"/>
    <x v="0"/>
    <n v="0"/>
  </r>
  <r>
    <x v="28"/>
    <x v="1"/>
    <x v="2"/>
    <n v="336"/>
    <x v="0"/>
    <n v="26"/>
    <n v="3"/>
    <s v="Marketing"/>
    <n v="1"/>
    <n v="1612"/>
    <n v="1"/>
    <x v="1"/>
    <n v="52"/>
    <n v="2"/>
    <x v="0"/>
    <x v="0"/>
    <n v="1"/>
    <x v="1"/>
    <n v="4385"/>
    <n v="24162"/>
    <n v="1"/>
    <s v="Y"/>
    <x v="1"/>
    <n v="15"/>
    <n v="3"/>
    <n v="1"/>
    <n v="80"/>
    <n v="1"/>
    <n v="10"/>
    <n v="2"/>
    <n v="3"/>
    <n v="10"/>
    <n v="7"/>
    <n v="4"/>
    <n v="5"/>
    <x v="1"/>
    <x v="0"/>
    <x v="2"/>
    <n v="0"/>
  </r>
  <r>
    <x v="12"/>
    <x v="1"/>
    <x v="1"/>
    <n v="715"/>
    <x v="0"/>
    <n v="2"/>
    <n v="4"/>
    <s v="Other"/>
    <n v="1"/>
    <n v="1613"/>
    <n v="4"/>
    <x v="1"/>
    <n v="54"/>
    <n v="3"/>
    <x v="0"/>
    <x v="0"/>
    <n v="1"/>
    <x v="0"/>
    <n v="5332"/>
    <n v="21602"/>
    <n v="7"/>
    <s v="Y"/>
    <x v="1"/>
    <n v="13"/>
    <n v="3"/>
    <n v="4"/>
    <n v="80"/>
    <n v="0"/>
    <n v="10"/>
    <n v="3"/>
    <n v="3"/>
    <n v="5"/>
    <n v="2"/>
    <n v="0"/>
    <n v="3"/>
    <x v="2"/>
    <x v="2"/>
    <x v="0"/>
    <n v="0"/>
  </r>
  <r>
    <x v="9"/>
    <x v="1"/>
    <x v="0"/>
    <n v="559"/>
    <x v="1"/>
    <n v="12"/>
    <n v="4"/>
    <s v="Life Sciences"/>
    <n v="1"/>
    <n v="1614"/>
    <n v="3"/>
    <x v="0"/>
    <n v="76"/>
    <n v="3"/>
    <x v="0"/>
    <x v="3"/>
    <n v="3"/>
    <x v="1"/>
    <n v="4663"/>
    <n v="12421"/>
    <n v="9"/>
    <s v="Y"/>
    <x v="0"/>
    <n v="12"/>
    <n v="3"/>
    <n v="2"/>
    <n v="80"/>
    <n v="2"/>
    <n v="7"/>
    <n v="2"/>
    <n v="3"/>
    <n v="3"/>
    <n v="2"/>
    <n v="1"/>
    <n v="1"/>
    <x v="0"/>
    <x v="2"/>
    <x v="2"/>
    <n v="0"/>
  </r>
  <r>
    <x v="13"/>
    <x v="1"/>
    <x v="1"/>
    <n v="426"/>
    <x v="1"/>
    <n v="10"/>
    <n v="4"/>
    <s v="Life Sciences"/>
    <n v="1"/>
    <n v="1615"/>
    <n v="3"/>
    <x v="1"/>
    <n v="42"/>
    <n v="4"/>
    <x v="0"/>
    <x v="3"/>
    <n v="4"/>
    <x v="2"/>
    <n v="4724"/>
    <n v="17000"/>
    <n v="1"/>
    <s v="Y"/>
    <x v="1"/>
    <n v="13"/>
    <n v="3"/>
    <n v="1"/>
    <n v="80"/>
    <n v="1"/>
    <n v="9"/>
    <n v="3"/>
    <n v="3"/>
    <n v="9"/>
    <n v="7"/>
    <n v="7"/>
    <n v="2"/>
    <x v="2"/>
    <x v="0"/>
    <x v="2"/>
    <n v="0"/>
  </r>
  <r>
    <x v="1"/>
    <x v="1"/>
    <x v="0"/>
    <n v="722"/>
    <x v="1"/>
    <n v="25"/>
    <n v="4"/>
    <s v="Life Sciences"/>
    <n v="1"/>
    <n v="1617"/>
    <n v="3"/>
    <x v="0"/>
    <n v="84"/>
    <n v="3"/>
    <x v="1"/>
    <x v="2"/>
    <n v="1"/>
    <x v="1"/>
    <n v="3211"/>
    <n v="22102"/>
    <n v="1"/>
    <s v="Y"/>
    <x v="1"/>
    <n v="14"/>
    <n v="3"/>
    <n v="4"/>
    <n v="80"/>
    <n v="1"/>
    <n v="10"/>
    <n v="3"/>
    <n v="2"/>
    <n v="9"/>
    <n v="6"/>
    <n v="1"/>
    <n v="4"/>
    <x v="1"/>
    <x v="0"/>
    <x v="2"/>
    <n v="0"/>
  </r>
  <r>
    <x v="22"/>
    <x v="1"/>
    <x v="0"/>
    <n v="1387"/>
    <x v="1"/>
    <n v="10"/>
    <n v="5"/>
    <s v="Medical"/>
    <n v="1"/>
    <n v="1618"/>
    <n v="2"/>
    <x v="1"/>
    <n v="76"/>
    <n v="3"/>
    <x v="0"/>
    <x v="3"/>
    <n v="1"/>
    <x v="1"/>
    <n v="5377"/>
    <n v="3835"/>
    <n v="2"/>
    <s v="Y"/>
    <x v="1"/>
    <n v="13"/>
    <n v="3"/>
    <n v="4"/>
    <n v="80"/>
    <n v="3"/>
    <n v="10"/>
    <n v="3"/>
    <n v="3"/>
    <n v="7"/>
    <n v="7"/>
    <n v="7"/>
    <n v="7"/>
    <x v="0"/>
    <x v="0"/>
    <x v="0"/>
    <n v="0"/>
  </r>
  <r>
    <x v="4"/>
    <x v="1"/>
    <x v="0"/>
    <n v="1302"/>
    <x v="1"/>
    <n v="19"/>
    <n v="3"/>
    <s v="Other"/>
    <n v="1"/>
    <n v="1619"/>
    <n v="4"/>
    <x v="1"/>
    <n v="67"/>
    <n v="2"/>
    <x v="1"/>
    <x v="2"/>
    <n v="1"/>
    <x v="2"/>
    <n v="4066"/>
    <n v="16290"/>
    <n v="1"/>
    <s v="Y"/>
    <x v="1"/>
    <n v="11"/>
    <n v="3"/>
    <n v="1"/>
    <n v="80"/>
    <n v="2"/>
    <n v="7"/>
    <n v="3"/>
    <n v="3"/>
    <n v="7"/>
    <n v="7"/>
    <n v="0"/>
    <n v="7"/>
    <x v="2"/>
    <x v="0"/>
    <x v="2"/>
    <n v="0"/>
  </r>
  <r>
    <x v="10"/>
    <x v="1"/>
    <x v="0"/>
    <n v="819"/>
    <x v="1"/>
    <n v="18"/>
    <n v="5"/>
    <s v="Life Sciences"/>
    <n v="1"/>
    <n v="1621"/>
    <n v="2"/>
    <x v="1"/>
    <n v="48"/>
    <n v="4"/>
    <x v="0"/>
    <x v="1"/>
    <n v="1"/>
    <x v="1"/>
    <n v="5208"/>
    <n v="26312"/>
    <n v="1"/>
    <s v="Y"/>
    <x v="1"/>
    <n v="11"/>
    <n v="3"/>
    <n v="4"/>
    <n v="80"/>
    <n v="0"/>
    <n v="16"/>
    <n v="2"/>
    <n v="3"/>
    <n v="16"/>
    <n v="15"/>
    <n v="1"/>
    <n v="10"/>
    <x v="0"/>
    <x v="3"/>
    <x v="0"/>
    <n v="0"/>
  </r>
  <r>
    <x v="14"/>
    <x v="1"/>
    <x v="0"/>
    <n v="580"/>
    <x v="1"/>
    <n v="27"/>
    <n v="3"/>
    <s v="Medical"/>
    <n v="1"/>
    <n v="1622"/>
    <n v="2"/>
    <x v="0"/>
    <n v="39"/>
    <n v="1"/>
    <x v="0"/>
    <x v="3"/>
    <n v="1"/>
    <x v="2"/>
    <n v="4877"/>
    <n v="20460"/>
    <n v="0"/>
    <s v="Y"/>
    <x v="1"/>
    <n v="21"/>
    <n v="4"/>
    <n v="2"/>
    <n v="80"/>
    <n v="1"/>
    <n v="6"/>
    <n v="5"/>
    <n v="2"/>
    <n v="5"/>
    <n v="3"/>
    <n v="0"/>
    <n v="0"/>
    <x v="2"/>
    <x v="2"/>
    <x v="2"/>
    <n v="0"/>
  </r>
  <r>
    <x v="18"/>
    <x v="1"/>
    <x v="0"/>
    <n v="546"/>
    <x v="1"/>
    <n v="5"/>
    <n v="1"/>
    <s v="Medical"/>
    <n v="1"/>
    <n v="1623"/>
    <n v="3"/>
    <x v="1"/>
    <n v="97"/>
    <n v="3"/>
    <x v="1"/>
    <x v="1"/>
    <n v="4"/>
    <x v="0"/>
    <n v="3117"/>
    <n v="26009"/>
    <n v="1"/>
    <s v="Y"/>
    <x v="1"/>
    <n v="18"/>
    <n v="3"/>
    <n v="3"/>
    <n v="80"/>
    <n v="0"/>
    <n v="3"/>
    <n v="2"/>
    <n v="3"/>
    <n v="2"/>
    <n v="2"/>
    <n v="2"/>
    <n v="2"/>
    <x v="4"/>
    <x v="1"/>
    <x v="2"/>
    <n v="0"/>
  </r>
  <r>
    <x v="41"/>
    <x v="0"/>
    <x v="1"/>
    <n v="544"/>
    <x v="0"/>
    <n v="3"/>
    <n v="2"/>
    <s v="Medical"/>
    <n v="1"/>
    <n v="1624"/>
    <n v="2"/>
    <x v="0"/>
    <n v="70"/>
    <n v="3"/>
    <x v="1"/>
    <x v="6"/>
    <n v="4"/>
    <x v="0"/>
    <n v="1569"/>
    <n v="18420"/>
    <n v="1"/>
    <s v="Y"/>
    <x v="0"/>
    <n v="12"/>
    <n v="3"/>
    <n v="3"/>
    <n v="80"/>
    <n v="0"/>
    <n v="0"/>
    <n v="2"/>
    <n v="4"/>
    <n v="0"/>
    <n v="0"/>
    <n v="0"/>
    <n v="0"/>
    <x v="4"/>
    <x v="1"/>
    <x v="1"/>
    <n v="1"/>
  </r>
  <r>
    <x v="40"/>
    <x v="1"/>
    <x v="0"/>
    <n v="1176"/>
    <x v="2"/>
    <n v="26"/>
    <n v="4"/>
    <s v="Life Sciences"/>
    <n v="1"/>
    <n v="1625"/>
    <n v="4"/>
    <x v="0"/>
    <n v="98"/>
    <n v="3"/>
    <x v="4"/>
    <x v="5"/>
    <n v="3"/>
    <x v="1"/>
    <n v="19658"/>
    <n v="5220"/>
    <n v="3"/>
    <s v="Y"/>
    <x v="1"/>
    <n v="11"/>
    <n v="3"/>
    <n v="3"/>
    <n v="80"/>
    <n v="1"/>
    <n v="27"/>
    <n v="2"/>
    <n v="3"/>
    <n v="5"/>
    <n v="2"/>
    <n v="1"/>
    <n v="0"/>
    <x v="1"/>
    <x v="2"/>
    <x v="3"/>
    <n v="0"/>
  </r>
  <r>
    <x v="22"/>
    <x v="1"/>
    <x v="0"/>
    <n v="170"/>
    <x v="1"/>
    <n v="3"/>
    <n v="2"/>
    <s v="Medical"/>
    <n v="1"/>
    <n v="1627"/>
    <n v="3"/>
    <x v="1"/>
    <n v="76"/>
    <n v="2"/>
    <x v="0"/>
    <x v="2"/>
    <n v="3"/>
    <x v="2"/>
    <n v="3069"/>
    <n v="10302"/>
    <n v="0"/>
    <s v="Y"/>
    <x v="1"/>
    <n v="15"/>
    <n v="3"/>
    <n v="4"/>
    <n v="80"/>
    <n v="1"/>
    <n v="11"/>
    <n v="3"/>
    <n v="3"/>
    <n v="10"/>
    <n v="8"/>
    <n v="0"/>
    <n v="7"/>
    <x v="0"/>
    <x v="0"/>
    <x v="2"/>
    <n v="0"/>
  </r>
  <r>
    <x v="32"/>
    <x v="1"/>
    <x v="0"/>
    <n v="884"/>
    <x v="1"/>
    <n v="15"/>
    <n v="3"/>
    <s v="Life Sciences"/>
    <n v="1"/>
    <n v="1628"/>
    <n v="1"/>
    <x v="0"/>
    <n v="80"/>
    <n v="2"/>
    <x v="2"/>
    <x v="3"/>
    <n v="3"/>
    <x v="1"/>
    <n v="10435"/>
    <n v="25800"/>
    <n v="1"/>
    <s v="Y"/>
    <x v="1"/>
    <n v="13"/>
    <n v="3"/>
    <n v="4"/>
    <n v="80"/>
    <n v="2"/>
    <n v="18"/>
    <n v="2"/>
    <n v="3"/>
    <n v="18"/>
    <n v="15"/>
    <n v="14"/>
    <n v="12"/>
    <x v="0"/>
    <x v="3"/>
    <x v="3"/>
    <n v="0"/>
  </r>
  <r>
    <x v="10"/>
    <x v="1"/>
    <x v="2"/>
    <n v="208"/>
    <x v="1"/>
    <n v="8"/>
    <n v="4"/>
    <s v="Life Sciences"/>
    <n v="1"/>
    <n v="1630"/>
    <n v="3"/>
    <x v="0"/>
    <n v="52"/>
    <n v="3"/>
    <x v="0"/>
    <x v="4"/>
    <n v="3"/>
    <x v="1"/>
    <n v="4148"/>
    <n v="12250"/>
    <n v="1"/>
    <s v="Y"/>
    <x v="1"/>
    <n v="12"/>
    <n v="3"/>
    <n v="4"/>
    <n v="80"/>
    <n v="1"/>
    <n v="15"/>
    <n v="5"/>
    <n v="3"/>
    <n v="14"/>
    <n v="11"/>
    <n v="2"/>
    <n v="9"/>
    <x v="0"/>
    <x v="3"/>
    <x v="2"/>
    <n v="0"/>
  </r>
  <r>
    <x v="2"/>
    <x v="1"/>
    <x v="0"/>
    <n v="671"/>
    <x v="1"/>
    <n v="19"/>
    <n v="3"/>
    <s v="Life Sciences"/>
    <n v="1"/>
    <n v="1631"/>
    <n v="3"/>
    <x v="1"/>
    <n v="85"/>
    <n v="3"/>
    <x v="0"/>
    <x v="3"/>
    <n v="3"/>
    <x v="1"/>
    <n v="5768"/>
    <n v="26493"/>
    <n v="3"/>
    <s v="Y"/>
    <x v="1"/>
    <n v="17"/>
    <n v="3"/>
    <n v="1"/>
    <n v="80"/>
    <n v="3"/>
    <n v="9"/>
    <n v="2"/>
    <n v="2"/>
    <n v="4"/>
    <n v="3"/>
    <n v="0"/>
    <n v="2"/>
    <x v="0"/>
    <x v="2"/>
    <x v="0"/>
    <n v="0"/>
  </r>
  <r>
    <x v="22"/>
    <x v="1"/>
    <x v="1"/>
    <n v="711"/>
    <x v="1"/>
    <n v="4"/>
    <n v="3"/>
    <s v="Medical"/>
    <n v="1"/>
    <n v="1633"/>
    <n v="1"/>
    <x v="0"/>
    <n v="81"/>
    <n v="3"/>
    <x v="0"/>
    <x v="3"/>
    <n v="3"/>
    <x v="0"/>
    <n v="5042"/>
    <n v="3140"/>
    <n v="0"/>
    <s v="Y"/>
    <x v="1"/>
    <n v="13"/>
    <n v="3"/>
    <n v="4"/>
    <n v="80"/>
    <n v="0"/>
    <n v="10"/>
    <n v="2"/>
    <n v="1"/>
    <n v="9"/>
    <n v="2"/>
    <n v="3"/>
    <n v="8"/>
    <x v="0"/>
    <x v="0"/>
    <x v="0"/>
    <n v="0"/>
  </r>
  <r>
    <x v="28"/>
    <x v="1"/>
    <x v="0"/>
    <n v="1329"/>
    <x v="1"/>
    <n v="2"/>
    <n v="2"/>
    <s v="Other"/>
    <n v="1"/>
    <n v="1635"/>
    <n v="4"/>
    <x v="0"/>
    <n v="59"/>
    <n v="2"/>
    <x v="0"/>
    <x v="3"/>
    <n v="4"/>
    <x v="2"/>
    <n v="5770"/>
    <n v="5388"/>
    <n v="1"/>
    <s v="Y"/>
    <x v="1"/>
    <n v="19"/>
    <n v="3"/>
    <n v="1"/>
    <n v="80"/>
    <n v="2"/>
    <n v="10"/>
    <n v="3"/>
    <n v="3"/>
    <n v="10"/>
    <n v="7"/>
    <n v="3"/>
    <n v="9"/>
    <x v="1"/>
    <x v="0"/>
    <x v="0"/>
    <n v="0"/>
  </r>
  <r>
    <x v="8"/>
    <x v="1"/>
    <x v="0"/>
    <n v="397"/>
    <x v="1"/>
    <n v="2"/>
    <n v="2"/>
    <s v="Medical"/>
    <n v="1"/>
    <n v="1638"/>
    <n v="4"/>
    <x v="0"/>
    <n v="54"/>
    <n v="2"/>
    <x v="2"/>
    <x v="3"/>
    <n v="3"/>
    <x v="1"/>
    <n v="7756"/>
    <n v="14199"/>
    <n v="3"/>
    <s v="Y"/>
    <x v="0"/>
    <n v="19"/>
    <n v="3"/>
    <n v="4"/>
    <n v="80"/>
    <n v="1"/>
    <n v="10"/>
    <n v="6"/>
    <n v="4"/>
    <n v="5"/>
    <n v="4"/>
    <n v="0"/>
    <n v="2"/>
    <x v="0"/>
    <x v="2"/>
    <x v="0"/>
    <n v="0"/>
  </r>
  <r>
    <x v="10"/>
    <x v="0"/>
    <x v="0"/>
    <n v="737"/>
    <x v="0"/>
    <n v="10"/>
    <n v="3"/>
    <s v="Medical"/>
    <n v="1"/>
    <n v="1639"/>
    <n v="4"/>
    <x v="1"/>
    <n v="55"/>
    <n v="2"/>
    <x v="2"/>
    <x v="0"/>
    <n v="1"/>
    <x v="1"/>
    <n v="10306"/>
    <n v="21530"/>
    <n v="9"/>
    <s v="Y"/>
    <x v="1"/>
    <n v="17"/>
    <n v="3"/>
    <n v="3"/>
    <n v="80"/>
    <n v="0"/>
    <n v="15"/>
    <n v="3"/>
    <n v="3"/>
    <n v="13"/>
    <n v="12"/>
    <n v="6"/>
    <n v="0"/>
    <x v="0"/>
    <x v="3"/>
    <x v="3"/>
    <n v="1"/>
  </r>
  <r>
    <x v="2"/>
    <x v="1"/>
    <x v="0"/>
    <n v="1470"/>
    <x v="1"/>
    <n v="10"/>
    <n v="3"/>
    <s v="Medical"/>
    <n v="1"/>
    <n v="1640"/>
    <n v="2"/>
    <x v="0"/>
    <n v="71"/>
    <n v="3"/>
    <x v="1"/>
    <x v="1"/>
    <n v="2"/>
    <x v="1"/>
    <n v="3936"/>
    <n v="9953"/>
    <n v="1"/>
    <s v="Y"/>
    <x v="1"/>
    <n v="11"/>
    <n v="3"/>
    <n v="1"/>
    <n v="80"/>
    <n v="1"/>
    <n v="8"/>
    <n v="2"/>
    <n v="1"/>
    <n v="8"/>
    <n v="4"/>
    <n v="7"/>
    <n v="7"/>
    <x v="0"/>
    <x v="0"/>
    <x v="2"/>
    <n v="0"/>
  </r>
  <r>
    <x v="32"/>
    <x v="1"/>
    <x v="0"/>
    <n v="448"/>
    <x v="1"/>
    <n v="16"/>
    <n v="3"/>
    <s v="Life Sciences"/>
    <n v="1"/>
    <n v="1641"/>
    <n v="3"/>
    <x v="0"/>
    <n v="84"/>
    <n v="3"/>
    <x v="2"/>
    <x v="3"/>
    <n v="4"/>
    <x v="0"/>
    <n v="7945"/>
    <n v="19948"/>
    <n v="6"/>
    <s v="Y"/>
    <x v="0"/>
    <n v="15"/>
    <n v="3"/>
    <n v="4"/>
    <n v="80"/>
    <n v="0"/>
    <n v="18"/>
    <n v="2"/>
    <n v="2"/>
    <n v="4"/>
    <n v="2"/>
    <n v="3"/>
    <n v="3"/>
    <x v="0"/>
    <x v="2"/>
    <x v="0"/>
    <n v="0"/>
  </r>
  <r>
    <x v="20"/>
    <x v="1"/>
    <x v="1"/>
    <n v="602"/>
    <x v="2"/>
    <n v="1"/>
    <n v="5"/>
    <s v="Human Resources"/>
    <n v="1"/>
    <n v="1642"/>
    <n v="1"/>
    <x v="1"/>
    <n v="37"/>
    <n v="3"/>
    <x v="0"/>
    <x v="8"/>
    <n v="4"/>
    <x v="1"/>
    <n v="5743"/>
    <n v="10503"/>
    <n v="4"/>
    <s v="Y"/>
    <x v="0"/>
    <n v="11"/>
    <n v="3"/>
    <n v="3"/>
    <n v="80"/>
    <n v="0"/>
    <n v="14"/>
    <n v="3"/>
    <n v="3"/>
    <n v="10"/>
    <n v="7"/>
    <n v="0"/>
    <n v="2"/>
    <x v="0"/>
    <x v="0"/>
    <x v="0"/>
    <n v="0"/>
  </r>
  <r>
    <x v="26"/>
    <x v="1"/>
    <x v="1"/>
    <n v="365"/>
    <x v="1"/>
    <n v="4"/>
    <n v="5"/>
    <s v="Medical"/>
    <n v="1"/>
    <n v="1644"/>
    <n v="3"/>
    <x v="1"/>
    <n v="89"/>
    <n v="2"/>
    <x v="3"/>
    <x v="5"/>
    <n v="4"/>
    <x v="1"/>
    <n v="15202"/>
    <n v="5602"/>
    <n v="2"/>
    <s v="Y"/>
    <x v="1"/>
    <n v="25"/>
    <n v="4"/>
    <n v="2"/>
    <n v="80"/>
    <n v="1"/>
    <n v="23"/>
    <n v="3"/>
    <n v="3"/>
    <n v="2"/>
    <n v="2"/>
    <n v="2"/>
    <n v="2"/>
    <x v="1"/>
    <x v="1"/>
    <x v="3"/>
    <n v="0"/>
  </r>
  <r>
    <x v="10"/>
    <x v="0"/>
    <x v="0"/>
    <n v="763"/>
    <x v="0"/>
    <n v="15"/>
    <n v="2"/>
    <s v="Medical"/>
    <n v="1"/>
    <n v="1645"/>
    <n v="1"/>
    <x v="1"/>
    <n v="59"/>
    <n v="1"/>
    <x v="0"/>
    <x v="0"/>
    <n v="4"/>
    <x v="2"/>
    <n v="5440"/>
    <n v="22098"/>
    <n v="6"/>
    <s v="Y"/>
    <x v="0"/>
    <n v="14"/>
    <n v="3"/>
    <n v="4"/>
    <n v="80"/>
    <n v="2"/>
    <n v="7"/>
    <n v="2"/>
    <n v="2"/>
    <n v="2"/>
    <n v="2"/>
    <n v="2"/>
    <n v="2"/>
    <x v="0"/>
    <x v="1"/>
    <x v="0"/>
    <n v="1"/>
  </r>
  <r>
    <x v="17"/>
    <x v="1"/>
    <x v="1"/>
    <n v="567"/>
    <x v="1"/>
    <n v="2"/>
    <n v="1"/>
    <s v="Technical Degree"/>
    <n v="1"/>
    <n v="1646"/>
    <n v="1"/>
    <x v="0"/>
    <n v="32"/>
    <n v="3"/>
    <x v="1"/>
    <x v="1"/>
    <n v="4"/>
    <x v="0"/>
    <n v="3760"/>
    <n v="17218"/>
    <n v="1"/>
    <s v="Y"/>
    <x v="0"/>
    <n v="13"/>
    <n v="3"/>
    <n v="3"/>
    <n v="80"/>
    <n v="0"/>
    <n v="6"/>
    <n v="2"/>
    <n v="3"/>
    <n v="6"/>
    <n v="3"/>
    <n v="1"/>
    <n v="3"/>
    <x v="4"/>
    <x v="0"/>
    <x v="2"/>
    <n v="0"/>
  </r>
  <r>
    <x v="4"/>
    <x v="1"/>
    <x v="0"/>
    <n v="486"/>
    <x v="1"/>
    <n v="8"/>
    <n v="3"/>
    <s v="Medical"/>
    <n v="1"/>
    <n v="1647"/>
    <n v="2"/>
    <x v="0"/>
    <n v="86"/>
    <n v="4"/>
    <x v="1"/>
    <x v="1"/>
    <n v="3"/>
    <x v="1"/>
    <n v="3517"/>
    <n v="22490"/>
    <n v="7"/>
    <s v="Y"/>
    <x v="1"/>
    <n v="17"/>
    <n v="3"/>
    <n v="1"/>
    <n v="80"/>
    <n v="0"/>
    <n v="5"/>
    <n v="0"/>
    <n v="3"/>
    <n v="3"/>
    <n v="2"/>
    <n v="0"/>
    <n v="2"/>
    <x v="2"/>
    <x v="2"/>
    <x v="2"/>
    <n v="0"/>
  </r>
  <r>
    <x v="4"/>
    <x v="1"/>
    <x v="1"/>
    <n v="591"/>
    <x v="1"/>
    <n v="2"/>
    <n v="3"/>
    <s v="Medical"/>
    <n v="1"/>
    <n v="1648"/>
    <n v="4"/>
    <x v="1"/>
    <n v="87"/>
    <n v="3"/>
    <x v="1"/>
    <x v="1"/>
    <n v="4"/>
    <x v="0"/>
    <n v="2580"/>
    <n v="6297"/>
    <n v="2"/>
    <s v="Y"/>
    <x v="1"/>
    <n v="13"/>
    <n v="3"/>
    <n v="3"/>
    <n v="80"/>
    <n v="0"/>
    <n v="6"/>
    <n v="0"/>
    <n v="2"/>
    <n v="4"/>
    <n v="2"/>
    <n v="1"/>
    <n v="2"/>
    <x v="2"/>
    <x v="2"/>
    <x v="1"/>
    <n v="0"/>
  </r>
  <r>
    <x v="32"/>
    <x v="0"/>
    <x v="0"/>
    <n v="1329"/>
    <x v="1"/>
    <n v="7"/>
    <n v="3"/>
    <s v="Life Sciences"/>
    <n v="1"/>
    <n v="1649"/>
    <n v="1"/>
    <x v="1"/>
    <n v="73"/>
    <n v="3"/>
    <x v="1"/>
    <x v="2"/>
    <n v="1"/>
    <x v="0"/>
    <n v="2166"/>
    <n v="3339"/>
    <n v="3"/>
    <s v="Y"/>
    <x v="0"/>
    <n v="14"/>
    <n v="3"/>
    <n v="2"/>
    <n v="80"/>
    <n v="0"/>
    <n v="10"/>
    <n v="3"/>
    <n v="1"/>
    <n v="4"/>
    <n v="2"/>
    <n v="0"/>
    <n v="3"/>
    <x v="0"/>
    <x v="2"/>
    <x v="1"/>
    <n v="1"/>
  </r>
  <r>
    <x v="11"/>
    <x v="1"/>
    <x v="0"/>
    <n v="469"/>
    <x v="0"/>
    <n v="10"/>
    <n v="3"/>
    <s v="Medical"/>
    <n v="1"/>
    <n v="1650"/>
    <n v="3"/>
    <x v="1"/>
    <n v="42"/>
    <n v="2"/>
    <x v="0"/>
    <x v="0"/>
    <n v="3"/>
    <x v="0"/>
    <n v="5869"/>
    <n v="23413"/>
    <n v="9"/>
    <s v="Y"/>
    <x v="1"/>
    <n v="11"/>
    <n v="3"/>
    <n v="3"/>
    <n v="80"/>
    <n v="0"/>
    <n v="8"/>
    <n v="2"/>
    <n v="3"/>
    <n v="5"/>
    <n v="2"/>
    <n v="1"/>
    <n v="4"/>
    <x v="2"/>
    <x v="2"/>
    <x v="0"/>
    <n v="0"/>
  </r>
  <r>
    <x v="9"/>
    <x v="1"/>
    <x v="0"/>
    <n v="711"/>
    <x v="1"/>
    <n v="5"/>
    <n v="4"/>
    <s v="Life Sciences"/>
    <n v="1"/>
    <n v="1651"/>
    <n v="2"/>
    <x v="0"/>
    <n v="42"/>
    <n v="3"/>
    <x v="2"/>
    <x v="4"/>
    <n v="1"/>
    <x v="1"/>
    <n v="8008"/>
    <n v="22792"/>
    <n v="4"/>
    <s v="Y"/>
    <x v="1"/>
    <n v="12"/>
    <n v="3"/>
    <n v="3"/>
    <n v="80"/>
    <n v="2"/>
    <n v="9"/>
    <n v="6"/>
    <n v="3"/>
    <n v="3"/>
    <n v="2"/>
    <n v="0"/>
    <n v="2"/>
    <x v="0"/>
    <x v="2"/>
    <x v="3"/>
    <n v="0"/>
  </r>
  <r>
    <x v="36"/>
    <x v="1"/>
    <x v="1"/>
    <n v="772"/>
    <x v="1"/>
    <n v="2"/>
    <n v="1"/>
    <s v="Life Sciences"/>
    <n v="1"/>
    <n v="1653"/>
    <n v="4"/>
    <x v="1"/>
    <n v="77"/>
    <n v="4"/>
    <x v="0"/>
    <x v="3"/>
    <n v="3"/>
    <x v="2"/>
    <n v="5206"/>
    <n v="4973"/>
    <n v="1"/>
    <s v="Y"/>
    <x v="1"/>
    <n v="17"/>
    <n v="3"/>
    <n v="3"/>
    <n v="80"/>
    <n v="2"/>
    <n v="7"/>
    <n v="6"/>
    <n v="3"/>
    <n v="7"/>
    <n v="7"/>
    <n v="0"/>
    <n v="7"/>
    <x v="2"/>
    <x v="0"/>
    <x v="0"/>
    <n v="0"/>
  </r>
  <r>
    <x v="22"/>
    <x v="1"/>
    <x v="0"/>
    <n v="492"/>
    <x v="1"/>
    <n v="12"/>
    <n v="3"/>
    <s v="Medical"/>
    <n v="1"/>
    <n v="1654"/>
    <n v="4"/>
    <x v="1"/>
    <n v="66"/>
    <n v="3"/>
    <x v="0"/>
    <x v="3"/>
    <n v="2"/>
    <x v="1"/>
    <n v="5295"/>
    <n v="7693"/>
    <n v="4"/>
    <s v="Y"/>
    <x v="1"/>
    <n v="21"/>
    <n v="4"/>
    <n v="3"/>
    <n v="80"/>
    <n v="0"/>
    <n v="7"/>
    <n v="3"/>
    <n v="3"/>
    <n v="5"/>
    <n v="4"/>
    <n v="1"/>
    <n v="0"/>
    <x v="0"/>
    <x v="2"/>
    <x v="0"/>
    <n v="0"/>
  </r>
  <r>
    <x v="1"/>
    <x v="1"/>
    <x v="0"/>
    <n v="301"/>
    <x v="1"/>
    <n v="22"/>
    <n v="4"/>
    <s v="Other"/>
    <n v="1"/>
    <n v="1655"/>
    <n v="1"/>
    <x v="0"/>
    <n v="72"/>
    <n v="3"/>
    <x v="3"/>
    <x v="7"/>
    <n v="2"/>
    <x v="1"/>
    <n v="16413"/>
    <n v="3498"/>
    <n v="3"/>
    <s v="Y"/>
    <x v="1"/>
    <n v="16"/>
    <n v="3"/>
    <n v="2"/>
    <n v="80"/>
    <n v="2"/>
    <n v="27"/>
    <n v="2"/>
    <n v="3"/>
    <n v="4"/>
    <n v="2"/>
    <n v="1"/>
    <n v="2"/>
    <x v="1"/>
    <x v="2"/>
    <x v="3"/>
    <n v="0"/>
  </r>
  <r>
    <x v="24"/>
    <x v="1"/>
    <x v="0"/>
    <n v="813"/>
    <x v="1"/>
    <n v="17"/>
    <n v="5"/>
    <s v="Life Sciences"/>
    <n v="1"/>
    <n v="1656"/>
    <n v="4"/>
    <x v="0"/>
    <n v="50"/>
    <n v="2"/>
    <x v="2"/>
    <x v="7"/>
    <n v="1"/>
    <x v="2"/>
    <n v="13269"/>
    <n v="21981"/>
    <n v="5"/>
    <s v="Y"/>
    <x v="1"/>
    <n v="15"/>
    <n v="3"/>
    <n v="3"/>
    <n v="80"/>
    <n v="3"/>
    <n v="19"/>
    <n v="3"/>
    <n v="3"/>
    <n v="14"/>
    <n v="11"/>
    <n v="1"/>
    <n v="11"/>
    <x v="1"/>
    <x v="3"/>
    <x v="3"/>
    <n v="0"/>
  </r>
  <r>
    <x v="35"/>
    <x v="1"/>
    <x v="0"/>
    <n v="1141"/>
    <x v="0"/>
    <n v="2"/>
    <n v="3"/>
    <s v="Medical"/>
    <n v="1"/>
    <n v="1657"/>
    <n v="3"/>
    <x v="0"/>
    <n v="31"/>
    <n v="3"/>
    <x v="1"/>
    <x v="6"/>
    <n v="3"/>
    <x v="0"/>
    <n v="2783"/>
    <n v="13251"/>
    <n v="1"/>
    <s v="Y"/>
    <x v="1"/>
    <n v="19"/>
    <n v="3"/>
    <n v="1"/>
    <n v="80"/>
    <n v="0"/>
    <n v="2"/>
    <n v="3"/>
    <n v="3"/>
    <n v="2"/>
    <n v="2"/>
    <n v="2"/>
    <n v="2"/>
    <x v="4"/>
    <x v="1"/>
    <x v="1"/>
    <n v="0"/>
  </r>
  <r>
    <x v="13"/>
    <x v="1"/>
    <x v="0"/>
    <n v="1130"/>
    <x v="1"/>
    <n v="3"/>
    <n v="3"/>
    <s v="Life Sciences"/>
    <n v="1"/>
    <n v="1658"/>
    <n v="4"/>
    <x v="0"/>
    <n v="66"/>
    <n v="3"/>
    <x v="0"/>
    <x v="1"/>
    <n v="2"/>
    <x v="2"/>
    <n v="5433"/>
    <n v="19332"/>
    <n v="1"/>
    <s v="Y"/>
    <x v="1"/>
    <n v="12"/>
    <n v="3"/>
    <n v="3"/>
    <n v="80"/>
    <n v="1"/>
    <n v="11"/>
    <n v="2"/>
    <n v="3"/>
    <n v="11"/>
    <n v="8"/>
    <n v="7"/>
    <n v="9"/>
    <x v="2"/>
    <x v="3"/>
    <x v="0"/>
    <n v="0"/>
  </r>
  <r>
    <x v="9"/>
    <x v="1"/>
    <x v="0"/>
    <n v="311"/>
    <x v="1"/>
    <n v="7"/>
    <n v="3"/>
    <s v="Life Sciences"/>
    <n v="1"/>
    <n v="1659"/>
    <n v="1"/>
    <x v="1"/>
    <n v="77"/>
    <n v="3"/>
    <x v="1"/>
    <x v="2"/>
    <n v="2"/>
    <x v="0"/>
    <n v="2013"/>
    <n v="10950"/>
    <n v="2"/>
    <s v="Y"/>
    <x v="1"/>
    <n v="11"/>
    <n v="3"/>
    <n v="3"/>
    <n v="80"/>
    <n v="0"/>
    <n v="15"/>
    <n v="4"/>
    <n v="3"/>
    <n v="4"/>
    <n v="3"/>
    <n v="1"/>
    <n v="3"/>
    <x v="0"/>
    <x v="2"/>
    <x v="1"/>
    <n v="0"/>
  </r>
  <r>
    <x v="1"/>
    <x v="1"/>
    <x v="0"/>
    <n v="465"/>
    <x v="1"/>
    <n v="6"/>
    <n v="1"/>
    <s v="Life Sciences"/>
    <n v="1"/>
    <n v="1661"/>
    <n v="3"/>
    <x v="0"/>
    <n v="41"/>
    <n v="2"/>
    <x v="3"/>
    <x v="4"/>
    <n v="3"/>
    <x v="1"/>
    <n v="13966"/>
    <n v="11652"/>
    <n v="2"/>
    <s v="Y"/>
    <x v="0"/>
    <n v="19"/>
    <n v="3"/>
    <n v="2"/>
    <n v="80"/>
    <n v="1"/>
    <n v="30"/>
    <n v="3"/>
    <n v="3"/>
    <n v="15"/>
    <n v="11"/>
    <n v="2"/>
    <n v="12"/>
    <x v="1"/>
    <x v="3"/>
    <x v="3"/>
    <n v="0"/>
  </r>
  <r>
    <x v="9"/>
    <x v="1"/>
    <x v="2"/>
    <n v="894"/>
    <x v="1"/>
    <n v="1"/>
    <n v="4"/>
    <s v="Medical"/>
    <n v="1"/>
    <n v="1662"/>
    <n v="4"/>
    <x v="0"/>
    <n v="33"/>
    <n v="2"/>
    <x v="0"/>
    <x v="3"/>
    <n v="3"/>
    <x v="1"/>
    <n v="4374"/>
    <n v="15411"/>
    <n v="0"/>
    <s v="Y"/>
    <x v="1"/>
    <n v="15"/>
    <n v="3"/>
    <n v="3"/>
    <n v="80"/>
    <n v="0"/>
    <n v="4"/>
    <n v="6"/>
    <n v="3"/>
    <n v="3"/>
    <n v="2"/>
    <n v="1"/>
    <n v="2"/>
    <x v="0"/>
    <x v="2"/>
    <x v="2"/>
    <n v="0"/>
  </r>
  <r>
    <x v="9"/>
    <x v="1"/>
    <x v="0"/>
    <n v="1040"/>
    <x v="1"/>
    <n v="3"/>
    <n v="2"/>
    <s v="Life Sciences"/>
    <n v="1"/>
    <n v="1664"/>
    <n v="4"/>
    <x v="1"/>
    <n v="79"/>
    <n v="4"/>
    <x v="0"/>
    <x v="4"/>
    <n v="1"/>
    <x v="2"/>
    <n v="6842"/>
    <n v="26308"/>
    <n v="6"/>
    <s v="Y"/>
    <x v="1"/>
    <n v="20"/>
    <n v="4"/>
    <n v="1"/>
    <n v="80"/>
    <n v="1"/>
    <n v="13"/>
    <n v="3"/>
    <n v="3"/>
    <n v="5"/>
    <n v="4"/>
    <n v="0"/>
    <n v="4"/>
    <x v="0"/>
    <x v="2"/>
    <x v="0"/>
    <n v="0"/>
  </r>
  <r>
    <x v="33"/>
    <x v="1"/>
    <x v="0"/>
    <n v="584"/>
    <x v="1"/>
    <n v="22"/>
    <n v="5"/>
    <s v="Medical"/>
    <n v="1"/>
    <n v="1665"/>
    <n v="2"/>
    <x v="0"/>
    <n v="91"/>
    <n v="3"/>
    <x v="3"/>
    <x v="5"/>
    <n v="3"/>
    <x v="1"/>
    <n v="17426"/>
    <n v="18685"/>
    <n v="3"/>
    <s v="Y"/>
    <x v="1"/>
    <n v="25"/>
    <n v="4"/>
    <n v="3"/>
    <n v="80"/>
    <n v="1"/>
    <n v="36"/>
    <n v="6"/>
    <n v="3"/>
    <n v="10"/>
    <n v="8"/>
    <n v="4"/>
    <n v="7"/>
    <x v="1"/>
    <x v="0"/>
    <x v="3"/>
    <n v="0"/>
  </r>
  <r>
    <x v="23"/>
    <x v="1"/>
    <x v="0"/>
    <n v="1291"/>
    <x v="1"/>
    <n v="15"/>
    <n v="2"/>
    <s v="Life Sciences"/>
    <n v="1"/>
    <n v="1666"/>
    <n v="3"/>
    <x v="1"/>
    <n v="65"/>
    <n v="2"/>
    <x v="3"/>
    <x v="7"/>
    <n v="3"/>
    <x v="1"/>
    <n v="17603"/>
    <n v="3525"/>
    <n v="1"/>
    <s v="Y"/>
    <x v="1"/>
    <n v="24"/>
    <n v="4"/>
    <n v="1"/>
    <n v="80"/>
    <n v="1"/>
    <n v="14"/>
    <n v="3"/>
    <n v="3"/>
    <n v="14"/>
    <n v="10"/>
    <n v="6"/>
    <n v="11"/>
    <x v="0"/>
    <x v="3"/>
    <x v="3"/>
    <n v="0"/>
  </r>
  <r>
    <x v="10"/>
    <x v="0"/>
    <x v="1"/>
    <n v="880"/>
    <x v="0"/>
    <n v="12"/>
    <n v="4"/>
    <s v="Other"/>
    <n v="1"/>
    <n v="1667"/>
    <n v="4"/>
    <x v="1"/>
    <n v="36"/>
    <n v="3"/>
    <x v="0"/>
    <x v="0"/>
    <n v="4"/>
    <x v="0"/>
    <n v="4581"/>
    <n v="10414"/>
    <n v="3"/>
    <s v="Y"/>
    <x v="0"/>
    <n v="24"/>
    <n v="4"/>
    <n v="1"/>
    <n v="80"/>
    <n v="0"/>
    <n v="13"/>
    <n v="2"/>
    <n v="4"/>
    <n v="11"/>
    <n v="9"/>
    <n v="6"/>
    <n v="7"/>
    <x v="0"/>
    <x v="3"/>
    <x v="2"/>
    <n v="1"/>
  </r>
  <r>
    <x v="8"/>
    <x v="1"/>
    <x v="1"/>
    <n v="1189"/>
    <x v="1"/>
    <n v="1"/>
    <n v="3"/>
    <s v="Life Sciences"/>
    <n v="1"/>
    <n v="1668"/>
    <n v="4"/>
    <x v="1"/>
    <n v="90"/>
    <n v="3"/>
    <x v="0"/>
    <x v="1"/>
    <n v="4"/>
    <x v="1"/>
    <n v="4735"/>
    <n v="9867"/>
    <n v="7"/>
    <s v="Y"/>
    <x v="1"/>
    <n v="15"/>
    <n v="3"/>
    <n v="4"/>
    <n v="80"/>
    <n v="2"/>
    <n v="19"/>
    <n v="4"/>
    <n v="4"/>
    <n v="13"/>
    <n v="11"/>
    <n v="2"/>
    <n v="9"/>
    <x v="0"/>
    <x v="3"/>
    <x v="2"/>
    <n v="0"/>
  </r>
  <r>
    <x v="11"/>
    <x v="1"/>
    <x v="0"/>
    <n v="991"/>
    <x v="0"/>
    <n v="5"/>
    <n v="3"/>
    <s v="Medical"/>
    <n v="1"/>
    <n v="1669"/>
    <n v="1"/>
    <x v="1"/>
    <n v="43"/>
    <n v="2"/>
    <x v="0"/>
    <x v="0"/>
    <n v="2"/>
    <x v="2"/>
    <n v="4187"/>
    <n v="3356"/>
    <n v="1"/>
    <s v="Y"/>
    <x v="0"/>
    <n v="13"/>
    <n v="3"/>
    <n v="2"/>
    <n v="80"/>
    <n v="1"/>
    <n v="10"/>
    <n v="3"/>
    <n v="2"/>
    <n v="10"/>
    <n v="0"/>
    <n v="0"/>
    <n v="9"/>
    <x v="2"/>
    <x v="0"/>
    <x v="2"/>
    <n v="0"/>
  </r>
  <r>
    <x v="3"/>
    <x v="1"/>
    <x v="0"/>
    <n v="392"/>
    <x v="0"/>
    <n v="2"/>
    <n v="4"/>
    <s v="Medical"/>
    <n v="1"/>
    <n v="1670"/>
    <n v="4"/>
    <x v="1"/>
    <n v="93"/>
    <n v="3"/>
    <x v="0"/>
    <x v="0"/>
    <n v="4"/>
    <x v="2"/>
    <n v="5505"/>
    <n v="3921"/>
    <n v="1"/>
    <s v="Y"/>
    <x v="1"/>
    <n v="14"/>
    <n v="3"/>
    <n v="3"/>
    <n v="80"/>
    <n v="2"/>
    <n v="6"/>
    <n v="5"/>
    <n v="3"/>
    <n v="6"/>
    <n v="2"/>
    <n v="0"/>
    <n v="4"/>
    <x v="2"/>
    <x v="0"/>
    <x v="0"/>
    <n v="0"/>
  </r>
  <r>
    <x v="5"/>
    <x v="1"/>
    <x v="0"/>
    <n v="977"/>
    <x v="1"/>
    <n v="2"/>
    <n v="3"/>
    <s v="Medical"/>
    <n v="1"/>
    <n v="1671"/>
    <n v="4"/>
    <x v="1"/>
    <n v="45"/>
    <n v="3"/>
    <x v="0"/>
    <x v="1"/>
    <n v="2"/>
    <x v="2"/>
    <n v="5470"/>
    <n v="25518"/>
    <n v="0"/>
    <s v="Y"/>
    <x v="1"/>
    <n v="13"/>
    <n v="3"/>
    <n v="3"/>
    <n v="80"/>
    <n v="2"/>
    <n v="10"/>
    <n v="4"/>
    <n v="2"/>
    <n v="9"/>
    <n v="5"/>
    <n v="1"/>
    <n v="6"/>
    <x v="2"/>
    <x v="0"/>
    <x v="0"/>
    <n v="0"/>
  </r>
  <r>
    <x v="12"/>
    <x v="1"/>
    <x v="0"/>
    <n v="1112"/>
    <x v="0"/>
    <n v="5"/>
    <n v="4"/>
    <s v="Life Sciences"/>
    <n v="1"/>
    <n v="1673"/>
    <n v="1"/>
    <x v="0"/>
    <n v="67"/>
    <n v="3"/>
    <x v="0"/>
    <x v="0"/>
    <n v="4"/>
    <x v="1"/>
    <n v="5476"/>
    <n v="22589"/>
    <n v="1"/>
    <s v="Y"/>
    <x v="1"/>
    <n v="11"/>
    <n v="3"/>
    <n v="1"/>
    <n v="80"/>
    <n v="2"/>
    <n v="10"/>
    <n v="2"/>
    <n v="3"/>
    <n v="10"/>
    <n v="0"/>
    <n v="0"/>
    <n v="2"/>
    <x v="2"/>
    <x v="0"/>
    <x v="0"/>
    <n v="0"/>
  </r>
  <r>
    <x v="1"/>
    <x v="1"/>
    <x v="0"/>
    <n v="464"/>
    <x v="1"/>
    <n v="16"/>
    <n v="3"/>
    <s v="Medical"/>
    <n v="1"/>
    <n v="1674"/>
    <n v="4"/>
    <x v="0"/>
    <n v="74"/>
    <n v="3"/>
    <x v="1"/>
    <x v="2"/>
    <n v="1"/>
    <x v="2"/>
    <n v="2587"/>
    <n v="24941"/>
    <n v="4"/>
    <s v="Y"/>
    <x v="0"/>
    <n v="16"/>
    <n v="3"/>
    <n v="2"/>
    <n v="80"/>
    <n v="1"/>
    <n v="17"/>
    <n v="2"/>
    <n v="2"/>
    <n v="2"/>
    <n v="2"/>
    <n v="2"/>
    <n v="2"/>
    <x v="1"/>
    <x v="1"/>
    <x v="1"/>
    <n v="0"/>
  </r>
  <r>
    <x v="8"/>
    <x v="1"/>
    <x v="1"/>
    <n v="148"/>
    <x v="1"/>
    <n v="2"/>
    <n v="3"/>
    <s v="Medical"/>
    <n v="1"/>
    <n v="1675"/>
    <n v="4"/>
    <x v="0"/>
    <n v="42"/>
    <n v="2"/>
    <x v="1"/>
    <x v="2"/>
    <n v="2"/>
    <x v="0"/>
    <n v="2440"/>
    <n v="23826"/>
    <n v="1"/>
    <s v="Y"/>
    <x v="1"/>
    <n v="22"/>
    <n v="4"/>
    <n v="2"/>
    <n v="80"/>
    <n v="0"/>
    <n v="4"/>
    <n v="3"/>
    <n v="3"/>
    <n v="4"/>
    <n v="3"/>
    <n v="3"/>
    <n v="3"/>
    <x v="0"/>
    <x v="2"/>
    <x v="1"/>
    <n v="0"/>
  </r>
  <r>
    <x v="40"/>
    <x v="1"/>
    <x v="0"/>
    <n v="1225"/>
    <x v="0"/>
    <n v="2"/>
    <n v="4"/>
    <s v="Life Sciences"/>
    <n v="1"/>
    <n v="1676"/>
    <n v="2"/>
    <x v="0"/>
    <n v="47"/>
    <n v="4"/>
    <x v="3"/>
    <x v="5"/>
    <n v="2"/>
    <x v="2"/>
    <n v="15972"/>
    <n v="21086"/>
    <n v="6"/>
    <s v="Y"/>
    <x v="1"/>
    <n v="14"/>
    <n v="3"/>
    <n v="3"/>
    <n v="80"/>
    <n v="3"/>
    <n v="29"/>
    <n v="2"/>
    <n v="3"/>
    <n v="3"/>
    <n v="2"/>
    <n v="1"/>
    <n v="2"/>
    <x v="1"/>
    <x v="2"/>
    <x v="3"/>
    <n v="0"/>
  </r>
  <r>
    <x v="1"/>
    <x v="1"/>
    <x v="0"/>
    <n v="809"/>
    <x v="1"/>
    <n v="1"/>
    <n v="3"/>
    <s v="Life Sciences"/>
    <n v="1"/>
    <n v="1677"/>
    <n v="3"/>
    <x v="1"/>
    <n v="36"/>
    <n v="3"/>
    <x v="3"/>
    <x v="5"/>
    <n v="3"/>
    <x v="0"/>
    <n v="15379"/>
    <n v="22384"/>
    <n v="4"/>
    <s v="Y"/>
    <x v="1"/>
    <n v="14"/>
    <n v="3"/>
    <n v="1"/>
    <n v="80"/>
    <n v="0"/>
    <n v="23"/>
    <n v="2"/>
    <n v="3"/>
    <n v="8"/>
    <n v="7"/>
    <n v="0"/>
    <n v="0"/>
    <x v="1"/>
    <x v="0"/>
    <x v="3"/>
    <n v="0"/>
  </r>
  <r>
    <x v="0"/>
    <x v="1"/>
    <x v="0"/>
    <n v="1206"/>
    <x v="0"/>
    <n v="23"/>
    <n v="2"/>
    <s v="Life Sciences"/>
    <n v="1"/>
    <n v="1678"/>
    <n v="4"/>
    <x v="1"/>
    <n v="80"/>
    <n v="3"/>
    <x v="2"/>
    <x v="0"/>
    <n v="3"/>
    <x v="0"/>
    <n v="7082"/>
    <n v="11591"/>
    <n v="3"/>
    <s v="Y"/>
    <x v="0"/>
    <n v="16"/>
    <n v="3"/>
    <n v="4"/>
    <n v="80"/>
    <n v="0"/>
    <n v="21"/>
    <n v="2"/>
    <n v="3"/>
    <n v="2"/>
    <n v="0"/>
    <n v="0"/>
    <n v="2"/>
    <x v="0"/>
    <x v="1"/>
    <x v="0"/>
    <n v="0"/>
  </r>
  <r>
    <x v="35"/>
    <x v="1"/>
    <x v="0"/>
    <n v="727"/>
    <x v="0"/>
    <n v="9"/>
    <n v="1"/>
    <s v="Life Sciences"/>
    <n v="1"/>
    <n v="1680"/>
    <n v="4"/>
    <x v="1"/>
    <n v="54"/>
    <n v="3"/>
    <x v="1"/>
    <x v="6"/>
    <n v="1"/>
    <x v="0"/>
    <n v="2728"/>
    <n v="21082"/>
    <n v="1"/>
    <s v="Y"/>
    <x v="1"/>
    <n v="11"/>
    <n v="3"/>
    <n v="1"/>
    <n v="80"/>
    <n v="0"/>
    <n v="2"/>
    <n v="3"/>
    <n v="3"/>
    <n v="2"/>
    <n v="2"/>
    <n v="0"/>
    <n v="2"/>
    <x v="4"/>
    <x v="1"/>
    <x v="1"/>
    <n v="0"/>
  </r>
  <r>
    <x v="3"/>
    <x v="1"/>
    <x v="2"/>
    <n v="530"/>
    <x v="0"/>
    <n v="16"/>
    <n v="3"/>
    <s v="Life Sciences"/>
    <n v="1"/>
    <n v="1681"/>
    <n v="3"/>
    <x v="0"/>
    <n v="36"/>
    <n v="3"/>
    <x v="0"/>
    <x v="0"/>
    <n v="4"/>
    <x v="2"/>
    <n v="5368"/>
    <n v="16130"/>
    <n v="1"/>
    <s v="Y"/>
    <x v="0"/>
    <n v="25"/>
    <n v="4"/>
    <n v="3"/>
    <n v="80"/>
    <n v="1"/>
    <n v="7"/>
    <n v="2"/>
    <n v="3"/>
    <n v="6"/>
    <n v="5"/>
    <n v="1"/>
    <n v="2"/>
    <x v="2"/>
    <x v="0"/>
    <x v="0"/>
    <n v="0"/>
  </r>
  <r>
    <x v="9"/>
    <x v="1"/>
    <x v="0"/>
    <n v="1351"/>
    <x v="1"/>
    <n v="26"/>
    <n v="4"/>
    <s v="Life Sciences"/>
    <n v="1"/>
    <n v="1682"/>
    <n v="1"/>
    <x v="1"/>
    <n v="80"/>
    <n v="3"/>
    <x v="0"/>
    <x v="4"/>
    <n v="3"/>
    <x v="1"/>
    <n v="5347"/>
    <n v="7419"/>
    <n v="6"/>
    <s v="Y"/>
    <x v="1"/>
    <n v="14"/>
    <n v="3"/>
    <n v="2"/>
    <n v="80"/>
    <n v="2"/>
    <n v="10"/>
    <n v="2"/>
    <n v="2"/>
    <n v="3"/>
    <n v="2"/>
    <n v="0"/>
    <n v="2"/>
    <x v="0"/>
    <x v="2"/>
    <x v="0"/>
    <n v="0"/>
  </r>
  <r>
    <x v="20"/>
    <x v="1"/>
    <x v="0"/>
    <n v="528"/>
    <x v="2"/>
    <n v="1"/>
    <n v="3"/>
    <s v="Life Sciences"/>
    <n v="1"/>
    <n v="1683"/>
    <n v="3"/>
    <x v="0"/>
    <n v="44"/>
    <n v="3"/>
    <x v="1"/>
    <x v="8"/>
    <n v="4"/>
    <x v="2"/>
    <n v="3195"/>
    <n v="4167"/>
    <n v="4"/>
    <s v="Y"/>
    <x v="0"/>
    <n v="18"/>
    <n v="3"/>
    <n v="1"/>
    <n v="80"/>
    <n v="3"/>
    <n v="8"/>
    <n v="2"/>
    <n v="3"/>
    <n v="2"/>
    <n v="2"/>
    <n v="2"/>
    <n v="2"/>
    <x v="0"/>
    <x v="1"/>
    <x v="2"/>
    <n v="0"/>
  </r>
  <r>
    <x v="30"/>
    <x v="0"/>
    <x v="0"/>
    <n v="1320"/>
    <x v="1"/>
    <n v="8"/>
    <n v="1"/>
    <s v="Medical"/>
    <n v="1"/>
    <n v="1684"/>
    <n v="4"/>
    <x v="1"/>
    <n v="93"/>
    <n v="2"/>
    <x v="1"/>
    <x v="2"/>
    <n v="3"/>
    <x v="0"/>
    <n v="3989"/>
    <n v="20586"/>
    <n v="1"/>
    <s v="Y"/>
    <x v="0"/>
    <n v="11"/>
    <n v="3"/>
    <n v="1"/>
    <n v="80"/>
    <n v="0"/>
    <n v="5"/>
    <n v="2"/>
    <n v="3"/>
    <n v="5"/>
    <n v="4"/>
    <n v="1"/>
    <n v="2"/>
    <x v="4"/>
    <x v="2"/>
    <x v="2"/>
    <n v="1"/>
  </r>
  <r>
    <x v="8"/>
    <x v="1"/>
    <x v="0"/>
    <n v="1495"/>
    <x v="1"/>
    <n v="4"/>
    <n v="2"/>
    <s v="Medical"/>
    <n v="1"/>
    <n v="1687"/>
    <n v="4"/>
    <x v="0"/>
    <n v="87"/>
    <n v="3"/>
    <x v="1"/>
    <x v="2"/>
    <n v="3"/>
    <x v="1"/>
    <n v="3306"/>
    <n v="26176"/>
    <n v="7"/>
    <s v="Y"/>
    <x v="1"/>
    <n v="19"/>
    <n v="3"/>
    <n v="4"/>
    <n v="80"/>
    <n v="1"/>
    <n v="7"/>
    <n v="5"/>
    <n v="2"/>
    <n v="0"/>
    <n v="0"/>
    <n v="0"/>
    <n v="0"/>
    <x v="0"/>
    <x v="1"/>
    <x v="2"/>
    <n v="0"/>
  </r>
  <r>
    <x v="16"/>
    <x v="1"/>
    <x v="0"/>
    <n v="1395"/>
    <x v="1"/>
    <n v="24"/>
    <n v="4"/>
    <s v="Medical"/>
    <n v="1"/>
    <n v="1689"/>
    <n v="2"/>
    <x v="1"/>
    <n v="48"/>
    <n v="4"/>
    <x v="2"/>
    <x v="4"/>
    <n v="4"/>
    <x v="1"/>
    <n v="7005"/>
    <n v="3458"/>
    <n v="3"/>
    <s v="Y"/>
    <x v="1"/>
    <n v="15"/>
    <n v="3"/>
    <n v="3"/>
    <n v="80"/>
    <n v="0"/>
    <n v="11"/>
    <n v="2"/>
    <n v="3"/>
    <n v="4"/>
    <n v="3"/>
    <n v="1"/>
    <n v="2"/>
    <x v="1"/>
    <x v="2"/>
    <x v="0"/>
    <n v="0"/>
  </r>
  <r>
    <x v="26"/>
    <x v="0"/>
    <x v="1"/>
    <n v="708"/>
    <x v="0"/>
    <n v="7"/>
    <n v="2"/>
    <s v="Medical"/>
    <n v="1"/>
    <n v="1691"/>
    <n v="4"/>
    <x v="0"/>
    <n v="95"/>
    <n v="3"/>
    <x v="1"/>
    <x v="6"/>
    <n v="3"/>
    <x v="1"/>
    <n v="2655"/>
    <n v="11740"/>
    <n v="2"/>
    <s v="Y"/>
    <x v="0"/>
    <n v="11"/>
    <n v="3"/>
    <n v="3"/>
    <n v="80"/>
    <n v="2"/>
    <n v="19"/>
    <n v="3"/>
    <n v="3"/>
    <n v="9"/>
    <n v="7"/>
    <n v="7"/>
    <n v="7"/>
    <x v="1"/>
    <x v="0"/>
    <x v="1"/>
    <n v="1"/>
  </r>
  <r>
    <x v="5"/>
    <x v="0"/>
    <x v="0"/>
    <n v="1259"/>
    <x v="1"/>
    <n v="2"/>
    <n v="4"/>
    <s v="Life Sciences"/>
    <n v="1"/>
    <n v="1692"/>
    <n v="4"/>
    <x v="1"/>
    <n v="95"/>
    <n v="3"/>
    <x v="1"/>
    <x v="2"/>
    <n v="2"/>
    <x v="0"/>
    <n v="1393"/>
    <n v="24852"/>
    <n v="1"/>
    <s v="Y"/>
    <x v="1"/>
    <n v="12"/>
    <n v="3"/>
    <n v="1"/>
    <n v="80"/>
    <n v="0"/>
    <n v="1"/>
    <n v="2"/>
    <n v="3"/>
    <n v="1"/>
    <n v="0"/>
    <n v="0"/>
    <n v="0"/>
    <x v="2"/>
    <x v="1"/>
    <x v="1"/>
    <n v="1"/>
  </r>
  <r>
    <x v="25"/>
    <x v="1"/>
    <x v="2"/>
    <n v="786"/>
    <x v="1"/>
    <n v="7"/>
    <n v="3"/>
    <s v="Medical"/>
    <n v="1"/>
    <n v="1693"/>
    <n v="4"/>
    <x v="1"/>
    <n v="76"/>
    <n v="3"/>
    <x v="1"/>
    <x v="2"/>
    <n v="4"/>
    <x v="0"/>
    <n v="2570"/>
    <n v="11925"/>
    <n v="1"/>
    <s v="Y"/>
    <x v="1"/>
    <n v="20"/>
    <n v="4"/>
    <n v="3"/>
    <n v="80"/>
    <n v="0"/>
    <n v="7"/>
    <n v="5"/>
    <n v="3"/>
    <n v="7"/>
    <n v="7"/>
    <n v="5"/>
    <n v="7"/>
    <x v="2"/>
    <x v="0"/>
    <x v="1"/>
    <n v="0"/>
  </r>
  <r>
    <x v="27"/>
    <x v="1"/>
    <x v="0"/>
    <n v="1441"/>
    <x v="1"/>
    <n v="22"/>
    <n v="3"/>
    <s v="Technical Degree"/>
    <n v="1"/>
    <n v="1694"/>
    <n v="1"/>
    <x v="1"/>
    <n v="94"/>
    <n v="2"/>
    <x v="1"/>
    <x v="1"/>
    <n v="2"/>
    <x v="2"/>
    <n v="3537"/>
    <n v="23737"/>
    <n v="5"/>
    <s v="Y"/>
    <x v="1"/>
    <n v="12"/>
    <n v="3"/>
    <n v="4"/>
    <n v="80"/>
    <n v="1"/>
    <n v="8"/>
    <n v="1"/>
    <n v="3"/>
    <n v="4"/>
    <n v="2"/>
    <n v="1"/>
    <n v="2"/>
    <x v="3"/>
    <x v="2"/>
    <x v="2"/>
    <n v="0"/>
  </r>
  <r>
    <x v="13"/>
    <x v="1"/>
    <x v="0"/>
    <n v="1157"/>
    <x v="1"/>
    <n v="5"/>
    <n v="2"/>
    <s v="Medical"/>
    <n v="1"/>
    <n v="1696"/>
    <n v="2"/>
    <x v="1"/>
    <n v="57"/>
    <n v="2"/>
    <x v="0"/>
    <x v="2"/>
    <n v="4"/>
    <x v="1"/>
    <n v="3986"/>
    <n v="11912"/>
    <n v="1"/>
    <s v="Y"/>
    <x v="1"/>
    <n v="14"/>
    <n v="3"/>
    <n v="3"/>
    <n v="80"/>
    <n v="1"/>
    <n v="15"/>
    <n v="3"/>
    <n v="4"/>
    <n v="15"/>
    <n v="10"/>
    <n v="4"/>
    <n v="13"/>
    <x v="2"/>
    <x v="3"/>
    <x v="2"/>
    <n v="0"/>
  </r>
  <r>
    <x v="42"/>
    <x v="1"/>
    <x v="0"/>
    <n v="370"/>
    <x v="1"/>
    <n v="1"/>
    <n v="4"/>
    <s v="Medical"/>
    <n v="1"/>
    <n v="1697"/>
    <n v="3"/>
    <x v="1"/>
    <n v="92"/>
    <n v="1"/>
    <x v="2"/>
    <x v="4"/>
    <n v="4"/>
    <x v="2"/>
    <n v="10883"/>
    <n v="20467"/>
    <n v="3"/>
    <s v="Y"/>
    <x v="1"/>
    <n v="20"/>
    <n v="4"/>
    <n v="3"/>
    <n v="80"/>
    <n v="1"/>
    <n v="19"/>
    <n v="2"/>
    <n v="4"/>
    <n v="1"/>
    <n v="0"/>
    <n v="0"/>
    <n v="0"/>
    <x v="3"/>
    <x v="1"/>
    <x v="3"/>
    <n v="0"/>
  </r>
  <r>
    <x v="3"/>
    <x v="1"/>
    <x v="0"/>
    <n v="267"/>
    <x v="1"/>
    <n v="21"/>
    <n v="3"/>
    <s v="Medical"/>
    <n v="1"/>
    <n v="1698"/>
    <n v="2"/>
    <x v="1"/>
    <n v="79"/>
    <n v="4"/>
    <x v="1"/>
    <x v="2"/>
    <n v="2"/>
    <x v="1"/>
    <n v="2028"/>
    <n v="13637"/>
    <n v="1"/>
    <s v="Y"/>
    <x v="1"/>
    <n v="18"/>
    <n v="3"/>
    <n v="4"/>
    <n v="80"/>
    <n v="3"/>
    <n v="14"/>
    <n v="6"/>
    <n v="3"/>
    <n v="14"/>
    <n v="11"/>
    <n v="2"/>
    <n v="13"/>
    <x v="2"/>
    <x v="3"/>
    <x v="1"/>
    <n v="0"/>
  </r>
  <r>
    <x v="2"/>
    <x v="1"/>
    <x v="1"/>
    <n v="1278"/>
    <x v="0"/>
    <n v="1"/>
    <n v="4"/>
    <s v="Medical"/>
    <n v="1"/>
    <n v="1700"/>
    <n v="3"/>
    <x v="1"/>
    <n v="31"/>
    <n v="1"/>
    <x v="0"/>
    <x v="0"/>
    <n v="4"/>
    <x v="2"/>
    <n v="9525"/>
    <n v="7677"/>
    <n v="1"/>
    <s v="Y"/>
    <x v="1"/>
    <n v="14"/>
    <n v="3"/>
    <n v="3"/>
    <n v="80"/>
    <n v="2"/>
    <n v="6"/>
    <n v="2"/>
    <n v="2"/>
    <n v="6"/>
    <n v="3"/>
    <n v="1"/>
    <n v="3"/>
    <x v="0"/>
    <x v="0"/>
    <x v="3"/>
    <n v="0"/>
  </r>
  <r>
    <x v="13"/>
    <x v="1"/>
    <x v="0"/>
    <n v="678"/>
    <x v="1"/>
    <n v="19"/>
    <n v="3"/>
    <s v="Life Sciences"/>
    <n v="1"/>
    <n v="1701"/>
    <n v="2"/>
    <x v="0"/>
    <n v="35"/>
    <n v="2"/>
    <x v="1"/>
    <x v="1"/>
    <n v="4"/>
    <x v="1"/>
    <n v="2929"/>
    <n v="20338"/>
    <n v="1"/>
    <s v="Y"/>
    <x v="1"/>
    <n v="12"/>
    <n v="3"/>
    <n v="2"/>
    <n v="80"/>
    <n v="0"/>
    <n v="10"/>
    <n v="3"/>
    <n v="3"/>
    <n v="10"/>
    <n v="9"/>
    <n v="8"/>
    <n v="7"/>
    <x v="2"/>
    <x v="0"/>
    <x v="1"/>
    <n v="0"/>
  </r>
  <r>
    <x v="30"/>
    <x v="0"/>
    <x v="0"/>
    <n v="427"/>
    <x v="0"/>
    <n v="7"/>
    <n v="3"/>
    <s v="Life Sciences"/>
    <n v="1"/>
    <n v="1702"/>
    <n v="3"/>
    <x v="1"/>
    <n v="99"/>
    <n v="3"/>
    <x v="1"/>
    <x v="6"/>
    <n v="4"/>
    <x v="2"/>
    <n v="2275"/>
    <n v="25103"/>
    <n v="1"/>
    <s v="Y"/>
    <x v="0"/>
    <n v="21"/>
    <n v="4"/>
    <n v="2"/>
    <n v="80"/>
    <n v="1"/>
    <n v="3"/>
    <n v="2"/>
    <n v="3"/>
    <n v="3"/>
    <n v="2"/>
    <n v="0"/>
    <n v="2"/>
    <x v="4"/>
    <x v="2"/>
    <x v="1"/>
    <n v="1"/>
  </r>
  <r>
    <x v="20"/>
    <x v="1"/>
    <x v="0"/>
    <n v="921"/>
    <x v="1"/>
    <n v="2"/>
    <n v="3"/>
    <s v="Life Sciences"/>
    <n v="1"/>
    <n v="1703"/>
    <n v="3"/>
    <x v="0"/>
    <n v="96"/>
    <n v="4"/>
    <x v="2"/>
    <x v="4"/>
    <n v="4"/>
    <x v="1"/>
    <n v="7879"/>
    <n v="14810"/>
    <n v="1"/>
    <s v="Y"/>
    <x v="0"/>
    <n v="19"/>
    <n v="3"/>
    <n v="2"/>
    <n v="80"/>
    <n v="1"/>
    <n v="9"/>
    <n v="2"/>
    <n v="3"/>
    <n v="8"/>
    <n v="7"/>
    <n v="6"/>
    <n v="7"/>
    <x v="0"/>
    <x v="0"/>
    <x v="0"/>
    <n v="0"/>
  </r>
  <r>
    <x v="10"/>
    <x v="1"/>
    <x v="1"/>
    <n v="146"/>
    <x v="1"/>
    <n v="2"/>
    <n v="4"/>
    <s v="Medical"/>
    <n v="1"/>
    <n v="1704"/>
    <n v="1"/>
    <x v="1"/>
    <n v="79"/>
    <n v="2"/>
    <x v="1"/>
    <x v="1"/>
    <n v="4"/>
    <x v="0"/>
    <n v="4930"/>
    <n v="13970"/>
    <n v="0"/>
    <s v="Y"/>
    <x v="0"/>
    <n v="14"/>
    <n v="3"/>
    <n v="3"/>
    <n v="80"/>
    <n v="0"/>
    <n v="6"/>
    <n v="2"/>
    <n v="4"/>
    <n v="5"/>
    <n v="4"/>
    <n v="1"/>
    <n v="4"/>
    <x v="0"/>
    <x v="2"/>
    <x v="2"/>
    <n v="0"/>
  </r>
  <r>
    <x v="23"/>
    <x v="1"/>
    <x v="0"/>
    <n v="1179"/>
    <x v="0"/>
    <n v="2"/>
    <n v="3"/>
    <s v="Medical"/>
    <n v="1"/>
    <n v="1706"/>
    <n v="4"/>
    <x v="1"/>
    <n v="73"/>
    <n v="3"/>
    <x v="0"/>
    <x v="0"/>
    <n v="4"/>
    <x v="1"/>
    <n v="7847"/>
    <n v="6069"/>
    <n v="1"/>
    <s v="Y"/>
    <x v="0"/>
    <n v="17"/>
    <n v="3"/>
    <n v="1"/>
    <n v="80"/>
    <n v="1"/>
    <n v="10"/>
    <n v="3"/>
    <n v="3"/>
    <n v="10"/>
    <n v="9"/>
    <n v="8"/>
    <n v="8"/>
    <x v="0"/>
    <x v="0"/>
    <x v="0"/>
    <n v="0"/>
  </r>
  <r>
    <x v="17"/>
    <x v="1"/>
    <x v="0"/>
    <n v="581"/>
    <x v="1"/>
    <n v="9"/>
    <n v="3"/>
    <s v="Medical"/>
    <n v="1"/>
    <n v="1707"/>
    <n v="3"/>
    <x v="1"/>
    <n v="62"/>
    <n v="4"/>
    <x v="1"/>
    <x v="1"/>
    <n v="3"/>
    <x v="1"/>
    <n v="4401"/>
    <n v="17616"/>
    <n v="1"/>
    <s v="Y"/>
    <x v="1"/>
    <n v="16"/>
    <n v="3"/>
    <n v="4"/>
    <n v="80"/>
    <n v="1"/>
    <n v="5"/>
    <n v="1"/>
    <n v="3"/>
    <n v="5"/>
    <n v="3"/>
    <n v="0"/>
    <n v="4"/>
    <x v="4"/>
    <x v="2"/>
    <x v="2"/>
    <n v="0"/>
  </r>
  <r>
    <x v="0"/>
    <x v="1"/>
    <x v="0"/>
    <n v="918"/>
    <x v="0"/>
    <n v="6"/>
    <n v="3"/>
    <s v="Marketing"/>
    <n v="1"/>
    <n v="1708"/>
    <n v="4"/>
    <x v="1"/>
    <n v="35"/>
    <n v="3"/>
    <x v="2"/>
    <x v="0"/>
    <n v="3"/>
    <x v="0"/>
    <n v="9241"/>
    <n v="15869"/>
    <n v="1"/>
    <s v="Y"/>
    <x v="1"/>
    <n v="12"/>
    <n v="3"/>
    <n v="2"/>
    <n v="80"/>
    <n v="0"/>
    <n v="10"/>
    <n v="3"/>
    <n v="3"/>
    <n v="10"/>
    <n v="8"/>
    <n v="8"/>
    <n v="7"/>
    <x v="0"/>
    <x v="0"/>
    <x v="3"/>
    <n v="0"/>
  </r>
  <r>
    <x v="11"/>
    <x v="1"/>
    <x v="0"/>
    <n v="1082"/>
    <x v="1"/>
    <n v="9"/>
    <n v="4"/>
    <s v="Medical"/>
    <n v="1"/>
    <n v="1709"/>
    <n v="4"/>
    <x v="0"/>
    <n v="43"/>
    <n v="3"/>
    <x v="1"/>
    <x v="2"/>
    <n v="3"/>
    <x v="1"/>
    <n v="2974"/>
    <n v="25412"/>
    <n v="9"/>
    <s v="Y"/>
    <x v="1"/>
    <n v="17"/>
    <n v="3"/>
    <n v="3"/>
    <n v="80"/>
    <n v="1"/>
    <n v="9"/>
    <n v="2"/>
    <n v="3"/>
    <n v="5"/>
    <n v="3"/>
    <n v="1"/>
    <n v="2"/>
    <x v="2"/>
    <x v="2"/>
    <x v="1"/>
    <n v="0"/>
  </r>
  <r>
    <x v="9"/>
    <x v="1"/>
    <x v="0"/>
    <n v="530"/>
    <x v="0"/>
    <n v="2"/>
    <n v="4"/>
    <s v="Life Sciences"/>
    <n v="1"/>
    <n v="1710"/>
    <n v="3"/>
    <x v="0"/>
    <n v="51"/>
    <n v="3"/>
    <x v="0"/>
    <x v="6"/>
    <n v="4"/>
    <x v="0"/>
    <n v="4502"/>
    <n v="7439"/>
    <n v="3"/>
    <s v="Y"/>
    <x v="1"/>
    <n v="15"/>
    <n v="3"/>
    <n v="3"/>
    <n v="80"/>
    <n v="0"/>
    <n v="17"/>
    <n v="2"/>
    <n v="2"/>
    <n v="13"/>
    <n v="7"/>
    <n v="6"/>
    <n v="7"/>
    <x v="0"/>
    <x v="3"/>
    <x v="2"/>
    <n v="0"/>
  </r>
  <r>
    <x v="28"/>
    <x v="1"/>
    <x v="2"/>
    <n v="1238"/>
    <x v="1"/>
    <n v="1"/>
    <n v="1"/>
    <s v="Life Sciences"/>
    <n v="1"/>
    <n v="1712"/>
    <n v="3"/>
    <x v="1"/>
    <n v="74"/>
    <n v="2"/>
    <x v="2"/>
    <x v="4"/>
    <n v="3"/>
    <x v="1"/>
    <n v="10748"/>
    <n v="3395"/>
    <n v="3"/>
    <s v="Y"/>
    <x v="1"/>
    <n v="23"/>
    <n v="4"/>
    <n v="4"/>
    <n v="80"/>
    <n v="1"/>
    <n v="25"/>
    <n v="3"/>
    <n v="2"/>
    <n v="23"/>
    <n v="15"/>
    <n v="14"/>
    <n v="4"/>
    <x v="1"/>
    <x v="3"/>
    <x v="3"/>
    <n v="0"/>
  </r>
  <r>
    <x v="17"/>
    <x v="0"/>
    <x v="0"/>
    <n v="240"/>
    <x v="2"/>
    <n v="22"/>
    <n v="1"/>
    <s v="Human Resources"/>
    <n v="1"/>
    <n v="1714"/>
    <n v="4"/>
    <x v="1"/>
    <n v="58"/>
    <n v="1"/>
    <x v="1"/>
    <x v="8"/>
    <n v="3"/>
    <x v="1"/>
    <n v="1555"/>
    <n v="11585"/>
    <n v="1"/>
    <s v="Y"/>
    <x v="1"/>
    <n v="11"/>
    <n v="3"/>
    <n v="3"/>
    <n v="80"/>
    <n v="1"/>
    <n v="1"/>
    <n v="2"/>
    <n v="3"/>
    <n v="1"/>
    <n v="0"/>
    <n v="0"/>
    <n v="0"/>
    <x v="4"/>
    <x v="1"/>
    <x v="1"/>
    <n v="1"/>
  </r>
  <r>
    <x v="40"/>
    <x v="0"/>
    <x v="1"/>
    <n v="1093"/>
    <x v="0"/>
    <n v="9"/>
    <n v="3"/>
    <s v="Life Sciences"/>
    <n v="1"/>
    <n v="1716"/>
    <n v="3"/>
    <x v="1"/>
    <n v="82"/>
    <n v="1"/>
    <x v="3"/>
    <x v="0"/>
    <n v="3"/>
    <x v="1"/>
    <n v="12936"/>
    <n v="24164"/>
    <n v="7"/>
    <s v="Y"/>
    <x v="1"/>
    <n v="11"/>
    <n v="3"/>
    <n v="3"/>
    <n v="80"/>
    <n v="0"/>
    <n v="25"/>
    <n v="3"/>
    <n v="1"/>
    <n v="23"/>
    <n v="5"/>
    <n v="14"/>
    <n v="10"/>
    <x v="1"/>
    <x v="3"/>
    <x v="3"/>
    <n v="1"/>
  </r>
  <r>
    <x v="25"/>
    <x v="1"/>
    <x v="0"/>
    <n v="390"/>
    <x v="1"/>
    <n v="17"/>
    <n v="4"/>
    <s v="Medical"/>
    <n v="1"/>
    <n v="1718"/>
    <n v="4"/>
    <x v="1"/>
    <n v="62"/>
    <n v="1"/>
    <x v="1"/>
    <x v="2"/>
    <n v="3"/>
    <x v="1"/>
    <n v="2305"/>
    <n v="6217"/>
    <n v="1"/>
    <s v="Y"/>
    <x v="1"/>
    <n v="15"/>
    <n v="3"/>
    <n v="3"/>
    <n v="80"/>
    <n v="3"/>
    <n v="3"/>
    <n v="3"/>
    <n v="4"/>
    <n v="3"/>
    <n v="2"/>
    <n v="0"/>
    <n v="2"/>
    <x v="2"/>
    <x v="2"/>
    <x v="1"/>
    <n v="0"/>
  </r>
  <r>
    <x v="28"/>
    <x v="1"/>
    <x v="0"/>
    <n v="1005"/>
    <x v="1"/>
    <n v="28"/>
    <n v="2"/>
    <s v="Technical Degree"/>
    <n v="1"/>
    <n v="1719"/>
    <n v="4"/>
    <x v="0"/>
    <n v="48"/>
    <n v="2"/>
    <x v="3"/>
    <x v="7"/>
    <n v="2"/>
    <x v="0"/>
    <n v="16704"/>
    <n v="17119"/>
    <n v="1"/>
    <s v="Y"/>
    <x v="1"/>
    <n v="11"/>
    <n v="3"/>
    <n v="3"/>
    <n v="80"/>
    <n v="0"/>
    <n v="21"/>
    <n v="2"/>
    <n v="3"/>
    <n v="21"/>
    <n v="6"/>
    <n v="8"/>
    <n v="6"/>
    <x v="1"/>
    <x v="3"/>
    <x v="3"/>
    <n v="0"/>
  </r>
  <r>
    <x v="5"/>
    <x v="1"/>
    <x v="1"/>
    <n v="585"/>
    <x v="1"/>
    <n v="10"/>
    <n v="3"/>
    <s v="Life Sciences"/>
    <n v="1"/>
    <n v="1720"/>
    <n v="1"/>
    <x v="1"/>
    <n v="56"/>
    <n v="3"/>
    <x v="1"/>
    <x v="1"/>
    <n v="3"/>
    <x v="1"/>
    <n v="3433"/>
    <n v="17360"/>
    <n v="6"/>
    <s v="Y"/>
    <x v="1"/>
    <n v="13"/>
    <n v="3"/>
    <n v="1"/>
    <n v="80"/>
    <n v="1"/>
    <n v="10"/>
    <n v="3"/>
    <n v="2"/>
    <n v="5"/>
    <n v="2"/>
    <n v="1"/>
    <n v="3"/>
    <x v="2"/>
    <x v="2"/>
    <x v="2"/>
    <n v="0"/>
  </r>
  <r>
    <x v="12"/>
    <x v="1"/>
    <x v="0"/>
    <n v="741"/>
    <x v="1"/>
    <n v="2"/>
    <n v="4"/>
    <s v="Life Sciences"/>
    <n v="1"/>
    <n v="1721"/>
    <n v="2"/>
    <x v="1"/>
    <n v="69"/>
    <n v="3"/>
    <x v="1"/>
    <x v="2"/>
    <n v="3"/>
    <x v="1"/>
    <n v="3477"/>
    <n v="18103"/>
    <n v="1"/>
    <s v="Y"/>
    <x v="1"/>
    <n v="14"/>
    <n v="3"/>
    <n v="4"/>
    <n v="80"/>
    <n v="1"/>
    <n v="6"/>
    <n v="2"/>
    <n v="4"/>
    <n v="5"/>
    <n v="2"/>
    <n v="0"/>
    <n v="3"/>
    <x v="2"/>
    <x v="2"/>
    <x v="2"/>
    <n v="0"/>
  </r>
  <r>
    <x v="0"/>
    <x v="1"/>
    <x v="2"/>
    <n v="552"/>
    <x v="2"/>
    <n v="4"/>
    <n v="3"/>
    <s v="Human Resources"/>
    <n v="1"/>
    <n v="1722"/>
    <n v="3"/>
    <x v="1"/>
    <n v="60"/>
    <n v="1"/>
    <x v="0"/>
    <x v="8"/>
    <n v="2"/>
    <x v="1"/>
    <n v="6430"/>
    <n v="20794"/>
    <n v="6"/>
    <s v="Y"/>
    <x v="1"/>
    <n v="19"/>
    <n v="3"/>
    <n v="2"/>
    <n v="80"/>
    <n v="1"/>
    <n v="10"/>
    <n v="4"/>
    <n v="3"/>
    <n v="3"/>
    <n v="2"/>
    <n v="1"/>
    <n v="2"/>
    <x v="0"/>
    <x v="2"/>
    <x v="0"/>
    <n v="0"/>
  </r>
  <r>
    <x v="32"/>
    <x v="1"/>
    <x v="0"/>
    <n v="369"/>
    <x v="1"/>
    <n v="8"/>
    <n v="2"/>
    <s v="Life Sciences"/>
    <n v="1"/>
    <n v="1724"/>
    <n v="2"/>
    <x v="0"/>
    <n v="92"/>
    <n v="3"/>
    <x v="0"/>
    <x v="3"/>
    <n v="1"/>
    <x v="1"/>
    <n v="6516"/>
    <n v="5041"/>
    <n v="2"/>
    <s v="Y"/>
    <x v="0"/>
    <n v="16"/>
    <n v="3"/>
    <n v="2"/>
    <n v="80"/>
    <n v="1"/>
    <n v="18"/>
    <n v="3"/>
    <n v="3"/>
    <n v="1"/>
    <n v="0"/>
    <n v="0"/>
    <n v="0"/>
    <x v="0"/>
    <x v="1"/>
    <x v="0"/>
    <n v="0"/>
  </r>
  <r>
    <x v="17"/>
    <x v="1"/>
    <x v="0"/>
    <n v="506"/>
    <x v="1"/>
    <n v="29"/>
    <n v="1"/>
    <s v="Medical"/>
    <n v="1"/>
    <n v="1725"/>
    <n v="2"/>
    <x v="1"/>
    <n v="91"/>
    <n v="3"/>
    <x v="1"/>
    <x v="2"/>
    <n v="1"/>
    <x v="2"/>
    <n v="3907"/>
    <n v="3622"/>
    <n v="1"/>
    <s v="Y"/>
    <x v="1"/>
    <n v="13"/>
    <n v="3"/>
    <n v="2"/>
    <n v="80"/>
    <n v="3"/>
    <n v="6"/>
    <n v="2"/>
    <n v="4"/>
    <n v="6"/>
    <n v="2"/>
    <n v="1"/>
    <n v="2"/>
    <x v="4"/>
    <x v="0"/>
    <x v="2"/>
    <n v="0"/>
  </r>
  <r>
    <x v="21"/>
    <x v="1"/>
    <x v="0"/>
    <n v="717"/>
    <x v="1"/>
    <n v="13"/>
    <n v="4"/>
    <s v="Life Sciences"/>
    <n v="1"/>
    <n v="1727"/>
    <n v="3"/>
    <x v="1"/>
    <n v="34"/>
    <n v="3"/>
    <x v="0"/>
    <x v="4"/>
    <n v="2"/>
    <x v="0"/>
    <n v="5562"/>
    <n v="9697"/>
    <n v="6"/>
    <s v="Y"/>
    <x v="1"/>
    <n v="14"/>
    <n v="3"/>
    <n v="4"/>
    <n v="80"/>
    <n v="0"/>
    <n v="19"/>
    <n v="3"/>
    <n v="3"/>
    <n v="10"/>
    <n v="7"/>
    <n v="0"/>
    <n v="9"/>
    <x v="1"/>
    <x v="0"/>
    <x v="0"/>
    <n v="0"/>
  </r>
  <r>
    <x v="10"/>
    <x v="1"/>
    <x v="0"/>
    <n v="1370"/>
    <x v="1"/>
    <n v="27"/>
    <n v="4"/>
    <s v="Life Sciences"/>
    <n v="1"/>
    <n v="1728"/>
    <n v="4"/>
    <x v="1"/>
    <n v="49"/>
    <n v="3"/>
    <x v="0"/>
    <x v="3"/>
    <n v="3"/>
    <x v="1"/>
    <n v="6883"/>
    <n v="5151"/>
    <n v="2"/>
    <s v="Y"/>
    <x v="1"/>
    <n v="16"/>
    <n v="3"/>
    <n v="2"/>
    <n v="80"/>
    <n v="1"/>
    <n v="17"/>
    <n v="3"/>
    <n v="3"/>
    <n v="7"/>
    <n v="7"/>
    <n v="0"/>
    <n v="7"/>
    <x v="0"/>
    <x v="0"/>
    <x v="0"/>
    <n v="0"/>
  </r>
  <r>
    <x v="7"/>
    <x v="1"/>
    <x v="0"/>
    <n v="793"/>
    <x v="1"/>
    <n v="16"/>
    <n v="1"/>
    <s v="Life Sciences"/>
    <n v="1"/>
    <n v="1729"/>
    <n v="2"/>
    <x v="1"/>
    <n v="33"/>
    <n v="3"/>
    <x v="1"/>
    <x v="1"/>
    <n v="4"/>
    <x v="1"/>
    <n v="2862"/>
    <n v="3811"/>
    <n v="1"/>
    <s v="Y"/>
    <x v="1"/>
    <n v="12"/>
    <n v="3"/>
    <n v="2"/>
    <n v="80"/>
    <n v="1"/>
    <n v="10"/>
    <n v="2"/>
    <n v="2"/>
    <n v="10"/>
    <n v="0"/>
    <n v="0"/>
    <n v="8"/>
    <x v="2"/>
    <x v="0"/>
    <x v="1"/>
    <n v="0"/>
  </r>
  <r>
    <x v="40"/>
    <x v="1"/>
    <x v="2"/>
    <n v="543"/>
    <x v="0"/>
    <n v="2"/>
    <n v="4"/>
    <s v="Marketing"/>
    <n v="1"/>
    <n v="1731"/>
    <n v="3"/>
    <x v="1"/>
    <n v="87"/>
    <n v="3"/>
    <x v="0"/>
    <x v="0"/>
    <n v="2"/>
    <x v="1"/>
    <n v="4978"/>
    <n v="3536"/>
    <n v="7"/>
    <s v="Y"/>
    <x v="1"/>
    <n v="11"/>
    <n v="3"/>
    <n v="4"/>
    <n v="80"/>
    <n v="1"/>
    <n v="4"/>
    <n v="3"/>
    <n v="1"/>
    <n v="1"/>
    <n v="0"/>
    <n v="0"/>
    <n v="0"/>
    <x v="1"/>
    <x v="1"/>
    <x v="2"/>
    <n v="0"/>
  </r>
  <r>
    <x v="21"/>
    <x v="1"/>
    <x v="0"/>
    <n v="1277"/>
    <x v="0"/>
    <n v="2"/>
    <n v="3"/>
    <s v="Life Sciences"/>
    <n v="1"/>
    <n v="1732"/>
    <n v="3"/>
    <x v="1"/>
    <n v="74"/>
    <n v="3"/>
    <x v="2"/>
    <x v="0"/>
    <n v="4"/>
    <x v="2"/>
    <n v="10368"/>
    <n v="5596"/>
    <n v="4"/>
    <s v="Y"/>
    <x v="0"/>
    <n v="12"/>
    <n v="3"/>
    <n v="2"/>
    <n v="80"/>
    <n v="1"/>
    <n v="13"/>
    <n v="5"/>
    <n v="2"/>
    <n v="10"/>
    <n v="6"/>
    <n v="0"/>
    <n v="3"/>
    <x v="1"/>
    <x v="0"/>
    <x v="3"/>
    <n v="0"/>
  </r>
  <r>
    <x v="9"/>
    <x v="0"/>
    <x v="0"/>
    <n v="1456"/>
    <x v="0"/>
    <n v="13"/>
    <n v="5"/>
    <s v="Marketing"/>
    <n v="1"/>
    <n v="1733"/>
    <n v="2"/>
    <x v="1"/>
    <n v="96"/>
    <n v="2"/>
    <x v="0"/>
    <x v="0"/>
    <n v="1"/>
    <x v="2"/>
    <n v="6134"/>
    <n v="8658"/>
    <n v="5"/>
    <s v="Y"/>
    <x v="0"/>
    <n v="13"/>
    <n v="3"/>
    <n v="2"/>
    <n v="80"/>
    <n v="3"/>
    <n v="16"/>
    <n v="3"/>
    <n v="3"/>
    <n v="2"/>
    <n v="2"/>
    <n v="2"/>
    <n v="2"/>
    <x v="0"/>
    <x v="1"/>
    <x v="0"/>
    <n v="1"/>
  </r>
  <r>
    <x v="5"/>
    <x v="0"/>
    <x v="0"/>
    <n v="964"/>
    <x v="0"/>
    <n v="1"/>
    <n v="2"/>
    <s v="Life Sciences"/>
    <n v="1"/>
    <n v="1734"/>
    <n v="1"/>
    <x v="1"/>
    <n v="34"/>
    <n v="1"/>
    <x v="0"/>
    <x v="0"/>
    <n v="2"/>
    <x v="0"/>
    <n v="6735"/>
    <n v="12147"/>
    <n v="6"/>
    <s v="Y"/>
    <x v="1"/>
    <n v="15"/>
    <n v="3"/>
    <n v="2"/>
    <n v="80"/>
    <n v="0"/>
    <n v="10"/>
    <n v="2"/>
    <n v="3"/>
    <n v="0"/>
    <n v="0"/>
    <n v="0"/>
    <n v="0"/>
    <x v="2"/>
    <x v="1"/>
    <x v="0"/>
    <n v="1"/>
  </r>
  <r>
    <x v="30"/>
    <x v="1"/>
    <x v="0"/>
    <n v="160"/>
    <x v="1"/>
    <n v="4"/>
    <n v="1"/>
    <s v="Medical"/>
    <n v="1"/>
    <n v="1735"/>
    <n v="3"/>
    <x v="0"/>
    <n v="51"/>
    <n v="3"/>
    <x v="1"/>
    <x v="2"/>
    <n v="2"/>
    <x v="0"/>
    <n v="3295"/>
    <n v="12862"/>
    <n v="1"/>
    <s v="Y"/>
    <x v="1"/>
    <n v="13"/>
    <n v="3"/>
    <n v="3"/>
    <n v="80"/>
    <n v="0"/>
    <n v="3"/>
    <n v="3"/>
    <n v="1"/>
    <n v="3"/>
    <n v="2"/>
    <n v="1"/>
    <n v="2"/>
    <x v="4"/>
    <x v="2"/>
    <x v="2"/>
    <n v="0"/>
  </r>
  <r>
    <x v="12"/>
    <x v="1"/>
    <x v="1"/>
    <n v="163"/>
    <x v="1"/>
    <n v="24"/>
    <n v="1"/>
    <s v="Technical Degree"/>
    <n v="1"/>
    <n v="1736"/>
    <n v="4"/>
    <x v="0"/>
    <n v="30"/>
    <n v="3"/>
    <x v="0"/>
    <x v="3"/>
    <n v="4"/>
    <x v="0"/>
    <n v="5238"/>
    <n v="6670"/>
    <n v="2"/>
    <s v="Y"/>
    <x v="1"/>
    <n v="20"/>
    <n v="4"/>
    <n v="4"/>
    <n v="80"/>
    <n v="0"/>
    <n v="9"/>
    <n v="3"/>
    <n v="2"/>
    <n v="5"/>
    <n v="4"/>
    <n v="1"/>
    <n v="4"/>
    <x v="2"/>
    <x v="2"/>
    <x v="0"/>
    <n v="0"/>
  </r>
  <r>
    <x v="22"/>
    <x v="1"/>
    <x v="2"/>
    <n v="792"/>
    <x v="1"/>
    <n v="1"/>
    <n v="3"/>
    <s v="Life Sciences"/>
    <n v="1"/>
    <n v="1737"/>
    <n v="4"/>
    <x v="1"/>
    <n v="77"/>
    <n v="3"/>
    <x v="0"/>
    <x v="2"/>
    <n v="4"/>
    <x v="1"/>
    <n v="6472"/>
    <n v="8989"/>
    <n v="1"/>
    <s v="Y"/>
    <x v="0"/>
    <n v="15"/>
    <n v="3"/>
    <n v="4"/>
    <n v="80"/>
    <n v="1"/>
    <n v="9"/>
    <n v="2"/>
    <n v="3"/>
    <n v="9"/>
    <n v="8"/>
    <n v="5"/>
    <n v="8"/>
    <x v="0"/>
    <x v="0"/>
    <x v="0"/>
    <n v="0"/>
  </r>
  <r>
    <x v="5"/>
    <x v="1"/>
    <x v="0"/>
    <n v="371"/>
    <x v="0"/>
    <n v="19"/>
    <n v="3"/>
    <s v="Life Sciences"/>
    <n v="1"/>
    <n v="1739"/>
    <n v="4"/>
    <x v="1"/>
    <n v="80"/>
    <n v="1"/>
    <x v="2"/>
    <x v="0"/>
    <n v="3"/>
    <x v="1"/>
    <n v="9610"/>
    <n v="3840"/>
    <n v="3"/>
    <s v="Y"/>
    <x v="1"/>
    <n v="13"/>
    <n v="3"/>
    <n v="3"/>
    <n v="80"/>
    <n v="1"/>
    <n v="10"/>
    <n v="2"/>
    <n v="1"/>
    <n v="4"/>
    <n v="3"/>
    <n v="0"/>
    <n v="2"/>
    <x v="2"/>
    <x v="2"/>
    <x v="3"/>
    <n v="0"/>
  </r>
  <r>
    <x v="32"/>
    <x v="1"/>
    <x v="0"/>
    <n v="611"/>
    <x v="0"/>
    <n v="7"/>
    <n v="4"/>
    <s v="Medical"/>
    <n v="1"/>
    <n v="1740"/>
    <n v="2"/>
    <x v="1"/>
    <n v="88"/>
    <n v="3"/>
    <x v="4"/>
    <x v="5"/>
    <n v="2"/>
    <x v="0"/>
    <n v="19833"/>
    <n v="4349"/>
    <n v="1"/>
    <s v="Y"/>
    <x v="1"/>
    <n v="14"/>
    <n v="3"/>
    <n v="2"/>
    <n v="80"/>
    <n v="0"/>
    <n v="21"/>
    <n v="3"/>
    <n v="2"/>
    <n v="21"/>
    <n v="8"/>
    <n v="12"/>
    <n v="8"/>
    <x v="0"/>
    <x v="3"/>
    <x v="3"/>
    <n v="0"/>
  </r>
  <r>
    <x v="28"/>
    <x v="1"/>
    <x v="0"/>
    <n v="176"/>
    <x v="2"/>
    <n v="4"/>
    <n v="3"/>
    <s v="Life Sciences"/>
    <n v="1"/>
    <n v="1744"/>
    <n v="3"/>
    <x v="0"/>
    <n v="56"/>
    <n v="1"/>
    <x v="2"/>
    <x v="8"/>
    <n v="3"/>
    <x v="1"/>
    <n v="9756"/>
    <n v="6595"/>
    <n v="4"/>
    <s v="Y"/>
    <x v="1"/>
    <n v="21"/>
    <n v="4"/>
    <n v="3"/>
    <n v="80"/>
    <n v="2"/>
    <n v="9"/>
    <n v="2"/>
    <n v="4"/>
    <n v="5"/>
    <n v="0"/>
    <n v="0"/>
    <n v="3"/>
    <x v="1"/>
    <x v="2"/>
    <x v="3"/>
    <n v="0"/>
  </r>
  <r>
    <x v="7"/>
    <x v="1"/>
    <x v="1"/>
    <n v="1312"/>
    <x v="1"/>
    <n v="2"/>
    <n v="4"/>
    <s v="Technical Degree"/>
    <n v="1"/>
    <n v="1745"/>
    <n v="4"/>
    <x v="0"/>
    <n v="78"/>
    <n v="2"/>
    <x v="1"/>
    <x v="1"/>
    <n v="1"/>
    <x v="0"/>
    <n v="4968"/>
    <n v="26427"/>
    <n v="0"/>
    <s v="Y"/>
    <x v="1"/>
    <n v="16"/>
    <n v="3"/>
    <n v="4"/>
    <n v="80"/>
    <n v="0"/>
    <n v="10"/>
    <n v="2"/>
    <n v="3"/>
    <n v="9"/>
    <n v="7"/>
    <n v="0"/>
    <n v="7"/>
    <x v="2"/>
    <x v="0"/>
    <x v="2"/>
    <n v="0"/>
  </r>
  <r>
    <x v="17"/>
    <x v="1"/>
    <x v="1"/>
    <n v="897"/>
    <x v="2"/>
    <n v="10"/>
    <n v="3"/>
    <s v="Medical"/>
    <n v="1"/>
    <n v="1746"/>
    <n v="1"/>
    <x v="1"/>
    <n v="59"/>
    <n v="3"/>
    <x v="1"/>
    <x v="8"/>
    <n v="4"/>
    <x v="1"/>
    <n v="2145"/>
    <n v="2097"/>
    <n v="0"/>
    <s v="Y"/>
    <x v="1"/>
    <n v="14"/>
    <n v="3"/>
    <n v="4"/>
    <n v="80"/>
    <n v="1"/>
    <n v="3"/>
    <n v="2"/>
    <n v="3"/>
    <n v="2"/>
    <n v="2"/>
    <n v="2"/>
    <n v="1"/>
    <x v="4"/>
    <x v="1"/>
    <x v="1"/>
    <n v="0"/>
  </r>
  <r>
    <x v="7"/>
    <x v="0"/>
    <x v="1"/>
    <n v="600"/>
    <x v="2"/>
    <n v="8"/>
    <n v="3"/>
    <s v="Human Resources"/>
    <n v="1"/>
    <n v="1747"/>
    <n v="3"/>
    <x v="0"/>
    <n v="66"/>
    <n v="2"/>
    <x v="1"/>
    <x v="8"/>
    <n v="4"/>
    <x v="2"/>
    <n v="2180"/>
    <n v="9732"/>
    <n v="6"/>
    <s v="Y"/>
    <x v="1"/>
    <n v="11"/>
    <n v="3"/>
    <n v="3"/>
    <n v="80"/>
    <n v="1"/>
    <n v="6"/>
    <n v="0"/>
    <n v="2"/>
    <n v="4"/>
    <n v="2"/>
    <n v="1"/>
    <n v="2"/>
    <x v="2"/>
    <x v="2"/>
    <x v="1"/>
    <n v="1"/>
  </r>
  <r>
    <x v="12"/>
    <x v="1"/>
    <x v="0"/>
    <n v="1003"/>
    <x v="0"/>
    <n v="5"/>
    <n v="3"/>
    <s v="Technical Degree"/>
    <n v="1"/>
    <n v="1749"/>
    <n v="1"/>
    <x v="1"/>
    <n v="51"/>
    <n v="3"/>
    <x v="0"/>
    <x v="0"/>
    <n v="3"/>
    <x v="1"/>
    <n v="8346"/>
    <n v="20943"/>
    <n v="1"/>
    <s v="Y"/>
    <x v="1"/>
    <n v="19"/>
    <n v="3"/>
    <n v="3"/>
    <n v="80"/>
    <n v="1"/>
    <n v="6"/>
    <n v="3"/>
    <n v="3"/>
    <n v="5"/>
    <n v="2"/>
    <n v="0"/>
    <n v="2"/>
    <x v="2"/>
    <x v="2"/>
    <x v="3"/>
    <n v="0"/>
  </r>
  <r>
    <x v="4"/>
    <x v="1"/>
    <x v="0"/>
    <n v="1054"/>
    <x v="1"/>
    <n v="8"/>
    <n v="3"/>
    <s v="Medical"/>
    <n v="1"/>
    <n v="1751"/>
    <n v="3"/>
    <x v="0"/>
    <n v="67"/>
    <n v="3"/>
    <x v="1"/>
    <x v="1"/>
    <n v="4"/>
    <x v="0"/>
    <n v="3445"/>
    <n v="6152"/>
    <n v="1"/>
    <s v="Y"/>
    <x v="1"/>
    <n v="11"/>
    <n v="3"/>
    <n v="3"/>
    <n v="80"/>
    <n v="0"/>
    <n v="6"/>
    <n v="5"/>
    <n v="2"/>
    <n v="6"/>
    <n v="2"/>
    <n v="1"/>
    <n v="4"/>
    <x v="2"/>
    <x v="0"/>
    <x v="2"/>
    <n v="0"/>
  </r>
  <r>
    <x v="11"/>
    <x v="0"/>
    <x v="0"/>
    <n v="428"/>
    <x v="0"/>
    <n v="9"/>
    <n v="3"/>
    <s v="Marketing"/>
    <n v="1"/>
    <n v="1752"/>
    <n v="2"/>
    <x v="0"/>
    <n v="52"/>
    <n v="1"/>
    <x v="1"/>
    <x v="6"/>
    <n v="2"/>
    <x v="0"/>
    <n v="2760"/>
    <n v="14630"/>
    <n v="1"/>
    <s v="Y"/>
    <x v="1"/>
    <n v="13"/>
    <n v="3"/>
    <n v="3"/>
    <n v="80"/>
    <n v="0"/>
    <n v="2"/>
    <n v="3"/>
    <n v="3"/>
    <n v="2"/>
    <n v="2"/>
    <n v="2"/>
    <n v="2"/>
    <x v="2"/>
    <x v="1"/>
    <x v="1"/>
    <n v="1"/>
  </r>
  <r>
    <x v="11"/>
    <x v="1"/>
    <x v="1"/>
    <n v="461"/>
    <x v="1"/>
    <n v="1"/>
    <n v="3"/>
    <s v="Life Sciences"/>
    <n v="1"/>
    <n v="1753"/>
    <n v="4"/>
    <x v="1"/>
    <n v="70"/>
    <n v="4"/>
    <x v="0"/>
    <x v="4"/>
    <n v="3"/>
    <x v="0"/>
    <n v="6294"/>
    <n v="23060"/>
    <n v="8"/>
    <s v="Y"/>
    <x v="0"/>
    <n v="12"/>
    <n v="3"/>
    <n v="4"/>
    <n v="80"/>
    <n v="0"/>
    <n v="10"/>
    <n v="5"/>
    <n v="4"/>
    <n v="3"/>
    <n v="2"/>
    <n v="0"/>
    <n v="2"/>
    <x v="2"/>
    <x v="2"/>
    <x v="0"/>
    <n v="0"/>
  </r>
  <r>
    <x v="7"/>
    <x v="1"/>
    <x v="0"/>
    <n v="979"/>
    <x v="0"/>
    <n v="15"/>
    <n v="2"/>
    <s v="Marketing"/>
    <n v="1"/>
    <n v="1754"/>
    <n v="3"/>
    <x v="1"/>
    <n v="94"/>
    <n v="2"/>
    <x v="2"/>
    <x v="0"/>
    <n v="1"/>
    <x v="2"/>
    <n v="7140"/>
    <n v="3088"/>
    <n v="2"/>
    <s v="Y"/>
    <x v="1"/>
    <n v="11"/>
    <n v="3"/>
    <n v="1"/>
    <n v="80"/>
    <n v="1"/>
    <n v="12"/>
    <n v="2"/>
    <n v="3"/>
    <n v="7"/>
    <n v="7"/>
    <n v="1"/>
    <n v="7"/>
    <x v="2"/>
    <x v="0"/>
    <x v="0"/>
    <n v="0"/>
  </r>
  <r>
    <x v="13"/>
    <x v="1"/>
    <x v="0"/>
    <n v="181"/>
    <x v="1"/>
    <n v="2"/>
    <n v="4"/>
    <s v="Medical"/>
    <n v="1"/>
    <n v="1755"/>
    <n v="4"/>
    <x v="1"/>
    <n v="97"/>
    <n v="4"/>
    <x v="1"/>
    <x v="1"/>
    <n v="4"/>
    <x v="1"/>
    <n v="2932"/>
    <n v="5586"/>
    <n v="0"/>
    <s v="Y"/>
    <x v="0"/>
    <n v="14"/>
    <n v="3"/>
    <n v="1"/>
    <n v="80"/>
    <n v="3"/>
    <n v="6"/>
    <n v="3"/>
    <n v="3"/>
    <n v="5"/>
    <n v="0"/>
    <n v="1"/>
    <n v="2"/>
    <x v="2"/>
    <x v="2"/>
    <x v="1"/>
    <n v="0"/>
  </r>
  <r>
    <x v="3"/>
    <x v="1"/>
    <x v="2"/>
    <n v="1283"/>
    <x v="0"/>
    <n v="2"/>
    <n v="3"/>
    <s v="Marketing"/>
    <n v="1"/>
    <n v="1756"/>
    <n v="4"/>
    <x v="0"/>
    <n v="62"/>
    <n v="3"/>
    <x v="0"/>
    <x v="0"/>
    <n v="2"/>
    <x v="0"/>
    <n v="5147"/>
    <n v="10697"/>
    <n v="8"/>
    <s v="Y"/>
    <x v="1"/>
    <n v="15"/>
    <n v="3"/>
    <n v="4"/>
    <n v="80"/>
    <n v="0"/>
    <n v="13"/>
    <n v="2"/>
    <n v="2"/>
    <n v="11"/>
    <n v="7"/>
    <n v="1"/>
    <n v="7"/>
    <x v="2"/>
    <x v="3"/>
    <x v="0"/>
    <n v="0"/>
  </r>
  <r>
    <x v="1"/>
    <x v="1"/>
    <x v="0"/>
    <n v="1313"/>
    <x v="0"/>
    <n v="11"/>
    <n v="4"/>
    <s v="Marketing"/>
    <n v="1"/>
    <n v="1757"/>
    <n v="4"/>
    <x v="0"/>
    <n v="80"/>
    <n v="3"/>
    <x v="0"/>
    <x v="0"/>
    <n v="4"/>
    <x v="0"/>
    <n v="4507"/>
    <n v="8191"/>
    <n v="3"/>
    <s v="Y"/>
    <x v="1"/>
    <n v="12"/>
    <n v="3"/>
    <n v="3"/>
    <n v="80"/>
    <n v="0"/>
    <n v="8"/>
    <n v="1"/>
    <n v="4"/>
    <n v="5"/>
    <n v="1"/>
    <n v="0"/>
    <n v="4"/>
    <x v="1"/>
    <x v="2"/>
    <x v="2"/>
    <n v="0"/>
  </r>
  <r>
    <x v="3"/>
    <x v="0"/>
    <x v="0"/>
    <n v="211"/>
    <x v="0"/>
    <n v="16"/>
    <n v="3"/>
    <s v="Life Sciences"/>
    <n v="1"/>
    <n v="1758"/>
    <n v="1"/>
    <x v="0"/>
    <n v="74"/>
    <n v="3"/>
    <x v="2"/>
    <x v="0"/>
    <n v="1"/>
    <x v="0"/>
    <n v="8564"/>
    <n v="10092"/>
    <n v="2"/>
    <s v="Y"/>
    <x v="0"/>
    <n v="20"/>
    <n v="4"/>
    <n v="3"/>
    <n v="80"/>
    <n v="0"/>
    <n v="11"/>
    <n v="2"/>
    <n v="2"/>
    <n v="0"/>
    <n v="0"/>
    <n v="0"/>
    <n v="0"/>
    <x v="2"/>
    <x v="1"/>
    <x v="3"/>
    <n v="1"/>
  </r>
  <r>
    <x v="8"/>
    <x v="1"/>
    <x v="1"/>
    <n v="594"/>
    <x v="1"/>
    <n v="2"/>
    <n v="2"/>
    <s v="Medical"/>
    <n v="1"/>
    <n v="1760"/>
    <n v="3"/>
    <x v="0"/>
    <n v="75"/>
    <n v="2"/>
    <x v="1"/>
    <x v="2"/>
    <n v="2"/>
    <x v="1"/>
    <n v="2468"/>
    <n v="15963"/>
    <n v="4"/>
    <s v="Y"/>
    <x v="1"/>
    <n v="14"/>
    <n v="3"/>
    <n v="2"/>
    <n v="80"/>
    <n v="1"/>
    <n v="9"/>
    <n v="4"/>
    <n v="2"/>
    <n v="6"/>
    <n v="1"/>
    <n v="0"/>
    <n v="5"/>
    <x v="0"/>
    <x v="0"/>
    <x v="1"/>
    <n v="0"/>
  </r>
  <r>
    <x v="12"/>
    <x v="0"/>
    <x v="0"/>
    <n v="1079"/>
    <x v="0"/>
    <n v="16"/>
    <n v="4"/>
    <s v="Marketing"/>
    <n v="1"/>
    <n v="1761"/>
    <n v="1"/>
    <x v="1"/>
    <n v="70"/>
    <n v="3"/>
    <x v="2"/>
    <x v="0"/>
    <n v="3"/>
    <x v="1"/>
    <n v="8161"/>
    <n v="19002"/>
    <n v="2"/>
    <s v="Y"/>
    <x v="1"/>
    <n v="13"/>
    <n v="3"/>
    <n v="1"/>
    <n v="80"/>
    <n v="3"/>
    <n v="10"/>
    <n v="2"/>
    <n v="3"/>
    <n v="1"/>
    <n v="0"/>
    <n v="0"/>
    <n v="0"/>
    <x v="2"/>
    <x v="1"/>
    <x v="3"/>
    <n v="1"/>
  </r>
  <r>
    <x v="11"/>
    <x v="1"/>
    <x v="0"/>
    <n v="590"/>
    <x v="1"/>
    <n v="4"/>
    <n v="3"/>
    <s v="Technical Degree"/>
    <n v="1"/>
    <n v="1762"/>
    <n v="4"/>
    <x v="0"/>
    <n v="91"/>
    <n v="2"/>
    <x v="1"/>
    <x v="1"/>
    <n v="1"/>
    <x v="2"/>
    <n v="2109"/>
    <n v="10007"/>
    <n v="1"/>
    <s v="Y"/>
    <x v="1"/>
    <n v="13"/>
    <n v="3"/>
    <n v="3"/>
    <n v="80"/>
    <n v="1"/>
    <n v="1"/>
    <n v="2"/>
    <n v="3"/>
    <n v="1"/>
    <n v="0"/>
    <n v="0"/>
    <n v="0"/>
    <x v="2"/>
    <x v="1"/>
    <x v="1"/>
    <n v="0"/>
  </r>
  <r>
    <x v="7"/>
    <x v="1"/>
    <x v="0"/>
    <n v="305"/>
    <x v="1"/>
    <n v="16"/>
    <n v="3"/>
    <s v="Life Sciences"/>
    <n v="1"/>
    <n v="1763"/>
    <n v="3"/>
    <x v="1"/>
    <n v="58"/>
    <n v="4"/>
    <x v="0"/>
    <x v="4"/>
    <n v="3"/>
    <x v="1"/>
    <n v="5294"/>
    <n v="9128"/>
    <n v="3"/>
    <s v="Y"/>
    <x v="1"/>
    <n v="16"/>
    <n v="3"/>
    <n v="3"/>
    <n v="80"/>
    <n v="1"/>
    <n v="10"/>
    <n v="3"/>
    <n v="3"/>
    <n v="7"/>
    <n v="0"/>
    <n v="1"/>
    <n v="7"/>
    <x v="2"/>
    <x v="0"/>
    <x v="0"/>
    <n v="0"/>
  </r>
  <r>
    <x v="5"/>
    <x v="1"/>
    <x v="2"/>
    <n v="953"/>
    <x v="1"/>
    <n v="5"/>
    <n v="4"/>
    <s v="Technical Degree"/>
    <n v="1"/>
    <n v="1764"/>
    <n v="2"/>
    <x v="1"/>
    <n v="65"/>
    <n v="3"/>
    <x v="1"/>
    <x v="1"/>
    <n v="2"/>
    <x v="0"/>
    <n v="2718"/>
    <n v="17674"/>
    <n v="2"/>
    <s v="Y"/>
    <x v="1"/>
    <n v="14"/>
    <n v="3"/>
    <n v="2"/>
    <n v="80"/>
    <n v="0"/>
    <n v="12"/>
    <n v="3"/>
    <n v="3"/>
    <n v="7"/>
    <n v="7"/>
    <n v="0"/>
    <n v="7"/>
    <x v="2"/>
    <x v="0"/>
    <x v="1"/>
    <n v="0"/>
  </r>
  <r>
    <x v="8"/>
    <x v="1"/>
    <x v="0"/>
    <n v="833"/>
    <x v="1"/>
    <n v="18"/>
    <n v="3"/>
    <s v="Medical"/>
    <n v="1"/>
    <n v="1766"/>
    <n v="2"/>
    <x v="1"/>
    <n v="60"/>
    <n v="1"/>
    <x v="0"/>
    <x v="4"/>
    <n v="4"/>
    <x v="1"/>
    <n v="5811"/>
    <n v="24539"/>
    <n v="3"/>
    <s v="Y"/>
    <x v="0"/>
    <n v="16"/>
    <n v="3"/>
    <n v="3"/>
    <n v="80"/>
    <n v="1"/>
    <n v="15"/>
    <n v="2"/>
    <n v="3"/>
    <n v="1"/>
    <n v="0"/>
    <n v="1"/>
    <n v="0"/>
    <x v="0"/>
    <x v="1"/>
    <x v="0"/>
    <n v="0"/>
  </r>
  <r>
    <x v="23"/>
    <x v="0"/>
    <x v="1"/>
    <n v="807"/>
    <x v="1"/>
    <n v="17"/>
    <n v="3"/>
    <s v="Technical Degree"/>
    <n v="1"/>
    <n v="1767"/>
    <n v="3"/>
    <x v="1"/>
    <n v="38"/>
    <n v="2"/>
    <x v="1"/>
    <x v="1"/>
    <n v="3"/>
    <x v="1"/>
    <n v="2437"/>
    <n v="15587"/>
    <n v="9"/>
    <s v="Y"/>
    <x v="0"/>
    <n v="16"/>
    <n v="3"/>
    <n v="4"/>
    <n v="80"/>
    <n v="1"/>
    <n v="6"/>
    <n v="4"/>
    <n v="3"/>
    <n v="1"/>
    <n v="0"/>
    <n v="0"/>
    <n v="0"/>
    <x v="0"/>
    <x v="1"/>
    <x v="1"/>
    <n v="1"/>
  </r>
  <r>
    <x v="19"/>
    <x v="1"/>
    <x v="0"/>
    <n v="855"/>
    <x v="1"/>
    <n v="12"/>
    <n v="3"/>
    <s v="Medical"/>
    <n v="1"/>
    <n v="1768"/>
    <n v="2"/>
    <x v="1"/>
    <n v="57"/>
    <n v="3"/>
    <x v="1"/>
    <x v="2"/>
    <n v="2"/>
    <x v="2"/>
    <n v="2766"/>
    <n v="8952"/>
    <n v="8"/>
    <s v="Y"/>
    <x v="1"/>
    <n v="22"/>
    <n v="4"/>
    <n v="2"/>
    <n v="80"/>
    <n v="3"/>
    <n v="7"/>
    <n v="6"/>
    <n v="2"/>
    <n v="5"/>
    <n v="3"/>
    <n v="0"/>
    <n v="4"/>
    <x v="0"/>
    <x v="2"/>
    <x v="1"/>
    <n v="0"/>
  </r>
  <r>
    <x v="27"/>
    <x v="1"/>
    <x v="0"/>
    <n v="478"/>
    <x v="1"/>
    <n v="2"/>
    <n v="3"/>
    <s v="Medical"/>
    <n v="1"/>
    <n v="1770"/>
    <n v="3"/>
    <x v="1"/>
    <n v="60"/>
    <n v="2"/>
    <x v="4"/>
    <x v="7"/>
    <n v="1"/>
    <x v="1"/>
    <n v="19038"/>
    <n v="19805"/>
    <n v="8"/>
    <s v="Y"/>
    <x v="1"/>
    <n v="12"/>
    <n v="3"/>
    <n v="2"/>
    <n v="80"/>
    <n v="3"/>
    <n v="34"/>
    <n v="2"/>
    <n v="3"/>
    <n v="1"/>
    <n v="0"/>
    <n v="0"/>
    <n v="0"/>
    <x v="3"/>
    <x v="1"/>
    <x v="3"/>
    <n v="0"/>
  </r>
  <r>
    <x v="3"/>
    <x v="1"/>
    <x v="2"/>
    <n v="775"/>
    <x v="1"/>
    <n v="4"/>
    <n v="3"/>
    <s v="Technical Degree"/>
    <n v="1"/>
    <n v="1771"/>
    <n v="4"/>
    <x v="1"/>
    <n v="90"/>
    <n v="3"/>
    <x v="0"/>
    <x v="1"/>
    <n v="2"/>
    <x v="2"/>
    <n v="3055"/>
    <n v="6194"/>
    <n v="5"/>
    <s v="Y"/>
    <x v="1"/>
    <n v="15"/>
    <n v="3"/>
    <n v="4"/>
    <n v="80"/>
    <n v="2"/>
    <n v="11"/>
    <n v="2"/>
    <n v="2"/>
    <n v="9"/>
    <n v="8"/>
    <n v="1"/>
    <n v="7"/>
    <x v="2"/>
    <x v="0"/>
    <x v="2"/>
    <n v="0"/>
  </r>
  <r>
    <x v="0"/>
    <x v="1"/>
    <x v="0"/>
    <n v="548"/>
    <x v="1"/>
    <n v="9"/>
    <n v="4"/>
    <s v="Life Sciences"/>
    <n v="1"/>
    <n v="1772"/>
    <n v="3"/>
    <x v="1"/>
    <n v="94"/>
    <n v="3"/>
    <x v="1"/>
    <x v="2"/>
    <n v="1"/>
    <x v="2"/>
    <n v="2289"/>
    <n v="20520"/>
    <n v="1"/>
    <s v="Y"/>
    <x v="1"/>
    <n v="20"/>
    <n v="4"/>
    <n v="2"/>
    <n v="80"/>
    <n v="2"/>
    <n v="5"/>
    <n v="2"/>
    <n v="3"/>
    <n v="5"/>
    <n v="3"/>
    <n v="0"/>
    <n v="4"/>
    <x v="0"/>
    <x v="2"/>
    <x v="1"/>
    <n v="0"/>
  </r>
  <r>
    <x v="13"/>
    <x v="1"/>
    <x v="2"/>
    <n v="1375"/>
    <x v="0"/>
    <n v="10"/>
    <n v="3"/>
    <s v="Life Sciences"/>
    <n v="1"/>
    <n v="1774"/>
    <n v="4"/>
    <x v="1"/>
    <n v="87"/>
    <n v="3"/>
    <x v="0"/>
    <x v="0"/>
    <n v="3"/>
    <x v="2"/>
    <n v="4001"/>
    <n v="12313"/>
    <n v="1"/>
    <s v="Y"/>
    <x v="0"/>
    <n v="14"/>
    <n v="3"/>
    <n v="3"/>
    <n v="80"/>
    <n v="1"/>
    <n v="15"/>
    <n v="3"/>
    <n v="3"/>
    <n v="15"/>
    <n v="14"/>
    <n v="0"/>
    <n v="7"/>
    <x v="2"/>
    <x v="3"/>
    <x v="2"/>
    <n v="0"/>
  </r>
  <r>
    <x v="16"/>
    <x v="1"/>
    <x v="2"/>
    <n v="661"/>
    <x v="1"/>
    <n v="1"/>
    <n v="4"/>
    <s v="Medical"/>
    <n v="1"/>
    <n v="1775"/>
    <n v="1"/>
    <x v="0"/>
    <n v="60"/>
    <n v="2"/>
    <x v="3"/>
    <x v="3"/>
    <n v="3"/>
    <x v="1"/>
    <n v="12965"/>
    <n v="22308"/>
    <n v="4"/>
    <s v="Y"/>
    <x v="0"/>
    <n v="20"/>
    <n v="4"/>
    <n v="4"/>
    <n v="80"/>
    <n v="3"/>
    <n v="27"/>
    <n v="2"/>
    <n v="2"/>
    <n v="3"/>
    <n v="2"/>
    <n v="0"/>
    <n v="2"/>
    <x v="1"/>
    <x v="2"/>
    <x v="3"/>
    <n v="0"/>
  </r>
  <r>
    <x v="23"/>
    <x v="1"/>
    <x v="0"/>
    <n v="244"/>
    <x v="2"/>
    <n v="2"/>
    <n v="3"/>
    <s v="Life Sciences"/>
    <n v="1"/>
    <n v="1778"/>
    <n v="2"/>
    <x v="1"/>
    <n v="97"/>
    <n v="3"/>
    <x v="1"/>
    <x v="8"/>
    <n v="4"/>
    <x v="0"/>
    <n v="3539"/>
    <n v="5033"/>
    <n v="0"/>
    <s v="Y"/>
    <x v="1"/>
    <n v="13"/>
    <n v="3"/>
    <n v="2"/>
    <n v="80"/>
    <n v="0"/>
    <n v="10"/>
    <n v="5"/>
    <n v="3"/>
    <n v="9"/>
    <n v="7"/>
    <n v="1"/>
    <n v="8"/>
    <x v="0"/>
    <x v="0"/>
    <x v="2"/>
    <n v="0"/>
  </r>
  <r>
    <x v="13"/>
    <x v="1"/>
    <x v="0"/>
    <n v="511"/>
    <x v="0"/>
    <n v="3"/>
    <n v="2"/>
    <s v="Life Sciences"/>
    <n v="1"/>
    <n v="1779"/>
    <n v="4"/>
    <x v="0"/>
    <n v="32"/>
    <n v="1"/>
    <x v="0"/>
    <x v="0"/>
    <n v="4"/>
    <x v="0"/>
    <n v="6029"/>
    <n v="25353"/>
    <n v="5"/>
    <s v="Y"/>
    <x v="1"/>
    <n v="12"/>
    <n v="3"/>
    <n v="1"/>
    <n v="80"/>
    <n v="0"/>
    <n v="6"/>
    <n v="3"/>
    <n v="3"/>
    <n v="2"/>
    <n v="2"/>
    <n v="2"/>
    <n v="2"/>
    <x v="2"/>
    <x v="1"/>
    <x v="0"/>
    <n v="0"/>
  </r>
  <r>
    <x v="18"/>
    <x v="0"/>
    <x v="0"/>
    <n v="337"/>
    <x v="0"/>
    <n v="7"/>
    <n v="1"/>
    <s v="Marketing"/>
    <n v="1"/>
    <n v="1780"/>
    <n v="2"/>
    <x v="1"/>
    <n v="31"/>
    <n v="3"/>
    <x v="1"/>
    <x v="6"/>
    <n v="2"/>
    <x v="0"/>
    <n v="2679"/>
    <n v="4567"/>
    <n v="1"/>
    <s v="Y"/>
    <x v="1"/>
    <n v="13"/>
    <n v="3"/>
    <n v="2"/>
    <n v="80"/>
    <n v="0"/>
    <n v="1"/>
    <n v="3"/>
    <n v="3"/>
    <n v="1"/>
    <n v="0"/>
    <n v="1"/>
    <n v="0"/>
    <x v="4"/>
    <x v="1"/>
    <x v="1"/>
    <n v="1"/>
  </r>
  <r>
    <x v="8"/>
    <x v="1"/>
    <x v="0"/>
    <n v="1153"/>
    <x v="1"/>
    <n v="6"/>
    <n v="2"/>
    <s v="Other"/>
    <n v="1"/>
    <n v="1782"/>
    <n v="4"/>
    <x v="0"/>
    <n v="40"/>
    <n v="2"/>
    <x v="1"/>
    <x v="2"/>
    <n v="3"/>
    <x v="1"/>
    <n v="3702"/>
    <n v="16376"/>
    <n v="1"/>
    <s v="Y"/>
    <x v="1"/>
    <n v="11"/>
    <n v="3"/>
    <n v="2"/>
    <n v="80"/>
    <n v="1"/>
    <n v="5"/>
    <n v="3"/>
    <n v="3"/>
    <n v="5"/>
    <n v="4"/>
    <n v="0"/>
    <n v="4"/>
    <x v="0"/>
    <x v="2"/>
    <x v="2"/>
    <n v="0"/>
  </r>
  <r>
    <x v="15"/>
    <x v="0"/>
    <x v="0"/>
    <n v="1294"/>
    <x v="1"/>
    <n v="8"/>
    <n v="1"/>
    <s v="Medical"/>
    <n v="1"/>
    <n v="1783"/>
    <n v="3"/>
    <x v="0"/>
    <n v="79"/>
    <n v="3"/>
    <x v="1"/>
    <x v="2"/>
    <n v="1"/>
    <x v="1"/>
    <n v="2398"/>
    <n v="15999"/>
    <n v="1"/>
    <s v="Y"/>
    <x v="0"/>
    <n v="17"/>
    <n v="3"/>
    <n v="3"/>
    <n v="80"/>
    <n v="0"/>
    <n v="1"/>
    <n v="6"/>
    <n v="3"/>
    <n v="1"/>
    <n v="0"/>
    <n v="0"/>
    <n v="0"/>
    <x v="4"/>
    <x v="1"/>
    <x v="1"/>
    <n v="1"/>
  </r>
  <r>
    <x v="12"/>
    <x v="1"/>
    <x v="0"/>
    <n v="196"/>
    <x v="0"/>
    <n v="29"/>
    <n v="4"/>
    <s v="Marketing"/>
    <n v="1"/>
    <n v="1784"/>
    <n v="1"/>
    <x v="0"/>
    <n v="91"/>
    <n v="2"/>
    <x v="0"/>
    <x v="0"/>
    <n v="4"/>
    <x v="1"/>
    <n v="5468"/>
    <n v="13402"/>
    <n v="1"/>
    <s v="Y"/>
    <x v="1"/>
    <n v="14"/>
    <n v="3"/>
    <n v="1"/>
    <n v="80"/>
    <n v="2"/>
    <n v="13"/>
    <n v="3"/>
    <n v="3"/>
    <n v="12"/>
    <n v="7"/>
    <n v="5"/>
    <n v="7"/>
    <x v="2"/>
    <x v="3"/>
    <x v="0"/>
    <n v="0"/>
  </r>
  <r>
    <x v="31"/>
    <x v="1"/>
    <x v="0"/>
    <n v="942"/>
    <x v="1"/>
    <n v="3"/>
    <n v="3"/>
    <s v="Technical Degree"/>
    <n v="1"/>
    <n v="1786"/>
    <n v="1"/>
    <x v="0"/>
    <n v="53"/>
    <n v="3"/>
    <x v="2"/>
    <x v="5"/>
    <n v="3"/>
    <x v="1"/>
    <n v="13116"/>
    <n v="22984"/>
    <n v="2"/>
    <s v="Y"/>
    <x v="1"/>
    <n v="11"/>
    <n v="3"/>
    <n v="4"/>
    <n v="80"/>
    <n v="0"/>
    <n v="15"/>
    <n v="2"/>
    <n v="3"/>
    <n v="2"/>
    <n v="2"/>
    <n v="2"/>
    <n v="2"/>
    <x v="1"/>
    <x v="1"/>
    <x v="3"/>
    <n v="0"/>
  </r>
  <r>
    <x v="2"/>
    <x v="1"/>
    <x v="0"/>
    <n v="589"/>
    <x v="0"/>
    <n v="9"/>
    <n v="2"/>
    <s v="Marketing"/>
    <n v="1"/>
    <n v="1787"/>
    <n v="2"/>
    <x v="1"/>
    <n v="46"/>
    <n v="2"/>
    <x v="0"/>
    <x v="0"/>
    <n v="2"/>
    <x v="1"/>
    <n v="4189"/>
    <n v="8800"/>
    <n v="1"/>
    <s v="Y"/>
    <x v="1"/>
    <n v="14"/>
    <n v="3"/>
    <n v="1"/>
    <n v="80"/>
    <n v="2"/>
    <n v="5"/>
    <n v="2"/>
    <n v="3"/>
    <n v="5"/>
    <n v="2"/>
    <n v="0"/>
    <n v="3"/>
    <x v="0"/>
    <x v="2"/>
    <x v="2"/>
    <n v="0"/>
  </r>
  <r>
    <x v="21"/>
    <x v="1"/>
    <x v="0"/>
    <n v="734"/>
    <x v="1"/>
    <n v="2"/>
    <n v="4"/>
    <s v="Medical"/>
    <n v="1"/>
    <n v="1789"/>
    <n v="3"/>
    <x v="1"/>
    <n v="46"/>
    <n v="3"/>
    <x v="4"/>
    <x v="7"/>
    <n v="4"/>
    <x v="2"/>
    <n v="19328"/>
    <n v="14218"/>
    <n v="7"/>
    <s v="Y"/>
    <x v="0"/>
    <n v="17"/>
    <n v="3"/>
    <n v="3"/>
    <n v="80"/>
    <n v="1"/>
    <n v="24"/>
    <n v="3"/>
    <n v="3"/>
    <n v="2"/>
    <n v="1"/>
    <n v="2"/>
    <n v="2"/>
    <x v="1"/>
    <x v="1"/>
    <x v="3"/>
    <n v="0"/>
  </r>
  <r>
    <x v="9"/>
    <x v="1"/>
    <x v="0"/>
    <n v="1383"/>
    <x v="1"/>
    <n v="10"/>
    <n v="3"/>
    <s v="Life Sciences"/>
    <n v="1"/>
    <n v="1790"/>
    <n v="4"/>
    <x v="1"/>
    <n v="90"/>
    <n v="3"/>
    <x v="2"/>
    <x v="4"/>
    <n v="1"/>
    <x v="1"/>
    <n v="8321"/>
    <n v="25949"/>
    <n v="7"/>
    <s v="Y"/>
    <x v="0"/>
    <n v="13"/>
    <n v="3"/>
    <n v="4"/>
    <n v="80"/>
    <n v="1"/>
    <n v="15"/>
    <n v="1"/>
    <n v="3"/>
    <n v="12"/>
    <n v="8"/>
    <n v="5"/>
    <n v="7"/>
    <x v="0"/>
    <x v="3"/>
    <x v="3"/>
    <n v="0"/>
  </r>
  <r>
    <x v="20"/>
    <x v="0"/>
    <x v="1"/>
    <n v="429"/>
    <x v="1"/>
    <n v="1"/>
    <n v="2"/>
    <s v="Medical"/>
    <n v="1"/>
    <n v="1792"/>
    <n v="3"/>
    <x v="1"/>
    <n v="99"/>
    <n v="3"/>
    <x v="1"/>
    <x v="1"/>
    <n v="2"/>
    <x v="2"/>
    <n v="2342"/>
    <n v="11092"/>
    <n v="1"/>
    <s v="Y"/>
    <x v="0"/>
    <n v="12"/>
    <n v="3"/>
    <n v="3"/>
    <n v="80"/>
    <n v="3"/>
    <n v="6"/>
    <n v="2"/>
    <n v="2"/>
    <n v="5"/>
    <n v="3"/>
    <n v="2"/>
    <n v="3"/>
    <x v="0"/>
    <x v="2"/>
    <x v="1"/>
    <n v="1"/>
  </r>
  <r>
    <x v="2"/>
    <x v="1"/>
    <x v="0"/>
    <n v="1239"/>
    <x v="2"/>
    <n v="8"/>
    <n v="2"/>
    <s v="Other"/>
    <n v="1"/>
    <n v="1794"/>
    <n v="3"/>
    <x v="1"/>
    <n v="89"/>
    <n v="3"/>
    <x v="0"/>
    <x v="8"/>
    <n v="2"/>
    <x v="2"/>
    <n v="4071"/>
    <n v="12832"/>
    <n v="2"/>
    <s v="Y"/>
    <x v="1"/>
    <n v="13"/>
    <n v="3"/>
    <n v="3"/>
    <n v="80"/>
    <n v="0"/>
    <n v="19"/>
    <n v="4"/>
    <n v="2"/>
    <n v="10"/>
    <n v="0"/>
    <n v="4"/>
    <n v="7"/>
    <x v="0"/>
    <x v="0"/>
    <x v="2"/>
    <n v="0"/>
  </r>
  <r>
    <x v="10"/>
    <x v="0"/>
    <x v="0"/>
    <n v="303"/>
    <x v="0"/>
    <n v="27"/>
    <n v="3"/>
    <s v="Life Sciences"/>
    <n v="1"/>
    <n v="1797"/>
    <n v="3"/>
    <x v="1"/>
    <n v="84"/>
    <n v="3"/>
    <x v="0"/>
    <x v="0"/>
    <n v="4"/>
    <x v="0"/>
    <n v="5813"/>
    <n v="13492"/>
    <n v="1"/>
    <s v="Y"/>
    <x v="0"/>
    <n v="18"/>
    <n v="3"/>
    <n v="4"/>
    <n v="80"/>
    <n v="0"/>
    <n v="10"/>
    <n v="2"/>
    <n v="3"/>
    <n v="10"/>
    <n v="7"/>
    <n v="7"/>
    <n v="7"/>
    <x v="0"/>
    <x v="0"/>
    <x v="0"/>
    <n v="1"/>
  </r>
  <r>
    <x v="3"/>
    <x v="1"/>
    <x v="0"/>
    <n v="867"/>
    <x v="1"/>
    <n v="8"/>
    <n v="4"/>
    <s v="Life Sciences"/>
    <n v="1"/>
    <n v="1798"/>
    <n v="4"/>
    <x v="1"/>
    <n v="90"/>
    <n v="4"/>
    <x v="1"/>
    <x v="1"/>
    <n v="1"/>
    <x v="1"/>
    <n v="3143"/>
    <n v="6076"/>
    <n v="6"/>
    <s v="Y"/>
    <x v="1"/>
    <n v="19"/>
    <n v="3"/>
    <n v="2"/>
    <n v="80"/>
    <n v="1"/>
    <n v="14"/>
    <n v="1"/>
    <n v="3"/>
    <n v="10"/>
    <n v="8"/>
    <n v="7"/>
    <n v="6"/>
    <x v="2"/>
    <x v="0"/>
    <x v="2"/>
    <n v="0"/>
  </r>
  <r>
    <x v="14"/>
    <x v="1"/>
    <x v="0"/>
    <n v="1181"/>
    <x v="1"/>
    <n v="1"/>
    <n v="3"/>
    <s v="Life Sciences"/>
    <n v="1"/>
    <n v="1799"/>
    <n v="3"/>
    <x v="1"/>
    <n v="82"/>
    <n v="3"/>
    <x v="1"/>
    <x v="1"/>
    <n v="4"/>
    <x v="1"/>
    <n v="2044"/>
    <n v="5531"/>
    <n v="1"/>
    <s v="Y"/>
    <x v="1"/>
    <n v="11"/>
    <n v="3"/>
    <n v="3"/>
    <n v="80"/>
    <n v="1"/>
    <n v="5"/>
    <n v="6"/>
    <n v="4"/>
    <n v="5"/>
    <n v="3"/>
    <n v="0"/>
    <n v="3"/>
    <x v="2"/>
    <x v="2"/>
    <x v="1"/>
    <n v="0"/>
  </r>
  <r>
    <x v="22"/>
    <x v="1"/>
    <x v="0"/>
    <n v="1253"/>
    <x v="1"/>
    <n v="10"/>
    <n v="1"/>
    <s v="Medical"/>
    <n v="1"/>
    <n v="1800"/>
    <n v="3"/>
    <x v="1"/>
    <n v="65"/>
    <n v="3"/>
    <x v="2"/>
    <x v="7"/>
    <n v="3"/>
    <x v="0"/>
    <n v="13464"/>
    <n v="7914"/>
    <n v="7"/>
    <s v="Y"/>
    <x v="1"/>
    <n v="21"/>
    <n v="4"/>
    <n v="3"/>
    <n v="80"/>
    <n v="0"/>
    <n v="9"/>
    <n v="3"/>
    <n v="3"/>
    <n v="4"/>
    <n v="3"/>
    <n v="2"/>
    <n v="2"/>
    <x v="0"/>
    <x v="2"/>
    <x v="3"/>
    <n v="0"/>
  </r>
  <r>
    <x v="21"/>
    <x v="1"/>
    <x v="2"/>
    <n v="849"/>
    <x v="0"/>
    <n v="26"/>
    <n v="2"/>
    <s v="Life Sciences"/>
    <n v="1"/>
    <n v="1801"/>
    <n v="2"/>
    <x v="1"/>
    <n v="98"/>
    <n v="2"/>
    <x v="0"/>
    <x v="0"/>
    <n v="2"/>
    <x v="0"/>
    <n v="7991"/>
    <n v="25166"/>
    <n v="8"/>
    <s v="Y"/>
    <x v="1"/>
    <n v="15"/>
    <n v="3"/>
    <n v="3"/>
    <n v="80"/>
    <n v="0"/>
    <n v="6"/>
    <n v="3"/>
    <n v="3"/>
    <n v="2"/>
    <n v="2"/>
    <n v="2"/>
    <n v="2"/>
    <x v="1"/>
    <x v="1"/>
    <x v="0"/>
    <n v="0"/>
  </r>
  <r>
    <x v="32"/>
    <x v="1"/>
    <x v="0"/>
    <n v="616"/>
    <x v="1"/>
    <n v="2"/>
    <n v="2"/>
    <s v="Life Sciences"/>
    <n v="1"/>
    <n v="1802"/>
    <n v="3"/>
    <x v="0"/>
    <n v="99"/>
    <n v="3"/>
    <x v="1"/>
    <x v="2"/>
    <n v="1"/>
    <x v="1"/>
    <n v="3377"/>
    <n v="25605"/>
    <n v="4"/>
    <s v="Y"/>
    <x v="1"/>
    <n v="17"/>
    <n v="3"/>
    <n v="4"/>
    <n v="80"/>
    <n v="1"/>
    <n v="7"/>
    <n v="5"/>
    <n v="2"/>
    <n v="4"/>
    <n v="3"/>
    <n v="0"/>
    <n v="2"/>
    <x v="0"/>
    <x v="2"/>
    <x v="2"/>
    <n v="0"/>
  </r>
  <r>
    <x v="19"/>
    <x v="1"/>
    <x v="0"/>
    <n v="1128"/>
    <x v="1"/>
    <n v="13"/>
    <n v="3"/>
    <s v="Medical"/>
    <n v="1"/>
    <n v="1803"/>
    <n v="2"/>
    <x v="1"/>
    <n v="95"/>
    <n v="4"/>
    <x v="0"/>
    <x v="4"/>
    <n v="1"/>
    <x v="1"/>
    <n v="5538"/>
    <n v="5696"/>
    <n v="5"/>
    <s v="Y"/>
    <x v="1"/>
    <n v="18"/>
    <n v="3"/>
    <n v="3"/>
    <n v="80"/>
    <n v="2"/>
    <n v="10"/>
    <n v="2"/>
    <n v="2"/>
    <n v="0"/>
    <n v="0"/>
    <n v="0"/>
    <n v="0"/>
    <x v="0"/>
    <x v="1"/>
    <x v="0"/>
    <n v="0"/>
  </r>
  <r>
    <x v="10"/>
    <x v="1"/>
    <x v="2"/>
    <n v="1180"/>
    <x v="1"/>
    <n v="2"/>
    <n v="2"/>
    <s v="Medical"/>
    <n v="1"/>
    <n v="1804"/>
    <n v="2"/>
    <x v="1"/>
    <n v="90"/>
    <n v="3"/>
    <x v="0"/>
    <x v="3"/>
    <n v="4"/>
    <x v="2"/>
    <n v="5762"/>
    <n v="24442"/>
    <n v="2"/>
    <s v="Y"/>
    <x v="1"/>
    <n v="14"/>
    <n v="3"/>
    <n v="3"/>
    <n v="80"/>
    <n v="1"/>
    <n v="15"/>
    <n v="6"/>
    <n v="3"/>
    <n v="7"/>
    <n v="7"/>
    <n v="1"/>
    <n v="7"/>
    <x v="0"/>
    <x v="0"/>
    <x v="0"/>
    <n v="0"/>
  </r>
  <r>
    <x v="8"/>
    <x v="1"/>
    <x v="2"/>
    <n v="1336"/>
    <x v="2"/>
    <n v="2"/>
    <n v="3"/>
    <s v="Human Resources"/>
    <n v="1"/>
    <n v="1805"/>
    <n v="1"/>
    <x v="1"/>
    <n v="100"/>
    <n v="3"/>
    <x v="1"/>
    <x v="8"/>
    <n v="2"/>
    <x v="2"/>
    <n v="2592"/>
    <n v="7129"/>
    <n v="5"/>
    <s v="Y"/>
    <x v="1"/>
    <n v="13"/>
    <n v="3"/>
    <n v="4"/>
    <n v="80"/>
    <n v="3"/>
    <n v="13"/>
    <n v="3"/>
    <n v="3"/>
    <n v="11"/>
    <n v="10"/>
    <n v="3"/>
    <n v="8"/>
    <x v="0"/>
    <x v="3"/>
    <x v="1"/>
    <n v="0"/>
  </r>
  <r>
    <x v="13"/>
    <x v="0"/>
    <x v="1"/>
    <n v="234"/>
    <x v="1"/>
    <n v="9"/>
    <n v="4"/>
    <s v="Life Sciences"/>
    <n v="1"/>
    <n v="1807"/>
    <n v="4"/>
    <x v="1"/>
    <n v="93"/>
    <n v="3"/>
    <x v="0"/>
    <x v="2"/>
    <n v="1"/>
    <x v="1"/>
    <n v="5346"/>
    <n v="6208"/>
    <n v="4"/>
    <s v="Y"/>
    <x v="1"/>
    <n v="17"/>
    <n v="3"/>
    <n v="3"/>
    <n v="80"/>
    <n v="1"/>
    <n v="11"/>
    <n v="3"/>
    <n v="2"/>
    <n v="7"/>
    <n v="1"/>
    <n v="0"/>
    <n v="7"/>
    <x v="2"/>
    <x v="0"/>
    <x v="0"/>
    <n v="1"/>
  </r>
  <r>
    <x v="2"/>
    <x v="0"/>
    <x v="0"/>
    <n v="370"/>
    <x v="1"/>
    <n v="10"/>
    <n v="4"/>
    <s v="Medical"/>
    <n v="1"/>
    <n v="1809"/>
    <n v="4"/>
    <x v="1"/>
    <n v="58"/>
    <n v="3"/>
    <x v="0"/>
    <x v="3"/>
    <n v="1"/>
    <x v="0"/>
    <n v="4213"/>
    <n v="4992"/>
    <n v="1"/>
    <s v="Y"/>
    <x v="1"/>
    <n v="15"/>
    <n v="3"/>
    <n v="2"/>
    <n v="80"/>
    <n v="0"/>
    <n v="10"/>
    <n v="4"/>
    <n v="1"/>
    <n v="10"/>
    <n v="3"/>
    <n v="0"/>
    <n v="8"/>
    <x v="0"/>
    <x v="0"/>
    <x v="2"/>
    <n v="1"/>
  </r>
  <r>
    <x v="22"/>
    <x v="1"/>
    <x v="1"/>
    <n v="766"/>
    <x v="0"/>
    <n v="20"/>
    <n v="3"/>
    <s v="Life Sciences"/>
    <n v="1"/>
    <n v="1812"/>
    <n v="3"/>
    <x v="1"/>
    <n v="83"/>
    <n v="3"/>
    <x v="0"/>
    <x v="0"/>
    <n v="4"/>
    <x v="2"/>
    <n v="4127"/>
    <n v="19188"/>
    <n v="2"/>
    <s v="Y"/>
    <x v="1"/>
    <n v="18"/>
    <n v="3"/>
    <n v="4"/>
    <n v="80"/>
    <n v="1"/>
    <n v="7"/>
    <n v="6"/>
    <n v="3"/>
    <n v="2"/>
    <n v="1"/>
    <n v="2"/>
    <n v="2"/>
    <x v="0"/>
    <x v="1"/>
    <x v="2"/>
    <n v="0"/>
  </r>
  <r>
    <x v="23"/>
    <x v="1"/>
    <x v="2"/>
    <n v="343"/>
    <x v="1"/>
    <n v="9"/>
    <n v="3"/>
    <s v="Life Sciences"/>
    <n v="1"/>
    <n v="1813"/>
    <n v="1"/>
    <x v="1"/>
    <n v="52"/>
    <n v="3"/>
    <x v="1"/>
    <x v="1"/>
    <n v="3"/>
    <x v="0"/>
    <n v="2438"/>
    <n v="24978"/>
    <n v="4"/>
    <s v="Y"/>
    <x v="1"/>
    <n v="13"/>
    <n v="3"/>
    <n v="3"/>
    <n v="80"/>
    <n v="0"/>
    <n v="7"/>
    <n v="2"/>
    <n v="2"/>
    <n v="3"/>
    <n v="2"/>
    <n v="1"/>
    <n v="2"/>
    <x v="0"/>
    <x v="2"/>
    <x v="1"/>
    <n v="0"/>
  </r>
  <r>
    <x v="0"/>
    <x v="1"/>
    <x v="0"/>
    <n v="447"/>
    <x v="1"/>
    <n v="5"/>
    <n v="3"/>
    <s v="Life Sciences"/>
    <n v="1"/>
    <n v="1814"/>
    <n v="2"/>
    <x v="1"/>
    <n v="85"/>
    <n v="4"/>
    <x v="0"/>
    <x v="4"/>
    <n v="2"/>
    <x v="0"/>
    <n v="6870"/>
    <n v="15530"/>
    <n v="3"/>
    <s v="Y"/>
    <x v="1"/>
    <n v="12"/>
    <n v="3"/>
    <n v="1"/>
    <n v="80"/>
    <n v="0"/>
    <n v="11"/>
    <n v="3"/>
    <n v="1"/>
    <n v="3"/>
    <n v="2"/>
    <n v="1"/>
    <n v="2"/>
    <x v="0"/>
    <x v="2"/>
    <x v="0"/>
    <n v="0"/>
  </r>
  <r>
    <x v="0"/>
    <x v="1"/>
    <x v="0"/>
    <n v="796"/>
    <x v="0"/>
    <n v="4"/>
    <n v="1"/>
    <s v="Marketing"/>
    <n v="1"/>
    <n v="1815"/>
    <n v="3"/>
    <x v="0"/>
    <n v="81"/>
    <n v="3"/>
    <x v="2"/>
    <x v="0"/>
    <n v="3"/>
    <x v="2"/>
    <n v="10447"/>
    <n v="26458"/>
    <n v="0"/>
    <s v="Y"/>
    <x v="0"/>
    <n v="13"/>
    <n v="3"/>
    <n v="4"/>
    <n v="80"/>
    <n v="1"/>
    <n v="23"/>
    <n v="3"/>
    <n v="4"/>
    <n v="22"/>
    <n v="14"/>
    <n v="13"/>
    <n v="5"/>
    <x v="0"/>
    <x v="3"/>
    <x v="3"/>
    <n v="0"/>
  </r>
  <r>
    <x v="7"/>
    <x v="1"/>
    <x v="0"/>
    <n v="1092"/>
    <x v="1"/>
    <n v="10"/>
    <n v="3"/>
    <s v="Medical"/>
    <n v="1"/>
    <n v="1816"/>
    <n v="1"/>
    <x v="0"/>
    <n v="64"/>
    <n v="3"/>
    <x v="2"/>
    <x v="3"/>
    <n v="3"/>
    <x v="0"/>
    <n v="9667"/>
    <n v="2739"/>
    <n v="9"/>
    <s v="Y"/>
    <x v="1"/>
    <n v="14"/>
    <n v="3"/>
    <n v="2"/>
    <n v="80"/>
    <n v="0"/>
    <n v="9"/>
    <n v="3"/>
    <n v="3"/>
    <n v="7"/>
    <n v="7"/>
    <n v="0"/>
    <n v="2"/>
    <x v="2"/>
    <x v="0"/>
    <x v="3"/>
    <n v="0"/>
  </r>
  <r>
    <x v="25"/>
    <x v="0"/>
    <x v="0"/>
    <n v="920"/>
    <x v="2"/>
    <n v="20"/>
    <n v="2"/>
    <s v="Medical"/>
    <n v="1"/>
    <n v="1818"/>
    <n v="4"/>
    <x v="0"/>
    <n v="69"/>
    <n v="3"/>
    <x v="1"/>
    <x v="8"/>
    <n v="2"/>
    <x v="1"/>
    <n v="2148"/>
    <n v="6889"/>
    <n v="0"/>
    <s v="Y"/>
    <x v="0"/>
    <n v="11"/>
    <n v="3"/>
    <n v="3"/>
    <n v="80"/>
    <n v="0"/>
    <n v="6"/>
    <n v="3"/>
    <n v="3"/>
    <n v="5"/>
    <n v="1"/>
    <n v="1"/>
    <n v="4"/>
    <x v="2"/>
    <x v="2"/>
    <x v="1"/>
    <n v="1"/>
  </r>
  <r>
    <x v="21"/>
    <x v="0"/>
    <x v="0"/>
    <n v="261"/>
    <x v="1"/>
    <n v="21"/>
    <n v="2"/>
    <s v="Medical"/>
    <n v="1"/>
    <n v="1821"/>
    <n v="4"/>
    <x v="0"/>
    <n v="66"/>
    <n v="3"/>
    <x v="0"/>
    <x v="4"/>
    <n v="2"/>
    <x v="1"/>
    <n v="8926"/>
    <n v="10842"/>
    <n v="4"/>
    <s v="Y"/>
    <x v="1"/>
    <n v="22"/>
    <n v="4"/>
    <n v="4"/>
    <n v="80"/>
    <n v="1"/>
    <n v="13"/>
    <n v="2"/>
    <n v="4"/>
    <n v="9"/>
    <n v="7"/>
    <n v="3"/>
    <n v="7"/>
    <x v="1"/>
    <x v="0"/>
    <x v="3"/>
    <n v="1"/>
  </r>
  <r>
    <x v="32"/>
    <x v="1"/>
    <x v="0"/>
    <n v="1194"/>
    <x v="1"/>
    <n v="1"/>
    <n v="3"/>
    <s v="Life Sciences"/>
    <n v="1"/>
    <n v="1822"/>
    <n v="3"/>
    <x v="0"/>
    <n v="52"/>
    <n v="3"/>
    <x v="0"/>
    <x v="4"/>
    <n v="4"/>
    <x v="2"/>
    <n v="6513"/>
    <n v="9060"/>
    <n v="4"/>
    <s v="Y"/>
    <x v="1"/>
    <n v="17"/>
    <n v="3"/>
    <n v="4"/>
    <n v="80"/>
    <n v="1"/>
    <n v="12"/>
    <n v="3"/>
    <n v="3"/>
    <n v="5"/>
    <n v="3"/>
    <n v="0"/>
    <n v="3"/>
    <x v="0"/>
    <x v="2"/>
    <x v="0"/>
    <n v="0"/>
  </r>
  <r>
    <x v="13"/>
    <x v="1"/>
    <x v="0"/>
    <n v="810"/>
    <x v="0"/>
    <n v="8"/>
    <n v="2"/>
    <s v="Technical Degree"/>
    <n v="1"/>
    <n v="1823"/>
    <n v="2"/>
    <x v="1"/>
    <n v="92"/>
    <n v="4"/>
    <x v="0"/>
    <x v="0"/>
    <n v="3"/>
    <x v="1"/>
    <n v="6799"/>
    <n v="22128"/>
    <n v="1"/>
    <s v="Y"/>
    <x v="1"/>
    <n v="21"/>
    <n v="4"/>
    <n v="3"/>
    <n v="80"/>
    <n v="2"/>
    <n v="10"/>
    <n v="5"/>
    <n v="3"/>
    <n v="10"/>
    <n v="8"/>
    <n v="4"/>
    <n v="8"/>
    <x v="2"/>
    <x v="0"/>
    <x v="0"/>
    <n v="0"/>
  </r>
  <r>
    <x v="34"/>
    <x v="1"/>
    <x v="2"/>
    <n v="350"/>
    <x v="0"/>
    <n v="2"/>
    <n v="3"/>
    <s v="Medical"/>
    <n v="1"/>
    <n v="1824"/>
    <n v="2"/>
    <x v="1"/>
    <n v="52"/>
    <n v="3"/>
    <x v="3"/>
    <x v="5"/>
    <n v="2"/>
    <x v="2"/>
    <n v="16291"/>
    <n v="22577"/>
    <n v="4"/>
    <s v="Y"/>
    <x v="1"/>
    <n v="22"/>
    <n v="4"/>
    <n v="4"/>
    <n v="80"/>
    <n v="1"/>
    <n v="37"/>
    <n v="0"/>
    <n v="2"/>
    <n v="16"/>
    <n v="9"/>
    <n v="14"/>
    <n v="14"/>
    <x v="3"/>
    <x v="3"/>
    <x v="3"/>
    <n v="0"/>
  </r>
  <r>
    <x v="10"/>
    <x v="1"/>
    <x v="0"/>
    <n v="185"/>
    <x v="1"/>
    <n v="23"/>
    <n v="4"/>
    <s v="Medical"/>
    <n v="1"/>
    <n v="1826"/>
    <n v="2"/>
    <x v="1"/>
    <n v="91"/>
    <n v="1"/>
    <x v="1"/>
    <x v="2"/>
    <n v="3"/>
    <x v="1"/>
    <n v="2705"/>
    <n v="9696"/>
    <n v="0"/>
    <s v="Y"/>
    <x v="1"/>
    <n v="16"/>
    <n v="3"/>
    <n v="2"/>
    <n v="80"/>
    <n v="1"/>
    <n v="6"/>
    <n v="2"/>
    <n v="4"/>
    <n v="5"/>
    <n v="4"/>
    <n v="0"/>
    <n v="3"/>
    <x v="0"/>
    <x v="2"/>
    <x v="1"/>
    <n v="0"/>
  </r>
  <r>
    <x v="40"/>
    <x v="1"/>
    <x v="0"/>
    <n v="1001"/>
    <x v="1"/>
    <n v="4"/>
    <n v="3"/>
    <s v="Life Sciences"/>
    <n v="1"/>
    <n v="1827"/>
    <n v="3"/>
    <x v="0"/>
    <n v="92"/>
    <n v="2"/>
    <x v="2"/>
    <x v="3"/>
    <n v="2"/>
    <x v="2"/>
    <n v="10333"/>
    <n v="19271"/>
    <n v="8"/>
    <s v="Y"/>
    <x v="0"/>
    <n v="12"/>
    <n v="3"/>
    <n v="3"/>
    <n v="80"/>
    <n v="1"/>
    <n v="28"/>
    <n v="4"/>
    <n v="3"/>
    <n v="22"/>
    <n v="11"/>
    <n v="14"/>
    <n v="10"/>
    <x v="1"/>
    <x v="3"/>
    <x v="3"/>
    <n v="0"/>
  </r>
  <r>
    <x v="32"/>
    <x v="1"/>
    <x v="0"/>
    <n v="750"/>
    <x v="1"/>
    <n v="12"/>
    <n v="3"/>
    <s v="Life Sciences"/>
    <n v="1"/>
    <n v="1829"/>
    <n v="2"/>
    <x v="0"/>
    <n v="47"/>
    <n v="3"/>
    <x v="0"/>
    <x v="4"/>
    <n v="1"/>
    <x v="2"/>
    <n v="4448"/>
    <n v="10748"/>
    <n v="2"/>
    <s v="Y"/>
    <x v="1"/>
    <n v="12"/>
    <n v="3"/>
    <n v="2"/>
    <n v="80"/>
    <n v="1"/>
    <n v="15"/>
    <n v="3"/>
    <n v="3"/>
    <n v="7"/>
    <n v="4"/>
    <n v="7"/>
    <n v="7"/>
    <x v="0"/>
    <x v="0"/>
    <x v="2"/>
    <n v="0"/>
  </r>
  <r>
    <x v="33"/>
    <x v="1"/>
    <x v="0"/>
    <n v="431"/>
    <x v="1"/>
    <n v="7"/>
    <n v="4"/>
    <s v="Medical"/>
    <n v="1"/>
    <n v="1830"/>
    <n v="4"/>
    <x v="0"/>
    <n v="68"/>
    <n v="3"/>
    <x v="0"/>
    <x v="1"/>
    <n v="4"/>
    <x v="1"/>
    <n v="6854"/>
    <n v="15696"/>
    <n v="4"/>
    <s v="Y"/>
    <x v="1"/>
    <n v="15"/>
    <n v="3"/>
    <n v="2"/>
    <n v="80"/>
    <n v="1"/>
    <n v="14"/>
    <n v="2"/>
    <n v="2"/>
    <n v="7"/>
    <n v="1"/>
    <n v="1"/>
    <n v="7"/>
    <x v="1"/>
    <x v="0"/>
    <x v="0"/>
    <n v="0"/>
  </r>
  <r>
    <x v="12"/>
    <x v="1"/>
    <x v="1"/>
    <n v="1125"/>
    <x v="0"/>
    <n v="7"/>
    <n v="4"/>
    <s v="Marketing"/>
    <n v="1"/>
    <n v="1833"/>
    <n v="1"/>
    <x v="0"/>
    <n v="68"/>
    <n v="3"/>
    <x v="2"/>
    <x v="0"/>
    <n v="1"/>
    <x v="1"/>
    <n v="9637"/>
    <n v="8277"/>
    <n v="2"/>
    <s v="Y"/>
    <x v="1"/>
    <n v="14"/>
    <n v="3"/>
    <n v="4"/>
    <n v="80"/>
    <n v="2"/>
    <n v="9"/>
    <n v="3"/>
    <n v="3"/>
    <n v="3"/>
    <n v="2"/>
    <n v="2"/>
    <n v="2"/>
    <x v="2"/>
    <x v="2"/>
    <x v="3"/>
    <n v="0"/>
  </r>
  <r>
    <x v="14"/>
    <x v="1"/>
    <x v="0"/>
    <n v="1217"/>
    <x v="1"/>
    <n v="1"/>
    <n v="3"/>
    <s v="Medical"/>
    <n v="1"/>
    <n v="1834"/>
    <n v="3"/>
    <x v="0"/>
    <n v="67"/>
    <n v="3"/>
    <x v="1"/>
    <x v="1"/>
    <n v="1"/>
    <x v="1"/>
    <n v="3591"/>
    <n v="12719"/>
    <n v="1"/>
    <s v="Y"/>
    <x v="1"/>
    <n v="25"/>
    <n v="4"/>
    <n v="3"/>
    <n v="80"/>
    <n v="1"/>
    <n v="3"/>
    <n v="3"/>
    <n v="3"/>
    <n v="3"/>
    <n v="2"/>
    <n v="1"/>
    <n v="2"/>
    <x v="2"/>
    <x v="2"/>
    <x v="2"/>
    <n v="0"/>
  </r>
  <r>
    <x v="8"/>
    <x v="1"/>
    <x v="0"/>
    <n v="723"/>
    <x v="0"/>
    <n v="2"/>
    <n v="4"/>
    <s v="Marketing"/>
    <n v="1"/>
    <n v="1835"/>
    <n v="2"/>
    <x v="0"/>
    <n v="77"/>
    <n v="1"/>
    <x v="0"/>
    <x v="6"/>
    <n v="4"/>
    <x v="1"/>
    <n v="5405"/>
    <n v="4244"/>
    <n v="2"/>
    <s v="Y"/>
    <x v="0"/>
    <n v="20"/>
    <n v="4"/>
    <n v="1"/>
    <n v="80"/>
    <n v="2"/>
    <n v="20"/>
    <n v="4"/>
    <n v="2"/>
    <n v="4"/>
    <n v="2"/>
    <n v="0"/>
    <n v="3"/>
    <x v="0"/>
    <x v="2"/>
    <x v="0"/>
    <n v="0"/>
  </r>
  <r>
    <x v="25"/>
    <x v="1"/>
    <x v="0"/>
    <n v="572"/>
    <x v="0"/>
    <n v="10"/>
    <n v="3"/>
    <s v="Medical"/>
    <n v="1"/>
    <n v="1836"/>
    <n v="3"/>
    <x v="1"/>
    <n v="46"/>
    <n v="3"/>
    <x v="0"/>
    <x v="0"/>
    <n v="4"/>
    <x v="0"/>
    <n v="4684"/>
    <n v="9125"/>
    <n v="1"/>
    <s v="Y"/>
    <x v="1"/>
    <n v="13"/>
    <n v="3"/>
    <n v="1"/>
    <n v="80"/>
    <n v="0"/>
    <n v="5"/>
    <n v="4"/>
    <n v="3"/>
    <n v="5"/>
    <n v="3"/>
    <n v="1"/>
    <n v="2"/>
    <x v="2"/>
    <x v="2"/>
    <x v="2"/>
    <n v="0"/>
  </r>
  <r>
    <x v="34"/>
    <x v="1"/>
    <x v="1"/>
    <n v="1216"/>
    <x v="1"/>
    <n v="15"/>
    <n v="4"/>
    <s v="Life Sciences"/>
    <n v="1"/>
    <n v="1837"/>
    <n v="1"/>
    <x v="1"/>
    <n v="87"/>
    <n v="3"/>
    <x v="3"/>
    <x v="7"/>
    <n v="3"/>
    <x v="1"/>
    <n v="15787"/>
    <n v="21624"/>
    <n v="2"/>
    <s v="Y"/>
    <x v="0"/>
    <n v="14"/>
    <n v="3"/>
    <n v="2"/>
    <n v="80"/>
    <n v="0"/>
    <n v="23"/>
    <n v="3"/>
    <n v="3"/>
    <n v="2"/>
    <n v="2"/>
    <n v="2"/>
    <n v="2"/>
    <x v="3"/>
    <x v="1"/>
    <x v="3"/>
    <n v="0"/>
  </r>
  <r>
    <x v="41"/>
    <x v="1"/>
    <x v="2"/>
    <n v="1431"/>
    <x v="1"/>
    <n v="14"/>
    <n v="3"/>
    <s v="Medical"/>
    <n v="1"/>
    <n v="1839"/>
    <n v="2"/>
    <x v="0"/>
    <n v="33"/>
    <n v="3"/>
    <x v="1"/>
    <x v="1"/>
    <n v="3"/>
    <x v="0"/>
    <n v="1514"/>
    <n v="8018"/>
    <n v="1"/>
    <s v="Y"/>
    <x v="1"/>
    <n v="16"/>
    <n v="3"/>
    <n v="3"/>
    <n v="80"/>
    <n v="0"/>
    <n v="0"/>
    <n v="4"/>
    <n v="1"/>
    <n v="0"/>
    <n v="0"/>
    <n v="0"/>
    <n v="0"/>
    <x v="4"/>
    <x v="1"/>
    <x v="1"/>
    <n v="0"/>
  </r>
  <r>
    <x v="12"/>
    <x v="0"/>
    <x v="0"/>
    <n v="359"/>
    <x v="2"/>
    <n v="18"/>
    <n v="5"/>
    <s v="Human Resources"/>
    <n v="1"/>
    <n v="1842"/>
    <n v="4"/>
    <x v="1"/>
    <n v="89"/>
    <n v="4"/>
    <x v="1"/>
    <x v="8"/>
    <n v="1"/>
    <x v="1"/>
    <n v="2956"/>
    <n v="21495"/>
    <n v="0"/>
    <s v="Y"/>
    <x v="1"/>
    <n v="17"/>
    <n v="3"/>
    <n v="3"/>
    <n v="80"/>
    <n v="0"/>
    <n v="2"/>
    <n v="4"/>
    <n v="3"/>
    <n v="1"/>
    <n v="0"/>
    <n v="0"/>
    <n v="0"/>
    <x v="2"/>
    <x v="1"/>
    <x v="1"/>
    <n v="1"/>
  </r>
  <r>
    <x v="11"/>
    <x v="0"/>
    <x v="0"/>
    <n v="350"/>
    <x v="2"/>
    <n v="13"/>
    <n v="3"/>
    <s v="Human Resources"/>
    <n v="1"/>
    <n v="1844"/>
    <n v="1"/>
    <x v="1"/>
    <n v="56"/>
    <n v="2"/>
    <x v="1"/>
    <x v="8"/>
    <n v="1"/>
    <x v="2"/>
    <n v="2335"/>
    <n v="3157"/>
    <n v="4"/>
    <s v="Y"/>
    <x v="0"/>
    <n v="15"/>
    <n v="3"/>
    <n v="4"/>
    <n v="80"/>
    <n v="3"/>
    <n v="4"/>
    <n v="3"/>
    <n v="3"/>
    <n v="2"/>
    <n v="2"/>
    <n v="2"/>
    <n v="0"/>
    <x v="2"/>
    <x v="1"/>
    <x v="1"/>
    <n v="1"/>
  </r>
  <r>
    <x v="28"/>
    <x v="1"/>
    <x v="2"/>
    <n v="589"/>
    <x v="0"/>
    <n v="2"/>
    <n v="4"/>
    <s v="Life Sciences"/>
    <n v="1"/>
    <n v="1845"/>
    <n v="3"/>
    <x v="0"/>
    <n v="67"/>
    <n v="3"/>
    <x v="0"/>
    <x v="0"/>
    <n v="3"/>
    <x v="1"/>
    <n v="5154"/>
    <n v="19665"/>
    <n v="4"/>
    <s v="Y"/>
    <x v="1"/>
    <n v="22"/>
    <n v="4"/>
    <n v="2"/>
    <n v="80"/>
    <n v="2"/>
    <n v="10"/>
    <n v="3"/>
    <n v="4"/>
    <n v="8"/>
    <n v="7"/>
    <n v="5"/>
    <n v="7"/>
    <x v="1"/>
    <x v="0"/>
    <x v="0"/>
    <n v="0"/>
  </r>
  <r>
    <x v="9"/>
    <x v="1"/>
    <x v="0"/>
    <n v="430"/>
    <x v="1"/>
    <n v="2"/>
    <n v="4"/>
    <s v="Other"/>
    <n v="1"/>
    <n v="1847"/>
    <n v="4"/>
    <x v="0"/>
    <n v="73"/>
    <n v="3"/>
    <x v="0"/>
    <x v="1"/>
    <n v="2"/>
    <x v="1"/>
    <n v="6962"/>
    <n v="19573"/>
    <n v="4"/>
    <s v="Y"/>
    <x v="0"/>
    <n v="22"/>
    <n v="4"/>
    <n v="4"/>
    <n v="80"/>
    <n v="1"/>
    <n v="15"/>
    <n v="2"/>
    <n v="3"/>
    <n v="1"/>
    <n v="0"/>
    <n v="0"/>
    <n v="0"/>
    <x v="0"/>
    <x v="1"/>
    <x v="0"/>
    <n v="0"/>
  </r>
  <r>
    <x v="23"/>
    <x v="1"/>
    <x v="1"/>
    <n v="1422"/>
    <x v="0"/>
    <n v="2"/>
    <n v="4"/>
    <s v="Life Sciences"/>
    <n v="1"/>
    <n v="1849"/>
    <n v="1"/>
    <x v="1"/>
    <n v="92"/>
    <n v="3"/>
    <x v="0"/>
    <x v="0"/>
    <n v="4"/>
    <x v="1"/>
    <n v="5675"/>
    <n v="19246"/>
    <n v="1"/>
    <s v="Y"/>
    <x v="1"/>
    <n v="20"/>
    <n v="4"/>
    <n v="3"/>
    <n v="80"/>
    <n v="1"/>
    <n v="7"/>
    <n v="5"/>
    <n v="3"/>
    <n v="7"/>
    <n v="7"/>
    <n v="7"/>
    <n v="7"/>
    <x v="0"/>
    <x v="0"/>
    <x v="0"/>
    <n v="0"/>
  </r>
  <r>
    <x v="4"/>
    <x v="1"/>
    <x v="1"/>
    <n v="1297"/>
    <x v="1"/>
    <n v="5"/>
    <n v="2"/>
    <s v="Life Sciences"/>
    <n v="1"/>
    <n v="1850"/>
    <n v="4"/>
    <x v="0"/>
    <n v="53"/>
    <n v="3"/>
    <x v="1"/>
    <x v="2"/>
    <n v="4"/>
    <x v="0"/>
    <n v="2379"/>
    <n v="19826"/>
    <n v="0"/>
    <s v="Y"/>
    <x v="0"/>
    <n v="14"/>
    <n v="3"/>
    <n v="3"/>
    <n v="80"/>
    <n v="0"/>
    <n v="6"/>
    <n v="3"/>
    <n v="2"/>
    <n v="5"/>
    <n v="4"/>
    <n v="0"/>
    <n v="2"/>
    <x v="2"/>
    <x v="2"/>
    <x v="1"/>
    <n v="0"/>
  </r>
  <r>
    <x v="11"/>
    <x v="1"/>
    <x v="1"/>
    <n v="574"/>
    <x v="1"/>
    <n v="20"/>
    <n v="1"/>
    <s v="Medical"/>
    <n v="1"/>
    <n v="1852"/>
    <n v="4"/>
    <x v="1"/>
    <n v="40"/>
    <n v="3"/>
    <x v="1"/>
    <x v="2"/>
    <n v="4"/>
    <x v="1"/>
    <n v="3812"/>
    <n v="7003"/>
    <n v="1"/>
    <s v="Y"/>
    <x v="1"/>
    <n v="13"/>
    <n v="3"/>
    <n v="2"/>
    <n v="80"/>
    <n v="0"/>
    <n v="11"/>
    <n v="3"/>
    <n v="4"/>
    <n v="11"/>
    <n v="8"/>
    <n v="3"/>
    <n v="10"/>
    <x v="2"/>
    <x v="3"/>
    <x v="2"/>
    <n v="0"/>
  </r>
  <r>
    <x v="5"/>
    <x v="1"/>
    <x v="1"/>
    <n v="1318"/>
    <x v="0"/>
    <n v="10"/>
    <n v="4"/>
    <s v="Marketing"/>
    <n v="1"/>
    <n v="1853"/>
    <n v="4"/>
    <x v="1"/>
    <n v="79"/>
    <n v="3"/>
    <x v="0"/>
    <x v="0"/>
    <n v="4"/>
    <x v="0"/>
    <n v="4648"/>
    <n v="26075"/>
    <n v="8"/>
    <s v="Y"/>
    <x v="1"/>
    <n v="13"/>
    <n v="3"/>
    <n v="3"/>
    <n v="80"/>
    <n v="0"/>
    <n v="4"/>
    <n v="2"/>
    <n v="4"/>
    <n v="0"/>
    <n v="0"/>
    <n v="0"/>
    <n v="0"/>
    <x v="2"/>
    <x v="1"/>
    <x v="2"/>
    <n v="0"/>
  </r>
  <r>
    <x v="19"/>
    <x v="1"/>
    <x v="2"/>
    <n v="355"/>
    <x v="1"/>
    <n v="10"/>
    <n v="4"/>
    <s v="Technical Degree"/>
    <n v="1"/>
    <n v="1854"/>
    <n v="3"/>
    <x v="1"/>
    <n v="38"/>
    <n v="3"/>
    <x v="1"/>
    <x v="1"/>
    <n v="3"/>
    <x v="1"/>
    <n v="2936"/>
    <n v="6161"/>
    <n v="3"/>
    <s v="Y"/>
    <x v="1"/>
    <n v="22"/>
    <n v="4"/>
    <n v="2"/>
    <n v="80"/>
    <n v="2"/>
    <n v="10"/>
    <n v="1"/>
    <n v="2"/>
    <n v="6"/>
    <n v="3"/>
    <n v="3"/>
    <n v="3"/>
    <x v="0"/>
    <x v="0"/>
    <x v="1"/>
    <n v="0"/>
  </r>
  <r>
    <x v="40"/>
    <x v="1"/>
    <x v="0"/>
    <n v="207"/>
    <x v="1"/>
    <n v="9"/>
    <n v="4"/>
    <s v="Life Sciences"/>
    <n v="1"/>
    <n v="1856"/>
    <n v="2"/>
    <x v="0"/>
    <n v="64"/>
    <n v="3"/>
    <x v="1"/>
    <x v="2"/>
    <n v="3"/>
    <x v="0"/>
    <n v="2105"/>
    <n v="5411"/>
    <n v="4"/>
    <s v="Y"/>
    <x v="1"/>
    <n v="12"/>
    <n v="3"/>
    <n v="3"/>
    <n v="80"/>
    <n v="0"/>
    <n v="7"/>
    <n v="2"/>
    <n v="3"/>
    <n v="2"/>
    <n v="2"/>
    <n v="2"/>
    <n v="0"/>
    <x v="1"/>
    <x v="1"/>
    <x v="1"/>
    <n v="0"/>
  </r>
  <r>
    <x v="21"/>
    <x v="1"/>
    <x v="0"/>
    <n v="706"/>
    <x v="1"/>
    <n v="2"/>
    <n v="2"/>
    <s v="Life Sciences"/>
    <n v="1"/>
    <n v="1857"/>
    <n v="4"/>
    <x v="1"/>
    <n v="82"/>
    <n v="3"/>
    <x v="2"/>
    <x v="3"/>
    <n v="4"/>
    <x v="2"/>
    <n v="8578"/>
    <n v="19989"/>
    <n v="3"/>
    <s v="Y"/>
    <x v="1"/>
    <n v="14"/>
    <n v="3"/>
    <n v="3"/>
    <n v="80"/>
    <n v="1"/>
    <n v="12"/>
    <n v="4"/>
    <n v="2"/>
    <n v="9"/>
    <n v="8"/>
    <n v="4"/>
    <n v="7"/>
    <x v="1"/>
    <x v="0"/>
    <x v="3"/>
    <n v="0"/>
  </r>
  <r>
    <x v="14"/>
    <x v="1"/>
    <x v="2"/>
    <n v="280"/>
    <x v="2"/>
    <n v="1"/>
    <n v="2"/>
    <s v="Life Sciences"/>
    <n v="1"/>
    <n v="1858"/>
    <n v="3"/>
    <x v="1"/>
    <n v="43"/>
    <n v="3"/>
    <x v="1"/>
    <x v="8"/>
    <n v="4"/>
    <x v="2"/>
    <n v="2706"/>
    <n v="10494"/>
    <n v="1"/>
    <s v="Y"/>
    <x v="1"/>
    <n v="15"/>
    <n v="3"/>
    <n v="2"/>
    <n v="80"/>
    <n v="1"/>
    <n v="3"/>
    <n v="2"/>
    <n v="3"/>
    <n v="3"/>
    <n v="2"/>
    <n v="2"/>
    <n v="2"/>
    <x v="2"/>
    <x v="2"/>
    <x v="1"/>
    <n v="0"/>
  </r>
  <r>
    <x v="11"/>
    <x v="1"/>
    <x v="0"/>
    <n v="726"/>
    <x v="1"/>
    <n v="29"/>
    <n v="1"/>
    <s v="Life Sciences"/>
    <n v="1"/>
    <n v="1859"/>
    <n v="4"/>
    <x v="1"/>
    <n v="93"/>
    <n v="1"/>
    <x v="0"/>
    <x v="4"/>
    <n v="3"/>
    <x v="2"/>
    <n v="6384"/>
    <n v="21143"/>
    <n v="8"/>
    <s v="Y"/>
    <x v="1"/>
    <n v="17"/>
    <n v="3"/>
    <n v="4"/>
    <n v="80"/>
    <n v="2"/>
    <n v="11"/>
    <n v="3"/>
    <n v="3"/>
    <n v="7"/>
    <n v="0"/>
    <n v="1"/>
    <n v="6"/>
    <x v="2"/>
    <x v="0"/>
    <x v="0"/>
    <n v="0"/>
  </r>
  <r>
    <x v="19"/>
    <x v="1"/>
    <x v="0"/>
    <n v="1142"/>
    <x v="1"/>
    <n v="8"/>
    <n v="3"/>
    <s v="Life Sciences"/>
    <n v="1"/>
    <n v="1860"/>
    <n v="4"/>
    <x v="1"/>
    <n v="81"/>
    <n v="3"/>
    <x v="1"/>
    <x v="2"/>
    <n v="3"/>
    <x v="0"/>
    <n v="3968"/>
    <n v="13624"/>
    <n v="4"/>
    <s v="Y"/>
    <x v="1"/>
    <n v="13"/>
    <n v="3"/>
    <n v="4"/>
    <n v="80"/>
    <n v="0"/>
    <n v="8"/>
    <n v="3"/>
    <n v="3"/>
    <n v="0"/>
    <n v="0"/>
    <n v="0"/>
    <n v="0"/>
    <x v="0"/>
    <x v="1"/>
    <x v="2"/>
    <n v="0"/>
  </r>
  <r>
    <x v="5"/>
    <x v="0"/>
    <x v="0"/>
    <n v="414"/>
    <x v="0"/>
    <n v="2"/>
    <n v="4"/>
    <s v="Marketing"/>
    <n v="1"/>
    <n v="1862"/>
    <n v="3"/>
    <x v="1"/>
    <n v="82"/>
    <n v="2"/>
    <x v="0"/>
    <x v="0"/>
    <n v="2"/>
    <x v="0"/>
    <n v="9907"/>
    <n v="26186"/>
    <n v="7"/>
    <s v="Y"/>
    <x v="0"/>
    <n v="12"/>
    <n v="3"/>
    <n v="3"/>
    <n v="80"/>
    <n v="0"/>
    <n v="7"/>
    <n v="3"/>
    <n v="2"/>
    <n v="2"/>
    <n v="2"/>
    <n v="2"/>
    <n v="2"/>
    <x v="2"/>
    <x v="1"/>
    <x v="3"/>
    <n v="1"/>
  </r>
  <r>
    <x v="21"/>
    <x v="1"/>
    <x v="0"/>
    <n v="1319"/>
    <x v="0"/>
    <n v="3"/>
    <n v="3"/>
    <s v="Technical Degree"/>
    <n v="1"/>
    <n v="1863"/>
    <n v="1"/>
    <x v="0"/>
    <n v="45"/>
    <n v="4"/>
    <x v="3"/>
    <x v="0"/>
    <n v="1"/>
    <x v="2"/>
    <n v="13225"/>
    <n v="7739"/>
    <n v="2"/>
    <s v="Y"/>
    <x v="1"/>
    <n v="12"/>
    <n v="3"/>
    <n v="4"/>
    <n v="80"/>
    <n v="1"/>
    <n v="25"/>
    <n v="5"/>
    <n v="3"/>
    <n v="19"/>
    <n v="17"/>
    <n v="2"/>
    <n v="8"/>
    <x v="1"/>
    <x v="3"/>
    <x v="3"/>
    <n v="0"/>
  </r>
  <r>
    <x v="4"/>
    <x v="1"/>
    <x v="0"/>
    <n v="728"/>
    <x v="0"/>
    <n v="23"/>
    <n v="1"/>
    <s v="Medical"/>
    <n v="1"/>
    <n v="1864"/>
    <n v="2"/>
    <x v="0"/>
    <n v="36"/>
    <n v="2"/>
    <x v="0"/>
    <x v="6"/>
    <n v="3"/>
    <x v="1"/>
    <n v="3540"/>
    <n v="7018"/>
    <n v="1"/>
    <s v="Y"/>
    <x v="1"/>
    <n v="21"/>
    <n v="4"/>
    <n v="4"/>
    <n v="80"/>
    <n v="1"/>
    <n v="9"/>
    <n v="5"/>
    <n v="3"/>
    <n v="9"/>
    <n v="8"/>
    <n v="5"/>
    <n v="8"/>
    <x v="2"/>
    <x v="0"/>
    <x v="2"/>
    <n v="0"/>
  </r>
  <r>
    <x v="11"/>
    <x v="1"/>
    <x v="0"/>
    <n v="352"/>
    <x v="2"/>
    <n v="6"/>
    <n v="1"/>
    <s v="Medical"/>
    <n v="1"/>
    <n v="1865"/>
    <n v="4"/>
    <x v="1"/>
    <n v="87"/>
    <n v="2"/>
    <x v="1"/>
    <x v="8"/>
    <n v="2"/>
    <x v="1"/>
    <n v="2804"/>
    <n v="15434"/>
    <n v="1"/>
    <s v="Y"/>
    <x v="1"/>
    <n v="11"/>
    <n v="3"/>
    <n v="4"/>
    <n v="80"/>
    <n v="0"/>
    <n v="1"/>
    <n v="3"/>
    <n v="3"/>
    <n v="1"/>
    <n v="0"/>
    <n v="0"/>
    <n v="0"/>
    <x v="2"/>
    <x v="1"/>
    <x v="1"/>
    <n v="0"/>
  </r>
  <r>
    <x v="23"/>
    <x v="1"/>
    <x v="0"/>
    <n v="823"/>
    <x v="1"/>
    <n v="6"/>
    <n v="3"/>
    <s v="Medical"/>
    <n v="1"/>
    <n v="1866"/>
    <n v="1"/>
    <x v="0"/>
    <n v="81"/>
    <n v="2"/>
    <x v="4"/>
    <x v="5"/>
    <n v="3"/>
    <x v="1"/>
    <n v="19392"/>
    <n v="22539"/>
    <n v="7"/>
    <s v="Y"/>
    <x v="1"/>
    <n v="13"/>
    <n v="3"/>
    <n v="4"/>
    <n v="80"/>
    <n v="0"/>
    <n v="21"/>
    <n v="2"/>
    <n v="3"/>
    <n v="16"/>
    <n v="12"/>
    <n v="6"/>
    <n v="14"/>
    <x v="0"/>
    <x v="3"/>
    <x v="3"/>
    <n v="0"/>
  </r>
  <r>
    <x v="26"/>
    <x v="1"/>
    <x v="0"/>
    <n v="1224"/>
    <x v="1"/>
    <n v="10"/>
    <n v="3"/>
    <s v="Life Sciences"/>
    <n v="1"/>
    <n v="1867"/>
    <n v="4"/>
    <x v="1"/>
    <n v="91"/>
    <n v="2"/>
    <x v="4"/>
    <x v="7"/>
    <n v="2"/>
    <x v="1"/>
    <n v="19665"/>
    <n v="13583"/>
    <n v="4"/>
    <s v="Y"/>
    <x v="1"/>
    <n v="12"/>
    <n v="3"/>
    <n v="4"/>
    <n v="80"/>
    <n v="0"/>
    <n v="29"/>
    <n v="3"/>
    <n v="3"/>
    <n v="22"/>
    <n v="10"/>
    <n v="12"/>
    <n v="9"/>
    <x v="1"/>
    <x v="3"/>
    <x v="3"/>
    <n v="0"/>
  </r>
  <r>
    <x v="11"/>
    <x v="0"/>
    <x v="1"/>
    <n v="459"/>
    <x v="1"/>
    <n v="24"/>
    <n v="2"/>
    <s v="Life Sciences"/>
    <n v="1"/>
    <n v="1868"/>
    <n v="4"/>
    <x v="1"/>
    <n v="73"/>
    <n v="2"/>
    <x v="1"/>
    <x v="1"/>
    <n v="4"/>
    <x v="0"/>
    <n v="2439"/>
    <n v="14753"/>
    <n v="1"/>
    <s v="Y"/>
    <x v="0"/>
    <n v="24"/>
    <n v="4"/>
    <n v="2"/>
    <n v="80"/>
    <n v="0"/>
    <n v="1"/>
    <n v="3"/>
    <n v="2"/>
    <n v="1"/>
    <n v="0"/>
    <n v="1"/>
    <n v="0"/>
    <x v="2"/>
    <x v="1"/>
    <x v="1"/>
    <n v="1"/>
  </r>
  <r>
    <x v="21"/>
    <x v="0"/>
    <x v="0"/>
    <n v="1254"/>
    <x v="0"/>
    <n v="10"/>
    <n v="3"/>
    <s v="Life Sciences"/>
    <n v="1"/>
    <n v="1869"/>
    <n v="3"/>
    <x v="0"/>
    <n v="64"/>
    <n v="3"/>
    <x v="2"/>
    <x v="0"/>
    <n v="2"/>
    <x v="1"/>
    <n v="7314"/>
    <n v="14011"/>
    <n v="5"/>
    <s v="Y"/>
    <x v="1"/>
    <n v="21"/>
    <n v="4"/>
    <n v="3"/>
    <n v="80"/>
    <n v="3"/>
    <n v="14"/>
    <n v="2"/>
    <n v="3"/>
    <n v="8"/>
    <n v="7"/>
    <n v="0"/>
    <n v="7"/>
    <x v="1"/>
    <x v="0"/>
    <x v="0"/>
    <n v="1"/>
  </r>
  <r>
    <x v="4"/>
    <x v="1"/>
    <x v="1"/>
    <n v="1131"/>
    <x v="1"/>
    <n v="15"/>
    <n v="3"/>
    <s v="Life Sciences"/>
    <n v="1"/>
    <n v="1870"/>
    <n v="4"/>
    <x v="0"/>
    <n v="77"/>
    <n v="2"/>
    <x v="1"/>
    <x v="1"/>
    <n v="1"/>
    <x v="1"/>
    <n v="4774"/>
    <n v="23844"/>
    <n v="0"/>
    <s v="Y"/>
    <x v="1"/>
    <n v="19"/>
    <n v="3"/>
    <n v="4"/>
    <n v="80"/>
    <n v="1"/>
    <n v="8"/>
    <n v="2"/>
    <n v="2"/>
    <n v="7"/>
    <n v="6"/>
    <n v="7"/>
    <n v="3"/>
    <x v="2"/>
    <x v="0"/>
    <x v="2"/>
    <n v="0"/>
  </r>
  <r>
    <x v="22"/>
    <x v="1"/>
    <x v="0"/>
    <n v="835"/>
    <x v="1"/>
    <n v="19"/>
    <n v="4"/>
    <s v="Other"/>
    <n v="1"/>
    <n v="1871"/>
    <n v="4"/>
    <x v="1"/>
    <n v="41"/>
    <n v="3"/>
    <x v="0"/>
    <x v="1"/>
    <n v="4"/>
    <x v="2"/>
    <n v="3902"/>
    <n v="5141"/>
    <n v="8"/>
    <s v="Y"/>
    <x v="1"/>
    <n v="14"/>
    <n v="3"/>
    <n v="2"/>
    <n v="80"/>
    <n v="3"/>
    <n v="7"/>
    <n v="2"/>
    <n v="3"/>
    <n v="2"/>
    <n v="2"/>
    <n v="2"/>
    <n v="2"/>
    <x v="0"/>
    <x v="1"/>
    <x v="2"/>
    <n v="0"/>
  </r>
  <r>
    <x v="27"/>
    <x v="1"/>
    <x v="0"/>
    <n v="836"/>
    <x v="1"/>
    <n v="2"/>
    <n v="4"/>
    <s v="Technical Degree"/>
    <n v="1"/>
    <n v="1873"/>
    <n v="2"/>
    <x v="1"/>
    <n v="98"/>
    <n v="2"/>
    <x v="1"/>
    <x v="1"/>
    <n v="4"/>
    <x v="1"/>
    <n v="2662"/>
    <n v="7975"/>
    <n v="8"/>
    <s v="Y"/>
    <x v="1"/>
    <n v="20"/>
    <n v="4"/>
    <n v="2"/>
    <n v="80"/>
    <n v="1"/>
    <n v="19"/>
    <n v="2"/>
    <n v="4"/>
    <n v="5"/>
    <n v="2"/>
    <n v="0"/>
    <n v="4"/>
    <x v="3"/>
    <x v="2"/>
    <x v="1"/>
    <n v="0"/>
  </r>
  <r>
    <x v="14"/>
    <x v="1"/>
    <x v="0"/>
    <n v="1172"/>
    <x v="0"/>
    <n v="3"/>
    <n v="3"/>
    <s v="Medical"/>
    <n v="1"/>
    <n v="1875"/>
    <n v="2"/>
    <x v="0"/>
    <n v="78"/>
    <n v="3"/>
    <x v="1"/>
    <x v="6"/>
    <n v="2"/>
    <x v="1"/>
    <n v="2856"/>
    <n v="3692"/>
    <n v="1"/>
    <s v="Y"/>
    <x v="1"/>
    <n v="19"/>
    <n v="3"/>
    <n v="4"/>
    <n v="80"/>
    <n v="1"/>
    <n v="1"/>
    <n v="3"/>
    <n v="3"/>
    <n v="1"/>
    <n v="0"/>
    <n v="0"/>
    <n v="0"/>
    <x v="2"/>
    <x v="1"/>
    <x v="1"/>
    <n v="0"/>
  </r>
  <r>
    <x v="7"/>
    <x v="0"/>
    <x v="0"/>
    <n v="945"/>
    <x v="0"/>
    <n v="9"/>
    <n v="3"/>
    <s v="Medical"/>
    <n v="1"/>
    <n v="1876"/>
    <n v="2"/>
    <x v="1"/>
    <n v="89"/>
    <n v="3"/>
    <x v="1"/>
    <x v="6"/>
    <n v="4"/>
    <x v="0"/>
    <n v="1081"/>
    <n v="16019"/>
    <n v="1"/>
    <s v="Y"/>
    <x v="1"/>
    <n v="13"/>
    <n v="3"/>
    <n v="3"/>
    <n v="80"/>
    <n v="0"/>
    <n v="1"/>
    <n v="3"/>
    <n v="2"/>
    <n v="1"/>
    <n v="0"/>
    <n v="0"/>
    <n v="0"/>
    <x v="2"/>
    <x v="1"/>
    <x v="1"/>
    <n v="1"/>
  </r>
  <r>
    <x v="15"/>
    <x v="0"/>
    <x v="0"/>
    <n v="391"/>
    <x v="1"/>
    <n v="7"/>
    <n v="1"/>
    <s v="Life Sciences"/>
    <n v="1"/>
    <n v="1878"/>
    <n v="4"/>
    <x v="1"/>
    <n v="75"/>
    <n v="3"/>
    <x v="1"/>
    <x v="1"/>
    <n v="2"/>
    <x v="0"/>
    <n v="2472"/>
    <n v="26092"/>
    <n v="1"/>
    <s v="Y"/>
    <x v="0"/>
    <n v="23"/>
    <n v="4"/>
    <n v="1"/>
    <n v="80"/>
    <n v="0"/>
    <n v="1"/>
    <n v="2"/>
    <n v="3"/>
    <n v="1"/>
    <n v="0"/>
    <n v="0"/>
    <n v="0"/>
    <x v="4"/>
    <x v="1"/>
    <x v="1"/>
    <n v="1"/>
  </r>
  <r>
    <x v="9"/>
    <x v="1"/>
    <x v="0"/>
    <n v="1266"/>
    <x v="0"/>
    <n v="10"/>
    <n v="4"/>
    <s v="Technical Degree"/>
    <n v="1"/>
    <n v="1880"/>
    <n v="2"/>
    <x v="0"/>
    <n v="63"/>
    <n v="2"/>
    <x v="0"/>
    <x v="0"/>
    <n v="3"/>
    <x v="1"/>
    <n v="5673"/>
    <n v="6060"/>
    <n v="1"/>
    <s v="Y"/>
    <x v="0"/>
    <n v="13"/>
    <n v="3"/>
    <n v="1"/>
    <n v="80"/>
    <n v="1"/>
    <n v="10"/>
    <n v="4"/>
    <n v="3"/>
    <n v="10"/>
    <n v="9"/>
    <n v="1"/>
    <n v="7"/>
    <x v="0"/>
    <x v="0"/>
    <x v="0"/>
    <n v="0"/>
  </r>
  <r>
    <x v="12"/>
    <x v="1"/>
    <x v="0"/>
    <n v="311"/>
    <x v="1"/>
    <n v="20"/>
    <n v="3"/>
    <s v="Life Sciences"/>
    <n v="1"/>
    <n v="1881"/>
    <n v="2"/>
    <x v="1"/>
    <n v="89"/>
    <n v="3"/>
    <x v="0"/>
    <x v="2"/>
    <n v="3"/>
    <x v="2"/>
    <n v="4197"/>
    <n v="18624"/>
    <n v="1"/>
    <s v="Y"/>
    <x v="1"/>
    <n v="11"/>
    <n v="3"/>
    <n v="1"/>
    <n v="80"/>
    <n v="1"/>
    <n v="10"/>
    <n v="2"/>
    <n v="3"/>
    <n v="10"/>
    <n v="8"/>
    <n v="0"/>
    <n v="2"/>
    <x v="2"/>
    <x v="0"/>
    <x v="2"/>
    <n v="0"/>
  </r>
  <r>
    <x v="13"/>
    <x v="1"/>
    <x v="0"/>
    <n v="1480"/>
    <x v="0"/>
    <n v="4"/>
    <n v="3"/>
    <s v="Life Sciences"/>
    <n v="1"/>
    <n v="1882"/>
    <n v="3"/>
    <x v="1"/>
    <n v="64"/>
    <n v="3"/>
    <x v="2"/>
    <x v="0"/>
    <n v="4"/>
    <x v="1"/>
    <n v="9713"/>
    <n v="24444"/>
    <n v="2"/>
    <s v="Y"/>
    <x v="0"/>
    <n v="13"/>
    <n v="3"/>
    <n v="4"/>
    <n v="80"/>
    <n v="3"/>
    <n v="9"/>
    <n v="3"/>
    <n v="3"/>
    <n v="5"/>
    <n v="3"/>
    <n v="1"/>
    <n v="0"/>
    <x v="2"/>
    <x v="2"/>
    <x v="3"/>
    <n v="0"/>
  </r>
  <r>
    <x v="11"/>
    <x v="1"/>
    <x v="0"/>
    <n v="592"/>
    <x v="1"/>
    <n v="7"/>
    <n v="3"/>
    <s v="Life Sciences"/>
    <n v="1"/>
    <n v="1883"/>
    <n v="4"/>
    <x v="1"/>
    <n v="59"/>
    <n v="3"/>
    <x v="1"/>
    <x v="2"/>
    <n v="1"/>
    <x v="0"/>
    <n v="2062"/>
    <n v="19384"/>
    <n v="3"/>
    <s v="Y"/>
    <x v="1"/>
    <n v="14"/>
    <n v="3"/>
    <n v="2"/>
    <n v="80"/>
    <n v="0"/>
    <n v="11"/>
    <n v="2"/>
    <n v="3"/>
    <n v="3"/>
    <n v="2"/>
    <n v="1"/>
    <n v="2"/>
    <x v="2"/>
    <x v="2"/>
    <x v="1"/>
    <n v="0"/>
  </r>
  <r>
    <x v="2"/>
    <x v="1"/>
    <x v="0"/>
    <n v="783"/>
    <x v="1"/>
    <n v="7"/>
    <n v="4"/>
    <s v="Medical"/>
    <n v="1"/>
    <n v="1885"/>
    <n v="4"/>
    <x v="1"/>
    <n v="78"/>
    <n v="3"/>
    <x v="0"/>
    <x v="1"/>
    <n v="1"/>
    <x v="1"/>
    <n v="4284"/>
    <n v="13588"/>
    <n v="5"/>
    <s v="Y"/>
    <x v="0"/>
    <n v="22"/>
    <n v="4"/>
    <n v="3"/>
    <n v="80"/>
    <n v="1"/>
    <n v="16"/>
    <n v="2"/>
    <n v="3"/>
    <n v="5"/>
    <n v="3"/>
    <n v="0"/>
    <n v="4"/>
    <x v="0"/>
    <x v="2"/>
    <x v="2"/>
    <n v="0"/>
  </r>
  <r>
    <x v="10"/>
    <x v="1"/>
    <x v="0"/>
    <n v="219"/>
    <x v="1"/>
    <n v="16"/>
    <n v="2"/>
    <s v="Other"/>
    <n v="1"/>
    <n v="1886"/>
    <n v="4"/>
    <x v="0"/>
    <n v="44"/>
    <n v="2"/>
    <x v="0"/>
    <x v="3"/>
    <n v="2"/>
    <x v="1"/>
    <n v="4788"/>
    <n v="25388"/>
    <n v="0"/>
    <s v="Y"/>
    <x v="0"/>
    <n v="11"/>
    <n v="3"/>
    <n v="4"/>
    <n v="80"/>
    <n v="0"/>
    <n v="4"/>
    <n v="2"/>
    <n v="3"/>
    <n v="3"/>
    <n v="2"/>
    <n v="0"/>
    <n v="2"/>
    <x v="0"/>
    <x v="2"/>
    <x v="2"/>
    <n v="0"/>
  </r>
  <r>
    <x v="28"/>
    <x v="1"/>
    <x v="0"/>
    <n v="556"/>
    <x v="1"/>
    <n v="25"/>
    <n v="2"/>
    <s v="Life Sciences"/>
    <n v="1"/>
    <n v="1888"/>
    <n v="2"/>
    <x v="0"/>
    <n v="93"/>
    <n v="2"/>
    <x v="0"/>
    <x v="3"/>
    <n v="4"/>
    <x v="1"/>
    <n v="5906"/>
    <n v="23888"/>
    <n v="0"/>
    <s v="Y"/>
    <x v="1"/>
    <n v="13"/>
    <n v="3"/>
    <n v="4"/>
    <n v="80"/>
    <n v="2"/>
    <n v="10"/>
    <n v="2"/>
    <n v="2"/>
    <n v="9"/>
    <n v="8"/>
    <n v="3"/>
    <n v="8"/>
    <x v="1"/>
    <x v="0"/>
    <x v="0"/>
    <n v="0"/>
  </r>
  <r>
    <x v="9"/>
    <x v="1"/>
    <x v="1"/>
    <n v="1213"/>
    <x v="2"/>
    <n v="2"/>
    <n v="1"/>
    <s v="Human Resources"/>
    <n v="1"/>
    <n v="1890"/>
    <n v="2"/>
    <x v="1"/>
    <n v="94"/>
    <n v="2"/>
    <x v="0"/>
    <x v="8"/>
    <n v="4"/>
    <x v="0"/>
    <n v="3886"/>
    <n v="4223"/>
    <n v="1"/>
    <s v="Y"/>
    <x v="1"/>
    <n v="21"/>
    <n v="4"/>
    <n v="4"/>
    <n v="80"/>
    <n v="0"/>
    <n v="10"/>
    <n v="2"/>
    <n v="2"/>
    <n v="10"/>
    <n v="1"/>
    <n v="0"/>
    <n v="8"/>
    <x v="0"/>
    <x v="0"/>
    <x v="2"/>
    <n v="0"/>
  </r>
  <r>
    <x v="32"/>
    <x v="1"/>
    <x v="0"/>
    <n v="1137"/>
    <x v="1"/>
    <n v="1"/>
    <n v="4"/>
    <s v="Life Sciences"/>
    <n v="1"/>
    <n v="1892"/>
    <n v="1"/>
    <x v="1"/>
    <n v="98"/>
    <n v="3"/>
    <x v="3"/>
    <x v="5"/>
    <n v="1"/>
    <x v="2"/>
    <n v="16823"/>
    <n v="18991"/>
    <n v="2"/>
    <s v="Y"/>
    <x v="1"/>
    <n v="11"/>
    <n v="3"/>
    <n v="1"/>
    <n v="80"/>
    <n v="1"/>
    <n v="22"/>
    <n v="3"/>
    <n v="3"/>
    <n v="19"/>
    <n v="7"/>
    <n v="11"/>
    <n v="16"/>
    <x v="0"/>
    <x v="3"/>
    <x v="3"/>
    <n v="0"/>
  </r>
  <r>
    <x v="25"/>
    <x v="1"/>
    <x v="0"/>
    <n v="482"/>
    <x v="1"/>
    <n v="1"/>
    <n v="2"/>
    <s v="Life Sciences"/>
    <n v="1"/>
    <n v="1893"/>
    <n v="2"/>
    <x v="0"/>
    <n v="90"/>
    <n v="2"/>
    <x v="1"/>
    <x v="1"/>
    <n v="3"/>
    <x v="1"/>
    <n v="2933"/>
    <n v="14908"/>
    <n v="1"/>
    <s v="Y"/>
    <x v="0"/>
    <n v="13"/>
    <n v="3"/>
    <n v="3"/>
    <n v="80"/>
    <n v="1"/>
    <n v="1"/>
    <n v="3"/>
    <n v="2"/>
    <n v="1"/>
    <n v="0"/>
    <n v="1"/>
    <n v="0"/>
    <x v="2"/>
    <x v="1"/>
    <x v="1"/>
    <n v="0"/>
  </r>
  <r>
    <x v="4"/>
    <x v="1"/>
    <x v="0"/>
    <n v="511"/>
    <x v="0"/>
    <n v="2"/>
    <n v="2"/>
    <s v="Medical"/>
    <n v="1"/>
    <n v="1898"/>
    <n v="1"/>
    <x v="0"/>
    <n v="89"/>
    <n v="4"/>
    <x v="0"/>
    <x v="0"/>
    <n v="3"/>
    <x v="0"/>
    <n v="6500"/>
    <n v="26997"/>
    <n v="0"/>
    <s v="Y"/>
    <x v="1"/>
    <n v="14"/>
    <n v="3"/>
    <n v="2"/>
    <n v="80"/>
    <n v="0"/>
    <n v="9"/>
    <n v="5"/>
    <n v="2"/>
    <n v="8"/>
    <n v="7"/>
    <n v="0"/>
    <n v="7"/>
    <x v="2"/>
    <x v="0"/>
    <x v="0"/>
    <n v="0"/>
  </r>
  <r>
    <x v="26"/>
    <x v="1"/>
    <x v="1"/>
    <n v="117"/>
    <x v="1"/>
    <n v="22"/>
    <n v="3"/>
    <s v="Medical"/>
    <n v="1"/>
    <n v="1900"/>
    <n v="4"/>
    <x v="0"/>
    <n v="58"/>
    <n v="3"/>
    <x v="3"/>
    <x v="5"/>
    <n v="4"/>
    <x v="2"/>
    <n v="17174"/>
    <n v="2437"/>
    <n v="3"/>
    <s v="Y"/>
    <x v="1"/>
    <n v="11"/>
    <n v="3"/>
    <n v="2"/>
    <n v="80"/>
    <n v="1"/>
    <n v="24"/>
    <n v="3"/>
    <n v="3"/>
    <n v="22"/>
    <n v="17"/>
    <n v="4"/>
    <n v="7"/>
    <x v="1"/>
    <x v="3"/>
    <x v="3"/>
    <n v="0"/>
  </r>
  <r>
    <x v="20"/>
    <x v="1"/>
    <x v="0"/>
    <n v="170"/>
    <x v="1"/>
    <n v="1"/>
    <n v="4"/>
    <s v="Life Sciences"/>
    <n v="1"/>
    <n v="1903"/>
    <n v="2"/>
    <x v="1"/>
    <n v="78"/>
    <n v="4"/>
    <x v="0"/>
    <x v="4"/>
    <n v="1"/>
    <x v="1"/>
    <n v="5033"/>
    <n v="9364"/>
    <n v="2"/>
    <s v="Y"/>
    <x v="1"/>
    <n v="15"/>
    <n v="3"/>
    <n v="4"/>
    <n v="80"/>
    <n v="1"/>
    <n v="10"/>
    <n v="5"/>
    <n v="3"/>
    <n v="2"/>
    <n v="0"/>
    <n v="2"/>
    <n v="2"/>
    <x v="0"/>
    <x v="1"/>
    <x v="0"/>
    <n v="0"/>
  </r>
  <r>
    <x v="13"/>
    <x v="0"/>
    <x v="2"/>
    <n v="967"/>
    <x v="1"/>
    <n v="16"/>
    <n v="4"/>
    <s v="Technical Degree"/>
    <n v="1"/>
    <n v="1905"/>
    <n v="4"/>
    <x v="1"/>
    <n v="85"/>
    <n v="1"/>
    <x v="1"/>
    <x v="1"/>
    <n v="1"/>
    <x v="1"/>
    <n v="2307"/>
    <n v="14460"/>
    <n v="1"/>
    <s v="Y"/>
    <x v="0"/>
    <n v="23"/>
    <n v="4"/>
    <n v="2"/>
    <n v="80"/>
    <n v="1"/>
    <n v="5"/>
    <n v="2"/>
    <n v="3"/>
    <n v="5"/>
    <n v="2"/>
    <n v="3"/>
    <n v="0"/>
    <x v="2"/>
    <x v="2"/>
    <x v="1"/>
    <n v="1"/>
  </r>
  <r>
    <x v="29"/>
    <x v="0"/>
    <x v="0"/>
    <n v="1162"/>
    <x v="1"/>
    <n v="24"/>
    <n v="2"/>
    <s v="Life Sciences"/>
    <n v="1"/>
    <n v="1907"/>
    <n v="1"/>
    <x v="1"/>
    <n v="97"/>
    <n v="3"/>
    <x v="1"/>
    <x v="2"/>
    <n v="4"/>
    <x v="0"/>
    <n v="2587"/>
    <n v="10261"/>
    <n v="1"/>
    <s v="Y"/>
    <x v="1"/>
    <n v="16"/>
    <n v="3"/>
    <n v="4"/>
    <n v="80"/>
    <n v="0"/>
    <n v="5"/>
    <n v="3"/>
    <n v="3"/>
    <n v="4"/>
    <n v="2"/>
    <n v="1"/>
    <n v="0"/>
    <x v="3"/>
    <x v="2"/>
    <x v="1"/>
    <n v="1"/>
  </r>
  <r>
    <x v="9"/>
    <x v="1"/>
    <x v="0"/>
    <n v="335"/>
    <x v="0"/>
    <n v="17"/>
    <n v="2"/>
    <s v="Marketing"/>
    <n v="1"/>
    <n v="1908"/>
    <n v="3"/>
    <x v="1"/>
    <n v="33"/>
    <n v="2"/>
    <x v="0"/>
    <x v="0"/>
    <n v="2"/>
    <x v="1"/>
    <n v="5507"/>
    <n v="16822"/>
    <n v="2"/>
    <s v="Y"/>
    <x v="1"/>
    <n v="16"/>
    <n v="3"/>
    <n v="3"/>
    <n v="80"/>
    <n v="2"/>
    <n v="12"/>
    <n v="1"/>
    <n v="1"/>
    <n v="4"/>
    <n v="2"/>
    <n v="1"/>
    <n v="3"/>
    <x v="0"/>
    <x v="2"/>
    <x v="0"/>
    <n v="0"/>
  </r>
  <r>
    <x v="0"/>
    <x v="1"/>
    <x v="0"/>
    <n v="337"/>
    <x v="0"/>
    <n v="8"/>
    <n v="3"/>
    <s v="Marketing"/>
    <n v="1"/>
    <n v="1909"/>
    <n v="3"/>
    <x v="0"/>
    <n v="54"/>
    <n v="3"/>
    <x v="0"/>
    <x v="0"/>
    <n v="2"/>
    <x v="1"/>
    <n v="4393"/>
    <n v="26841"/>
    <n v="5"/>
    <s v="Y"/>
    <x v="1"/>
    <n v="21"/>
    <n v="4"/>
    <n v="3"/>
    <n v="80"/>
    <n v="1"/>
    <n v="14"/>
    <n v="3"/>
    <n v="3"/>
    <n v="5"/>
    <n v="4"/>
    <n v="1"/>
    <n v="4"/>
    <x v="0"/>
    <x v="2"/>
    <x v="2"/>
    <n v="0"/>
  </r>
  <r>
    <x v="19"/>
    <x v="1"/>
    <x v="0"/>
    <n v="1396"/>
    <x v="1"/>
    <n v="6"/>
    <n v="3"/>
    <s v="Medical"/>
    <n v="1"/>
    <n v="1911"/>
    <n v="3"/>
    <x v="1"/>
    <n v="83"/>
    <n v="3"/>
    <x v="2"/>
    <x v="7"/>
    <n v="1"/>
    <x v="1"/>
    <n v="13348"/>
    <n v="14842"/>
    <n v="9"/>
    <s v="Y"/>
    <x v="1"/>
    <n v="13"/>
    <n v="3"/>
    <n v="2"/>
    <n v="80"/>
    <n v="1"/>
    <n v="18"/>
    <n v="3"/>
    <n v="4"/>
    <n v="13"/>
    <n v="7"/>
    <n v="5"/>
    <n v="7"/>
    <x v="0"/>
    <x v="3"/>
    <x v="3"/>
    <n v="0"/>
  </r>
  <r>
    <x v="12"/>
    <x v="1"/>
    <x v="0"/>
    <n v="1079"/>
    <x v="0"/>
    <n v="10"/>
    <n v="2"/>
    <s v="Medical"/>
    <n v="1"/>
    <n v="1912"/>
    <n v="3"/>
    <x v="0"/>
    <n v="86"/>
    <n v="3"/>
    <x v="0"/>
    <x v="0"/>
    <n v="4"/>
    <x v="2"/>
    <n v="6583"/>
    <n v="20115"/>
    <n v="2"/>
    <s v="Y"/>
    <x v="0"/>
    <n v="11"/>
    <n v="3"/>
    <n v="4"/>
    <n v="80"/>
    <n v="1"/>
    <n v="8"/>
    <n v="2"/>
    <n v="3"/>
    <n v="5"/>
    <n v="2"/>
    <n v="1"/>
    <n v="4"/>
    <x v="2"/>
    <x v="2"/>
    <x v="0"/>
    <n v="0"/>
  </r>
  <r>
    <x v="13"/>
    <x v="1"/>
    <x v="0"/>
    <n v="735"/>
    <x v="0"/>
    <n v="3"/>
    <n v="1"/>
    <s v="Medical"/>
    <n v="1"/>
    <n v="1915"/>
    <n v="4"/>
    <x v="0"/>
    <n v="75"/>
    <n v="2"/>
    <x v="0"/>
    <x v="0"/>
    <n v="4"/>
    <x v="1"/>
    <n v="8103"/>
    <n v="16495"/>
    <n v="3"/>
    <s v="Y"/>
    <x v="0"/>
    <n v="12"/>
    <n v="3"/>
    <n v="3"/>
    <n v="80"/>
    <n v="0"/>
    <n v="9"/>
    <n v="3"/>
    <n v="2"/>
    <n v="4"/>
    <n v="2"/>
    <n v="0"/>
    <n v="1"/>
    <x v="2"/>
    <x v="2"/>
    <x v="3"/>
    <n v="0"/>
  </r>
  <r>
    <x v="12"/>
    <x v="1"/>
    <x v="0"/>
    <n v="471"/>
    <x v="1"/>
    <n v="4"/>
    <n v="3"/>
    <s v="Medical"/>
    <n v="1"/>
    <n v="1916"/>
    <n v="1"/>
    <x v="0"/>
    <n v="62"/>
    <n v="4"/>
    <x v="1"/>
    <x v="2"/>
    <n v="3"/>
    <x v="2"/>
    <n v="3978"/>
    <n v="16031"/>
    <n v="8"/>
    <s v="Y"/>
    <x v="1"/>
    <n v="12"/>
    <n v="3"/>
    <n v="2"/>
    <n v="80"/>
    <n v="1"/>
    <n v="4"/>
    <n v="0"/>
    <n v="2"/>
    <n v="2"/>
    <n v="2"/>
    <n v="2"/>
    <n v="2"/>
    <x v="2"/>
    <x v="1"/>
    <x v="2"/>
    <n v="0"/>
  </r>
  <r>
    <x v="25"/>
    <x v="1"/>
    <x v="1"/>
    <n v="1096"/>
    <x v="1"/>
    <n v="6"/>
    <n v="3"/>
    <s v="Other"/>
    <n v="1"/>
    <n v="1918"/>
    <n v="3"/>
    <x v="1"/>
    <n v="61"/>
    <n v="4"/>
    <x v="1"/>
    <x v="2"/>
    <n v="4"/>
    <x v="1"/>
    <n v="2544"/>
    <n v="7102"/>
    <n v="0"/>
    <s v="Y"/>
    <x v="1"/>
    <n v="18"/>
    <n v="3"/>
    <n v="1"/>
    <n v="80"/>
    <n v="1"/>
    <n v="8"/>
    <n v="3"/>
    <n v="3"/>
    <n v="7"/>
    <n v="7"/>
    <n v="7"/>
    <n v="7"/>
    <x v="2"/>
    <x v="0"/>
    <x v="1"/>
    <n v="0"/>
  </r>
  <r>
    <x v="28"/>
    <x v="1"/>
    <x v="1"/>
    <n v="1297"/>
    <x v="1"/>
    <n v="1"/>
    <n v="4"/>
    <s v="Medical"/>
    <n v="1"/>
    <n v="1922"/>
    <n v="2"/>
    <x v="1"/>
    <n v="44"/>
    <n v="3"/>
    <x v="0"/>
    <x v="4"/>
    <n v="3"/>
    <x v="0"/>
    <n v="5399"/>
    <n v="14511"/>
    <n v="4"/>
    <s v="Y"/>
    <x v="1"/>
    <n v="12"/>
    <n v="3"/>
    <n v="3"/>
    <n v="80"/>
    <n v="0"/>
    <n v="12"/>
    <n v="3"/>
    <n v="3"/>
    <n v="4"/>
    <n v="2"/>
    <n v="0"/>
    <n v="3"/>
    <x v="1"/>
    <x v="2"/>
    <x v="0"/>
    <n v="0"/>
  </r>
  <r>
    <x v="3"/>
    <x v="1"/>
    <x v="0"/>
    <n v="217"/>
    <x v="0"/>
    <n v="10"/>
    <n v="4"/>
    <s v="Marketing"/>
    <n v="1"/>
    <n v="1924"/>
    <n v="2"/>
    <x v="1"/>
    <n v="43"/>
    <n v="3"/>
    <x v="0"/>
    <x v="0"/>
    <n v="3"/>
    <x v="0"/>
    <n v="5487"/>
    <n v="10410"/>
    <n v="1"/>
    <s v="Y"/>
    <x v="1"/>
    <n v="14"/>
    <n v="3"/>
    <n v="2"/>
    <n v="80"/>
    <n v="0"/>
    <n v="10"/>
    <n v="2"/>
    <n v="2"/>
    <n v="10"/>
    <n v="4"/>
    <n v="0"/>
    <n v="9"/>
    <x v="2"/>
    <x v="0"/>
    <x v="0"/>
    <n v="0"/>
  </r>
  <r>
    <x v="14"/>
    <x v="1"/>
    <x v="1"/>
    <n v="783"/>
    <x v="0"/>
    <n v="1"/>
    <n v="2"/>
    <s v="Life Sciences"/>
    <n v="1"/>
    <n v="1927"/>
    <n v="3"/>
    <x v="1"/>
    <n v="42"/>
    <n v="2"/>
    <x v="0"/>
    <x v="0"/>
    <n v="4"/>
    <x v="1"/>
    <n v="6834"/>
    <n v="19255"/>
    <n v="1"/>
    <s v="Y"/>
    <x v="0"/>
    <n v="12"/>
    <n v="3"/>
    <n v="3"/>
    <n v="80"/>
    <n v="1"/>
    <n v="7"/>
    <n v="2"/>
    <n v="3"/>
    <n v="7"/>
    <n v="7"/>
    <n v="0"/>
    <n v="7"/>
    <x v="2"/>
    <x v="0"/>
    <x v="0"/>
    <n v="0"/>
  </r>
  <r>
    <x v="11"/>
    <x v="0"/>
    <x v="1"/>
    <n v="746"/>
    <x v="0"/>
    <n v="24"/>
    <n v="3"/>
    <s v="Technical Degree"/>
    <n v="1"/>
    <n v="1928"/>
    <n v="3"/>
    <x v="1"/>
    <n v="45"/>
    <n v="4"/>
    <x v="1"/>
    <x v="6"/>
    <n v="1"/>
    <x v="0"/>
    <n v="1091"/>
    <n v="10642"/>
    <n v="1"/>
    <s v="Y"/>
    <x v="1"/>
    <n v="17"/>
    <n v="3"/>
    <n v="4"/>
    <n v="80"/>
    <n v="0"/>
    <n v="1"/>
    <n v="3"/>
    <n v="3"/>
    <n v="1"/>
    <n v="0"/>
    <n v="0"/>
    <n v="0"/>
    <x v="2"/>
    <x v="1"/>
    <x v="1"/>
    <n v="1"/>
  </r>
  <r>
    <x v="22"/>
    <x v="1"/>
    <x v="2"/>
    <n v="1251"/>
    <x v="0"/>
    <n v="21"/>
    <n v="4"/>
    <s v="Life Sciences"/>
    <n v="1"/>
    <n v="1929"/>
    <n v="1"/>
    <x v="0"/>
    <n v="32"/>
    <n v="1"/>
    <x v="0"/>
    <x v="0"/>
    <n v="3"/>
    <x v="1"/>
    <n v="5736"/>
    <n v="3987"/>
    <n v="6"/>
    <s v="Y"/>
    <x v="1"/>
    <n v="19"/>
    <n v="3"/>
    <n v="3"/>
    <n v="80"/>
    <n v="1"/>
    <n v="10"/>
    <n v="1"/>
    <n v="3"/>
    <n v="3"/>
    <n v="2"/>
    <n v="1"/>
    <n v="2"/>
    <x v="0"/>
    <x v="2"/>
    <x v="0"/>
    <n v="0"/>
  </r>
  <r>
    <x v="4"/>
    <x v="1"/>
    <x v="0"/>
    <n v="1354"/>
    <x v="1"/>
    <n v="2"/>
    <n v="4"/>
    <s v="Technical Degree"/>
    <n v="1"/>
    <n v="1931"/>
    <n v="2"/>
    <x v="1"/>
    <n v="41"/>
    <n v="3"/>
    <x v="1"/>
    <x v="1"/>
    <n v="2"/>
    <x v="1"/>
    <n v="2226"/>
    <n v="6073"/>
    <n v="1"/>
    <s v="Y"/>
    <x v="1"/>
    <n v="11"/>
    <n v="3"/>
    <n v="3"/>
    <n v="80"/>
    <n v="1"/>
    <n v="6"/>
    <n v="3"/>
    <n v="2"/>
    <n v="5"/>
    <n v="3"/>
    <n v="1"/>
    <n v="2"/>
    <x v="2"/>
    <x v="2"/>
    <x v="1"/>
    <n v="0"/>
  </r>
  <r>
    <x v="13"/>
    <x v="1"/>
    <x v="1"/>
    <n v="735"/>
    <x v="1"/>
    <n v="22"/>
    <n v="4"/>
    <s v="Other"/>
    <n v="1"/>
    <n v="1932"/>
    <n v="3"/>
    <x v="1"/>
    <n v="86"/>
    <n v="2"/>
    <x v="0"/>
    <x v="1"/>
    <n v="4"/>
    <x v="1"/>
    <n v="5747"/>
    <n v="26496"/>
    <n v="1"/>
    <s v="Y"/>
    <x v="0"/>
    <n v="15"/>
    <n v="3"/>
    <n v="2"/>
    <n v="80"/>
    <n v="0"/>
    <n v="16"/>
    <n v="3"/>
    <n v="3"/>
    <n v="15"/>
    <n v="10"/>
    <n v="6"/>
    <n v="11"/>
    <x v="2"/>
    <x v="3"/>
    <x v="0"/>
    <n v="0"/>
  </r>
  <r>
    <x v="14"/>
    <x v="0"/>
    <x v="0"/>
    <n v="1475"/>
    <x v="0"/>
    <n v="13"/>
    <n v="2"/>
    <s v="Marketing"/>
    <n v="1"/>
    <n v="1933"/>
    <n v="4"/>
    <x v="0"/>
    <n v="84"/>
    <n v="3"/>
    <x v="0"/>
    <x v="0"/>
    <n v="3"/>
    <x v="0"/>
    <n v="9854"/>
    <n v="23352"/>
    <n v="3"/>
    <s v="Y"/>
    <x v="0"/>
    <n v="11"/>
    <n v="3"/>
    <n v="4"/>
    <n v="80"/>
    <n v="0"/>
    <n v="6"/>
    <n v="0"/>
    <n v="3"/>
    <n v="2"/>
    <n v="0"/>
    <n v="2"/>
    <n v="2"/>
    <x v="2"/>
    <x v="1"/>
    <x v="3"/>
    <n v="1"/>
  </r>
  <r>
    <x v="40"/>
    <x v="1"/>
    <x v="2"/>
    <n v="1169"/>
    <x v="1"/>
    <n v="14"/>
    <n v="4"/>
    <s v="Technical Degree"/>
    <n v="1"/>
    <n v="1934"/>
    <n v="3"/>
    <x v="1"/>
    <n v="64"/>
    <n v="3"/>
    <x v="0"/>
    <x v="1"/>
    <n v="2"/>
    <x v="1"/>
    <n v="5467"/>
    <n v="2125"/>
    <n v="8"/>
    <s v="Y"/>
    <x v="1"/>
    <n v="18"/>
    <n v="3"/>
    <n v="3"/>
    <n v="80"/>
    <n v="1"/>
    <n v="16"/>
    <n v="4"/>
    <n v="4"/>
    <n v="8"/>
    <n v="7"/>
    <n v="1"/>
    <n v="7"/>
    <x v="1"/>
    <x v="0"/>
    <x v="0"/>
    <n v="0"/>
  </r>
  <r>
    <x v="29"/>
    <x v="1"/>
    <x v="0"/>
    <n v="1443"/>
    <x v="0"/>
    <n v="11"/>
    <n v="5"/>
    <s v="Marketing"/>
    <n v="1"/>
    <n v="1935"/>
    <n v="4"/>
    <x v="0"/>
    <n v="89"/>
    <n v="2"/>
    <x v="0"/>
    <x v="0"/>
    <n v="1"/>
    <x v="1"/>
    <n v="5380"/>
    <n v="20328"/>
    <n v="4"/>
    <s v="Y"/>
    <x v="1"/>
    <n v="16"/>
    <n v="3"/>
    <n v="3"/>
    <n v="80"/>
    <n v="1"/>
    <n v="6"/>
    <n v="3"/>
    <n v="3"/>
    <n v="0"/>
    <n v="0"/>
    <n v="0"/>
    <n v="0"/>
    <x v="3"/>
    <x v="1"/>
    <x v="0"/>
    <n v="0"/>
  </r>
  <r>
    <x v="22"/>
    <x v="1"/>
    <x v="0"/>
    <n v="867"/>
    <x v="1"/>
    <n v="9"/>
    <n v="2"/>
    <s v="Medical"/>
    <n v="1"/>
    <n v="1936"/>
    <n v="1"/>
    <x v="1"/>
    <n v="87"/>
    <n v="3"/>
    <x v="0"/>
    <x v="3"/>
    <n v="1"/>
    <x v="1"/>
    <n v="5151"/>
    <n v="12315"/>
    <n v="1"/>
    <s v="Y"/>
    <x v="1"/>
    <n v="25"/>
    <n v="4"/>
    <n v="4"/>
    <n v="80"/>
    <n v="1"/>
    <n v="10"/>
    <n v="3"/>
    <n v="3"/>
    <n v="10"/>
    <n v="0"/>
    <n v="7"/>
    <n v="9"/>
    <x v="0"/>
    <x v="0"/>
    <x v="0"/>
    <n v="0"/>
  </r>
  <r>
    <x v="8"/>
    <x v="1"/>
    <x v="1"/>
    <n v="1394"/>
    <x v="1"/>
    <n v="8"/>
    <n v="3"/>
    <s v="Medical"/>
    <n v="1"/>
    <n v="1937"/>
    <n v="4"/>
    <x v="0"/>
    <n v="58"/>
    <n v="2"/>
    <x v="0"/>
    <x v="1"/>
    <n v="2"/>
    <x v="2"/>
    <n v="2133"/>
    <n v="18115"/>
    <n v="1"/>
    <s v="Y"/>
    <x v="0"/>
    <n v="16"/>
    <n v="3"/>
    <n v="3"/>
    <n v="80"/>
    <n v="1"/>
    <n v="20"/>
    <n v="3"/>
    <n v="3"/>
    <n v="20"/>
    <n v="11"/>
    <n v="0"/>
    <n v="7"/>
    <x v="0"/>
    <x v="3"/>
    <x v="1"/>
    <n v="0"/>
  </r>
  <r>
    <x v="34"/>
    <x v="1"/>
    <x v="0"/>
    <n v="605"/>
    <x v="0"/>
    <n v="21"/>
    <n v="3"/>
    <s v="Life Sciences"/>
    <n v="1"/>
    <n v="1938"/>
    <n v="4"/>
    <x v="0"/>
    <n v="72"/>
    <n v="3"/>
    <x v="3"/>
    <x v="5"/>
    <n v="4"/>
    <x v="1"/>
    <n v="17875"/>
    <n v="11761"/>
    <n v="4"/>
    <s v="Y"/>
    <x v="0"/>
    <n v="13"/>
    <n v="3"/>
    <n v="3"/>
    <n v="80"/>
    <n v="1"/>
    <n v="29"/>
    <n v="2"/>
    <n v="2"/>
    <n v="1"/>
    <n v="0"/>
    <n v="0"/>
    <n v="0"/>
    <x v="3"/>
    <x v="1"/>
    <x v="3"/>
    <n v="0"/>
  </r>
  <r>
    <x v="5"/>
    <x v="0"/>
    <x v="1"/>
    <n v="238"/>
    <x v="1"/>
    <n v="5"/>
    <n v="2"/>
    <s v="Life Sciences"/>
    <n v="1"/>
    <n v="1939"/>
    <n v="1"/>
    <x v="0"/>
    <n v="47"/>
    <n v="4"/>
    <x v="1"/>
    <x v="1"/>
    <n v="3"/>
    <x v="0"/>
    <n v="2432"/>
    <n v="15318"/>
    <n v="3"/>
    <s v="Y"/>
    <x v="0"/>
    <n v="14"/>
    <n v="3"/>
    <n v="1"/>
    <n v="80"/>
    <n v="0"/>
    <n v="8"/>
    <n v="2"/>
    <n v="3"/>
    <n v="4"/>
    <n v="1"/>
    <n v="0"/>
    <n v="3"/>
    <x v="2"/>
    <x v="2"/>
    <x v="1"/>
    <n v="1"/>
  </r>
  <r>
    <x v="8"/>
    <x v="1"/>
    <x v="0"/>
    <n v="1206"/>
    <x v="1"/>
    <n v="9"/>
    <n v="2"/>
    <s v="Life Sciences"/>
    <n v="1"/>
    <n v="1940"/>
    <n v="2"/>
    <x v="1"/>
    <n v="71"/>
    <n v="3"/>
    <x v="1"/>
    <x v="1"/>
    <n v="4"/>
    <x v="2"/>
    <n v="4771"/>
    <n v="14293"/>
    <n v="2"/>
    <s v="Y"/>
    <x v="1"/>
    <n v="19"/>
    <n v="3"/>
    <n v="4"/>
    <n v="80"/>
    <n v="2"/>
    <n v="10"/>
    <n v="0"/>
    <n v="4"/>
    <n v="5"/>
    <n v="2"/>
    <n v="0"/>
    <n v="3"/>
    <x v="0"/>
    <x v="2"/>
    <x v="2"/>
    <n v="0"/>
  </r>
  <r>
    <x v="1"/>
    <x v="1"/>
    <x v="1"/>
    <n v="1064"/>
    <x v="1"/>
    <n v="2"/>
    <n v="1"/>
    <s v="Life Sciences"/>
    <n v="1"/>
    <n v="1941"/>
    <n v="2"/>
    <x v="1"/>
    <n v="42"/>
    <n v="3"/>
    <x v="4"/>
    <x v="7"/>
    <n v="4"/>
    <x v="1"/>
    <n v="19161"/>
    <n v="13738"/>
    <n v="3"/>
    <s v="Y"/>
    <x v="1"/>
    <n v="15"/>
    <n v="3"/>
    <n v="4"/>
    <n v="80"/>
    <n v="0"/>
    <n v="28"/>
    <n v="3"/>
    <n v="3"/>
    <n v="5"/>
    <n v="4"/>
    <n v="4"/>
    <n v="3"/>
    <x v="1"/>
    <x v="2"/>
    <x v="3"/>
    <n v="0"/>
  </r>
  <r>
    <x v="19"/>
    <x v="1"/>
    <x v="0"/>
    <n v="419"/>
    <x v="0"/>
    <n v="12"/>
    <n v="4"/>
    <s v="Marketing"/>
    <n v="1"/>
    <n v="1943"/>
    <n v="2"/>
    <x v="1"/>
    <n v="77"/>
    <n v="3"/>
    <x v="0"/>
    <x v="0"/>
    <n v="4"/>
    <x v="2"/>
    <n v="5087"/>
    <n v="2900"/>
    <n v="3"/>
    <s v="Y"/>
    <x v="0"/>
    <n v="12"/>
    <n v="3"/>
    <n v="3"/>
    <n v="80"/>
    <n v="2"/>
    <n v="14"/>
    <n v="4"/>
    <n v="3"/>
    <n v="0"/>
    <n v="0"/>
    <n v="0"/>
    <n v="0"/>
    <x v="0"/>
    <x v="1"/>
    <x v="0"/>
    <n v="0"/>
  </r>
  <r>
    <x v="4"/>
    <x v="0"/>
    <x v="1"/>
    <n v="1337"/>
    <x v="2"/>
    <n v="22"/>
    <n v="3"/>
    <s v="Human Resources"/>
    <n v="1"/>
    <n v="1944"/>
    <n v="1"/>
    <x v="0"/>
    <n v="58"/>
    <n v="2"/>
    <x v="1"/>
    <x v="8"/>
    <n v="2"/>
    <x v="1"/>
    <n v="2863"/>
    <n v="19555"/>
    <n v="1"/>
    <s v="Y"/>
    <x v="1"/>
    <n v="12"/>
    <n v="3"/>
    <n v="1"/>
    <n v="80"/>
    <n v="0"/>
    <n v="1"/>
    <n v="2"/>
    <n v="3"/>
    <n v="1"/>
    <n v="0"/>
    <n v="0"/>
    <n v="0"/>
    <x v="2"/>
    <x v="1"/>
    <x v="1"/>
    <n v="1"/>
  </r>
  <r>
    <x v="10"/>
    <x v="1"/>
    <x v="0"/>
    <n v="682"/>
    <x v="0"/>
    <n v="18"/>
    <n v="4"/>
    <s v="Medical"/>
    <n v="1"/>
    <n v="1945"/>
    <n v="2"/>
    <x v="1"/>
    <n v="71"/>
    <n v="3"/>
    <x v="0"/>
    <x v="0"/>
    <n v="1"/>
    <x v="1"/>
    <n v="5561"/>
    <n v="15975"/>
    <n v="0"/>
    <s v="Y"/>
    <x v="1"/>
    <n v="16"/>
    <n v="3"/>
    <n v="4"/>
    <n v="80"/>
    <n v="1"/>
    <n v="6"/>
    <n v="2"/>
    <n v="1"/>
    <n v="5"/>
    <n v="3"/>
    <n v="0"/>
    <n v="4"/>
    <x v="0"/>
    <x v="2"/>
    <x v="0"/>
    <n v="0"/>
  </r>
  <r>
    <x v="14"/>
    <x v="1"/>
    <x v="2"/>
    <n v="1103"/>
    <x v="1"/>
    <n v="16"/>
    <n v="3"/>
    <s v="Medical"/>
    <n v="1"/>
    <n v="1947"/>
    <n v="3"/>
    <x v="1"/>
    <n v="49"/>
    <n v="3"/>
    <x v="1"/>
    <x v="1"/>
    <n v="3"/>
    <x v="0"/>
    <n v="2144"/>
    <n v="2122"/>
    <n v="1"/>
    <s v="Y"/>
    <x v="1"/>
    <n v="14"/>
    <n v="3"/>
    <n v="3"/>
    <n v="80"/>
    <n v="0"/>
    <n v="5"/>
    <n v="3"/>
    <n v="2"/>
    <n v="5"/>
    <n v="3"/>
    <n v="1"/>
    <n v="4"/>
    <x v="2"/>
    <x v="2"/>
    <x v="1"/>
    <n v="0"/>
  </r>
  <r>
    <x v="12"/>
    <x v="1"/>
    <x v="2"/>
    <n v="976"/>
    <x v="1"/>
    <n v="3"/>
    <n v="2"/>
    <s v="Medical"/>
    <n v="1"/>
    <n v="1948"/>
    <n v="3"/>
    <x v="1"/>
    <n v="48"/>
    <n v="3"/>
    <x v="1"/>
    <x v="1"/>
    <n v="1"/>
    <x v="2"/>
    <n v="3065"/>
    <n v="3995"/>
    <n v="1"/>
    <s v="Y"/>
    <x v="0"/>
    <n v="13"/>
    <n v="3"/>
    <n v="4"/>
    <n v="80"/>
    <n v="1"/>
    <n v="4"/>
    <n v="3"/>
    <n v="4"/>
    <n v="4"/>
    <n v="2"/>
    <n v="2"/>
    <n v="3"/>
    <x v="2"/>
    <x v="2"/>
    <x v="2"/>
    <n v="0"/>
  </r>
  <r>
    <x v="9"/>
    <x v="1"/>
    <x v="2"/>
    <n v="1351"/>
    <x v="1"/>
    <n v="9"/>
    <n v="4"/>
    <s v="Life Sciences"/>
    <n v="1"/>
    <n v="1949"/>
    <n v="1"/>
    <x v="1"/>
    <n v="66"/>
    <n v="4"/>
    <x v="1"/>
    <x v="2"/>
    <n v="2"/>
    <x v="1"/>
    <n v="2810"/>
    <n v="9238"/>
    <n v="1"/>
    <s v="Y"/>
    <x v="1"/>
    <n v="22"/>
    <n v="4"/>
    <n v="2"/>
    <n v="80"/>
    <n v="0"/>
    <n v="5"/>
    <n v="3"/>
    <n v="3"/>
    <n v="5"/>
    <n v="4"/>
    <n v="0"/>
    <n v="2"/>
    <x v="0"/>
    <x v="2"/>
    <x v="1"/>
    <n v="0"/>
  </r>
  <r>
    <x v="13"/>
    <x v="1"/>
    <x v="0"/>
    <n v="937"/>
    <x v="0"/>
    <n v="1"/>
    <n v="3"/>
    <s v="Marketing"/>
    <n v="1"/>
    <n v="1950"/>
    <n v="1"/>
    <x v="1"/>
    <n v="32"/>
    <n v="3"/>
    <x v="2"/>
    <x v="0"/>
    <n v="4"/>
    <x v="0"/>
    <n v="9888"/>
    <n v="6770"/>
    <n v="1"/>
    <s v="Y"/>
    <x v="1"/>
    <n v="21"/>
    <n v="4"/>
    <n v="1"/>
    <n v="80"/>
    <n v="0"/>
    <n v="14"/>
    <n v="3"/>
    <n v="2"/>
    <n v="14"/>
    <n v="8"/>
    <n v="2"/>
    <n v="1"/>
    <x v="2"/>
    <x v="3"/>
    <x v="3"/>
    <n v="0"/>
  </r>
  <r>
    <x v="13"/>
    <x v="1"/>
    <x v="0"/>
    <n v="1239"/>
    <x v="0"/>
    <n v="13"/>
    <n v="4"/>
    <s v="Medical"/>
    <n v="1"/>
    <n v="1951"/>
    <n v="4"/>
    <x v="1"/>
    <n v="39"/>
    <n v="3"/>
    <x v="2"/>
    <x v="0"/>
    <n v="3"/>
    <x v="2"/>
    <n v="8628"/>
    <n v="22914"/>
    <n v="1"/>
    <s v="Y"/>
    <x v="1"/>
    <n v="18"/>
    <n v="3"/>
    <n v="3"/>
    <n v="80"/>
    <n v="1"/>
    <n v="9"/>
    <n v="2"/>
    <n v="2"/>
    <n v="8"/>
    <n v="7"/>
    <n v="1"/>
    <n v="1"/>
    <x v="2"/>
    <x v="0"/>
    <x v="3"/>
    <n v="0"/>
  </r>
  <r>
    <x v="25"/>
    <x v="1"/>
    <x v="0"/>
    <n v="157"/>
    <x v="1"/>
    <n v="1"/>
    <n v="3"/>
    <s v="Medical"/>
    <n v="1"/>
    <n v="1952"/>
    <n v="3"/>
    <x v="1"/>
    <n v="95"/>
    <n v="3"/>
    <x v="1"/>
    <x v="2"/>
    <n v="1"/>
    <x v="0"/>
    <n v="2867"/>
    <n v="20006"/>
    <n v="0"/>
    <s v="Y"/>
    <x v="1"/>
    <n v="13"/>
    <n v="3"/>
    <n v="4"/>
    <n v="80"/>
    <n v="0"/>
    <n v="8"/>
    <n v="6"/>
    <n v="2"/>
    <n v="7"/>
    <n v="7"/>
    <n v="7"/>
    <n v="6"/>
    <x v="2"/>
    <x v="0"/>
    <x v="1"/>
    <n v="0"/>
  </r>
  <r>
    <x v="11"/>
    <x v="1"/>
    <x v="0"/>
    <n v="136"/>
    <x v="1"/>
    <n v="1"/>
    <n v="3"/>
    <s v="Life Sciences"/>
    <n v="1"/>
    <n v="1954"/>
    <n v="1"/>
    <x v="1"/>
    <n v="89"/>
    <n v="3"/>
    <x v="0"/>
    <x v="4"/>
    <n v="1"/>
    <x v="1"/>
    <n v="5373"/>
    <n v="6225"/>
    <n v="0"/>
    <s v="Y"/>
    <x v="1"/>
    <n v="12"/>
    <n v="3"/>
    <n v="1"/>
    <n v="80"/>
    <n v="1"/>
    <n v="6"/>
    <n v="5"/>
    <n v="2"/>
    <n v="5"/>
    <n v="3"/>
    <n v="0"/>
    <n v="2"/>
    <x v="2"/>
    <x v="2"/>
    <x v="0"/>
    <n v="0"/>
  </r>
  <r>
    <x v="5"/>
    <x v="1"/>
    <x v="2"/>
    <n v="1146"/>
    <x v="1"/>
    <n v="15"/>
    <n v="4"/>
    <s v="Medical"/>
    <n v="1"/>
    <n v="1955"/>
    <n v="3"/>
    <x v="0"/>
    <n v="34"/>
    <n v="3"/>
    <x v="0"/>
    <x v="4"/>
    <n v="4"/>
    <x v="2"/>
    <n v="6667"/>
    <n v="16542"/>
    <n v="5"/>
    <s v="Y"/>
    <x v="1"/>
    <n v="18"/>
    <n v="3"/>
    <n v="2"/>
    <n v="80"/>
    <n v="1"/>
    <n v="9"/>
    <n v="6"/>
    <n v="3"/>
    <n v="5"/>
    <n v="1"/>
    <n v="1"/>
    <n v="2"/>
    <x v="2"/>
    <x v="2"/>
    <x v="0"/>
    <n v="0"/>
  </r>
  <r>
    <x v="12"/>
    <x v="1"/>
    <x v="1"/>
    <n v="1125"/>
    <x v="1"/>
    <n v="1"/>
    <n v="3"/>
    <s v="Life Sciences"/>
    <n v="1"/>
    <n v="1956"/>
    <n v="4"/>
    <x v="1"/>
    <n v="48"/>
    <n v="1"/>
    <x v="0"/>
    <x v="1"/>
    <n v="1"/>
    <x v="1"/>
    <n v="5003"/>
    <n v="5771"/>
    <n v="1"/>
    <s v="Y"/>
    <x v="1"/>
    <n v="21"/>
    <n v="4"/>
    <n v="2"/>
    <n v="80"/>
    <n v="0"/>
    <n v="10"/>
    <n v="6"/>
    <n v="3"/>
    <n v="10"/>
    <n v="8"/>
    <n v="8"/>
    <n v="7"/>
    <x v="2"/>
    <x v="0"/>
    <x v="0"/>
    <n v="0"/>
  </r>
  <r>
    <x v="14"/>
    <x v="0"/>
    <x v="0"/>
    <n v="1404"/>
    <x v="1"/>
    <n v="17"/>
    <n v="3"/>
    <s v="Technical Degree"/>
    <n v="1"/>
    <n v="1960"/>
    <n v="3"/>
    <x v="1"/>
    <n v="32"/>
    <n v="2"/>
    <x v="1"/>
    <x v="2"/>
    <n v="4"/>
    <x v="2"/>
    <n v="2367"/>
    <n v="18779"/>
    <n v="5"/>
    <s v="Y"/>
    <x v="1"/>
    <n v="12"/>
    <n v="3"/>
    <n v="1"/>
    <n v="80"/>
    <n v="1"/>
    <n v="6"/>
    <n v="2"/>
    <n v="2"/>
    <n v="4"/>
    <n v="1"/>
    <n v="0"/>
    <n v="3"/>
    <x v="2"/>
    <x v="2"/>
    <x v="1"/>
    <n v="1"/>
  </r>
  <r>
    <x v="8"/>
    <x v="1"/>
    <x v="0"/>
    <n v="1404"/>
    <x v="0"/>
    <n v="1"/>
    <n v="3"/>
    <s v="Life Sciences"/>
    <n v="1"/>
    <n v="1961"/>
    <n v="1"/>
    <x v="1"/>
    <n v="59"/>
    <n v="2"/>
    <x v="1"/>
    <x v="6"/>
    <n v="1"/>
    <x v="0"/>
    <n v="2858"/>
    <n v="11473"/>
    <n v="4"/>
    <s v="Y"/>
    <x v="1"/>
    <n v="14"/>
    <n v="3"/>
    <n v="1"/>
    <n v="80"/>
    <n v="0"/>
    <n v="20"/>
    <n v="3"/>
    <n v="2"/>
    <n v="1"/>
    <n v="0"/>
    <n v="0"/>
    <n v="0"/>
    <x v="0"/>
    <x v="1"/>
    <x v="1"/>
    <n v="0"/>
  </r>
  <r>
    <x v="10"/>
    <x v="1"/>
    <x v="0"/>
    <n v="1224"/>
    <x v="0"/>
    <n v="7"/>
    <n v="4"/>
    <s v="Life Sciences"/>
    <n v="1"/>
    <n v="1962"/>
    <n v="3"/>
    <x v="0"/>
    <n v="55"/>
    <n v="3"/>
    <x v="0"/>
    <x v="0"/>
    <n v="4"/>
    <x v="1"/>
    <n v="5204"/>
    <n v="13586"/>
    <n v="1"/>
    <s v="Y"/>
    <x v="0"/>
    <n v="11"/>
    <n v="3"/>
    <n v="4"/>
    <n v="80"/>
    <n v="0"/>
    <n v="10"/>
    <n v="2"/>
    <n v="3"/>
    <n v="10"/>
    <n v="8"/>
    <n v="0"/>
    <n v="9"/>
    <x v="0"/>
    <x v="0"/>
    <x v="0"/>
    <n v="0"/>
  </r>
  <r>
    <x v="4"/>
    <x v="1"/>
    <x v="0"/>
    <n v="954"/>
    <x v="0"/>
    <n v="9"/>
    <n v="3"/>
    <s v="Marketing"/>
    <n v="1"/>
    <n v="1965"/>
    <n v="4"/>
    <x v="1"/>
    <n v="44"/>
    <n v="3"/>
    <x v="0"/>
    <x v="0"/>
    <n v="4"/>
    <x v="0"/>
    <n v="4105"/>
    <n v="5099"/>
    <n v="1"/>
    <s v="Y"/>
    <x v="1"/>
    <n v="14"/>
    <n v="3"/>
    <n v="1"/>
    <n v="80"/>
    <n v="0"/>
    <n v="7"/>
    <n v="5"/>
    <n v="3"/>
    <n v="7"/>
    <n v="7"/>
    <n v="0"/>
    <n v="7"/>
    <x v="2"/>
    <x v="0"/>
    <x v="2"/>
    <n v="0"/>
  </r>
  <r>
    <x v="5"/>
    <x v="1"/>
    <x v="0"/>
    <n v="1373"/>
    <x v="1"/>
    <n v="5"/>
    <n v="4"/>
    <s v="Life Sciences"/>
    <n v="1"/>
    <n v="1966"/>
    <n v="4"/>
    <x v="1"/>
    <n v="56"/>
    <n v="2"/>
    <x v="0"/>
    <x v="3"/>
    <n v="4"/>
    <x v="0"/>
    <n v="9679"/>
    <n v="10138"/>
    <n v="8"/>
    <s v="Y"/>
    <x v="1"/>
    <n v="24"/>
    <n v="4"/>
    <n v="2"/>
    <n v="80"/>
    <n v="0"/>
    <n v="8"/>
    <n v="1"/>
    <n v="3"/>
    <n v="1"/>
    <n v="0"/>
    <n v="0"/>
    <n v="0"/>
    <x v="2"/>
    <x v="1"/>
    <x v="3"/>
    <n v="0"/>
  </r>
  <r>
    <x v="12"/>
    <x v="0"/>
    <x v="1"/>
    <n v="754"/>
    <x v="0"/>
    <n v="26"/>
    <n v="4"/>
    <s v="Marketing"/>
    <n v="1"/>
    <n v="1967"/>
    <n v="1"/>
    <x v="1"/>
    <n v="63"/>
    <n v="3"/>
    <x v="0"/>
    <x v="0"/>
    <n v="4"/>
    <x v="1"/>
    <n v="5617"/>
    <n v="21075"/>
    <n v="1"/>
    <s v="Y"/>
    <x v="0"/>
    <n v="11"/>
    <n v="3"/>
    <n v="3"/>
    <n v="80"/>
    <n v="0"/>
    <n v="10"/>
    <n v="4"/>
    <n v="3"/>
    <n v="10"/>
    <n v="7"/>
    <n v="0"/>
    <n v="8"/>
    <x v="2"/>
    <x v="0"/>
    <x v="0"/>
    <n v="1"/>
  </r>
  <r>
    <x v="16"/>
    <x v="0"/>
    <x v="0"/>
    <n v="1168"/>
    <x v="0"/>
    <n v="24"/>
    <n v="4"/>
    <s v="Life Sciences"/>
    <n v="1"/>
    <n v="1968"/>
    <n v="1"/>
    <x v="1"/>
    <n v="66"/>
    <n v="3"/>
    <x v="2"/>
    <x v="0"/>
    <n v="1"/>
    <x v="0"/>
    <n v="10448"/>
    <n v="5843"/>
    <n v="6"/>
    <s v="Y"/>
    <x v="0"/>
    <n v="13"/>
    <n v="3"/>
    <n v="2"/>
    <n v="80"/>
    <n v="0"/>
    <n v="15"/>
    <n v="2"/>
    <n v="2"/>
    <n v="2"/>
    <n v="2"/>
    <n v="2"/>
    <n v="2"/>
    <x v="1"/>
    <x v="1"/>
    <x v="3"/>
    <n v="1"/>
  </r>
  <r>
    <x v="33"/>
    <x v="1"/>
    <x v="0"/>
    <n v="155"/>
    <x v="1"/>
    <n v="9"/>
    <n v="2"/>
    <s v="Life Sciences"/>
    <n v="1"/>
    <n v="1969"/>
    <n v="1"/>
    <x v="0"/>
    <n v="67"/>
    <n v="3"/>
    <x v="0"/>
    <x v="1"/>
    <n v="3"/>
    <x v="1"/>
    <n v="2897"/>
    <n v="22474"/>
    <n v="3"/>
    <s v="Y"/>
    <x v="1"/>
    <n v="11"/>
    <n v="3"/>
    <n v="3"/>
    <n v="80"/>
    <n v="2"/>
    <n v="9"/>
    <n v="6"/>
    <n v="2"/>
    <n v="4"/>
    <n v="3"/>
    <n v="2"/>
    <n v="3"/>
    <x v="1"/>
    <x v="2"/>
    <x v="1"/>
    <n v="0"/>
  </r>
  <r>
    <x v="3"/>
    <x v="1"/>
    <x v="1"/>
    <n v="1303"/>
    <x v="1"/>
    <n v="7"/>
    <n v="2"/>
    <s v="Life Sciences"/>
    <n v="1"/>
    <n v="1970"/>
    <n v="4"/>
    <x v="1"/>
    <n v="36"/>
    <n v="3"/>
    <x v="0"/>
    <x v="4"/>
    <n v="3"/>
    <x v="2"/>
    <n v="5968"/>
    <n v="18079"/>
    <n v="1"/>
    <s v="Y"/>
    <x v="1"/>
    <n v="20"/>
    <n v="4"/>
    <n v="3"/>
    <n v="80"/>
    <n v="3"/>
    <n v="9"/>
    <n v="2"/>
    <n v="3"/>
    <n v="9"/>
    <n v="7"/>
    <n v="2"/>
    <n v="8"/>
    <x v="2"/>
    <x v="0"/>
    <x v="0"/>
    <n v="0"/>
  </r>
  <r>
    <x v="23"/>
    <x v="1"/>
    <x v="0"/>
    <n v="574"/>
    <x v="1"/>
    <n v="11"/>
    <n v="3"/>
    <s v="Life Sciences"/>
    <n v="1"/>
    <n v="1971"/>
    <n v="1"/>
    <x v="1"/>
    <n v="30"/>
    <n v="3"/>
    <x v="2"/>
    <x v="4"/>
    <n v="3"/>
    <x v="1"/>
    <n v="7510"/>
    <n v="16873"/>
    <n v="1"/>
    <s v="Y"/>
    <x v="1"/>
    <n v="17"/>
    <n v="3"/>
    <n v="2"/>
    <n v="80"/>
    <n v="1"/>
    <n v="10"/>
    <n v="1"/>
    <n v="3"/>
    <n v="10"/>
    <n v="9"/>
    <n v="0"/>
    <n v="9"/>
    <x v="0"/>
    <x v="0"/>
    <x v="0"/>
    <n v="0"/>
  </r>
  <r>
    <x v="8"/>
    <x v="1"/>
    <x v="1"/>
    <n v="1444"/>
    <x v="2"/>
    <n v="1"/>
    <n v="4"/>
    <s v="Other"/>
    <n v="1"/>
    <n v="1972"/>
    <n v="4"/>
    <x v="1"/>
    <n v="88"/>
    <n v="3"/>
    <x v="1"/>
    <x v="8"/>
    <n v="2"/>
    <x v="1"/>
    <n v="2991"/>
    <n v="5224"/>
    <n v="0"/>
    <s v="Y"/>
    <x v="0"/>
    <n v="11"/>
    <n v="3"/>
    <n v="2"/>
    <n v="80"/>
    <n v="1"/>
    <n v="7"/>
    <n v="2"/>
    <n v="3"/>
    <n v="6"/>
    <n v="2"/>
    <n v="1"/>
    <n v="2"/>
    <x v="0"/>
    <x v="0"/>
    <x v="1"/>
    <n v="0"/>
  </r>
  <r>
    <x v="27"/>
    <x v="1"/>
    <x v="0"/>
    <n v="189"/>
    <x v="2"/>
    <n v="26"/>
    <n v="4"/>
    <s v="Human Resources"/>
    <n v="1"/>
    <n v="1973"/>
    <n v="3"/>
    <x v="1"/>
    <n v="71"/>
    <n v="4"/>
    <x v="4"/>
    <x v="5"/>
    <n v="2"/>
    <x v="1"/>
    <n v="19636"/>
    <n v="25811"/>
    <n v="4"/>
    <s v="Y"/>
    <x v="0"/>
    <n v="18"/>
    <n v="3"/>
    <n v="1"/>
    <n v="80"/>
    <n v="1"/>
    <n v="35"/>
    <n v="0"/>
    <n v="3"/>
    <n v="10"/>
    <n v="9"/>
    <n v="1"/>
    <n v="4"/>
    <x v="3"/>
    <x v="0"/>
    <x v="3"/>
    <n v="0"/>
  </r>
  <r>
    <x v="12"/>
    <x v="1"/>
    <x v="0"/>
    <n v="1276"/>
    <x v="1"/>
    <n v="2"/>
    <n v="1"/>
    <s v="Medical"/>
    <n v="1"/>
    <n v="1974"/>
    <n v="4"/>
    <x v="0"/>
    <n v="59"/>
    <n v="1"/>
    <x v="1"/>
    <x v="2"/>
    <n v="4"/>
    <x v="2"/>
    <n v="1129"/>
    <n v="17536"/>
    <n v="1"/>
    <s v="Y"/>
    <x v="0"/>
    <n v="11"/>
    <n v="3"/>
    <n v="3"/>
    <n v="80"/>
    <n v="3"/>
    <n v="1"/>
    <n v="4"/>
    <n v="3"/>
    <n v="1"/>
    <n v="0"/>
    <n v="0"/>
    <n v="0"/>
    <x v="2"/>
    <x v="1"/>
    <x v="1"/>
    <n v="0"/>
  </r>
  <r>
    <x v="22"/>
    <x v="1"/>
    <x v="0"/>
    <n v="119"/>
    <x v="0"/>
    <n v="15"/>
    <n v="4"/>
    <s v="Marketing"/>
    <n v="1"/>
    <n v="1975"/>
    <n v="2"/>
    <x v="1"/>
    <n v="77"/>
    <n v="3"/>
    <x v="3"/>
    <x v="0"/>
    <n v="1"/>
    <x v="0"/>
    <n v="13341"/>
    <n v="25098"/>
    <n v="0"/>
    <s v="Y"/>
    <x v="1"/>
    <n v="12"/>
    <n v="3"/>
    <n v="1"/>
    <n v="80"/>
    <n v="0"/>
    <n v="21"/>
    <n v="3"/>
    <n v="3"/>
    <n v="20"/>
    <n v="8"/>
    <n v="11"/>
    <n v="10"/>
    <x v="0"/>
    <x v="3"/>
    <x v="3"/>
    <n v="0"/>
  </r>
  <r>
    <x v="19"/>
    <x v="1"/>
    <x v="2"/>
    <n v="335"/>
    <x v="1"/>
    <n v="23"/>
    <n v="2"/>
    <s v="Life Sciences"/>
    <n v="1"/>
    <n v="1976"/>
    <n v="4"/>
    <x v="1"/>
    <n v="37"/>
    <n v="2"/>
    <x v="0"/>
    <x v="1"/>
    <n v="3"/>
    <x v="0"/>
    <n v="4332"/>
    <n v="14811"/>
    <n v="1"/>
    <s v="Y"/>
    <x v="1"/>
    <n v="12"/>
    <n v="3"/>
    <n v="4"/>
    <n v="80"/>
    <n v="0"/>
    <n v="20"/>
    <n v="2"/>
    <n v="3"/>
    <n v="20"/>
    <n v="9"/>
    <n v="3"/>
    <n v="7"/>
    <x v="0"/>
    <x v="3"/>
    <x v="2"/>
    <n v="0"/>
  </r>
  <r>
    <x v="12"/>
    <x v="1"/>
    <x v="2"/>
    <n v="697"/>
    <x v="1"/>
    <n v="10"/>
    <n v="3"/>
    <s v="Medical"/>
    <n v="1"/>
    <n v="1979"/>
    <n v="3"/>
    <x v="0"/>
    <n v="40"/>
    <n v="3"/>
    <x v="2"/>
    <x v="7"/>
    <n v="3"/>
    <x v="1"/>
    <n v="11031"/>
    <n v="26862"/>
    <n v="4"/>
    <s v="Y"/>
    <x v="1"/>
    <n v="20"/>
    <n v="4"/>
    <n v="3"/>
    <n v="80"/>
    <n v="1"/>
    <n v="13"/>
    <n v="2"/>
    <n v="4"/>
    <n v="11"/>
    <n v="7"/>
    <n v="4"/>
    <n v="8"/>
    <x v="2"/>
    <x v="3"/>
    <x v="3"/>
    <n v="0"/>
  </r>
  <r>
    <x v="33"/>
    <x v="1"/>
    <x v="0"/>
    <n v="157"/>
    <x v="1"/>
    <n v="10"/>
    <n v="3"/>
    <s v="Medical"/>
    <n v="1"/>
    <n v="1980"/>
    <n v="3"/>
    <x v="0"/>
    <n v="77"/>
    <n v="3"/>
    <x v="0"/>
    <x v="3"/>
    <n v="1"/>
    <x v="0"/>
    <n v="4440"/>
    <n v="25198"/>
    <n v="6"/>
    <s v="Y"/>
    <x v="0"/>
    <n v="19"/>
    <n v="3"/>
    <n v="4"/>
    <n v="80"/>
    <n v="0"/>
    <n v="9"/>
    <n v="3"/>
    <n v="3"/>
    <n v="5"/>
    <n v="2"/>
    <n v="1"/>
    <n v="4"/>
    <x v="1"/>
    <x v="2"/>
    <x v="2"/>
    <n v="0"/>
  </r>
  <r>
    <x v="17"/>
    <x v="1"/>
    <x v="0"/>
    <n v="771"/>
    <x v="1"/>
    <n v="1"/>
    <n v="2"/>
    <s v="Life Sciences"/>
    <n v="1"/>
    <n v="1981"/>
    <n v="2"/>
    <x v="1"/>
    <n v="45"/>
    <n v="2"/>
    <x v="0"/>
    <x v="4"/>
    <n v="3"/>
    <x v="0"/>
    <n v="4617"/>
    <n v="14120"/>
    <n v="1"/>
    <s v="Y"/>
    <x v="1"/>
    <n v="12"/>
    <n v="3"/>
    <n v="2"/>
    <n v="80"/>
    <n v="0"/>
    <n v="4"/>
    <n v="2"/>
    <n v="2"/>
    <n v="4"/>
    <n v="3"/>
    <n v="1"/>
    <n v="2"/>
    <x v="4"/>
    <x v="2"/>
    <x v="2"/>
    <n v="0"/>
  </r>
  <r>
    <x v="30"/>
    <x v="1"/>
    <x v="0"/>
    <n v="571"/>
    <x v="1"/>
    <n v="12"/>
    <n v="2"/>
    <s v="Other"/>
    <n v="1"/>
    <n v="1982"/>
    <n v="4"/>
    <x v="1"/>
    <n v="78"/>
    <n v="3"/>
    <x v="1"/>
    <x v="2"/>
    <n v="4"/>
    <x v="0"/>
    <n v="2647"/>
    <n v="13672"/>
    <n v="1"/>
    <s v="Y"/>
    <x v="1"/>
    <n v="13"/>
    <n v="3"/>
    <n v="3"/>
    <n v="80"/>
    <n v="0"/>
    <n v="5"/>
    <n v="6"/>
    <n v="4"/>
    <n v="5"/>
    <n v="2"/>
    <n v="1"/>
    <n v="4"/>
    <x v="4"/>
    <x v="2"/>
    <x v="1"/>
    <n v="0"/>
  </r>
  <r>
    <x v="32"/>
    <x v="1"/>
    <x v="1"/>
    <n v="692"/>
    <x v="1"/>
    <n v="11"/>
    <n v="3"/>
    <s v="Technical Degree"/>
    <n v="1"/>
    <n v="1985"/>
    <n v="4"/>
    <x v="0"/>
    <n v="73"/>
    <n v="3"/>
    <x v="0"/>
    <x v="2"/>
    <n v="3"/>
    <x v="1"/>
    <n v="6323"/>
    <n v="26849"/>
    <n v="1"/>
    <s v="Y"/>
    <x v="1"/>
    <n v="11"/>
    <n v="3"/>
    <n v="1"/>
    <n v="80"/>
    <n v="1"/>
    <n v="10"/>
    <n v="2"/>
    <n v="4"/>
    <n v="10"/>
    <n v="9"/>
    <n v="9"/>
    <n v="4"/>
    <x v="0"/>
    <x v="0"/>
    <x v="0"/>
    <n v="0"/>
  </r>
  <r>
    <x v="32"/>
    <x v="1"/>
    <x v="0"/>
    <n v="444"/>
    <x v="0"/>
    <n v="2"/>
    <n v="2"/>
    <s v="Marketing"/>
    <n v="1"/>
    <n v="1986"/>
    <n v="2"/>
    <x v="0"/>
    <n v="92"/>
    <n v="3"/>
    <x v="0"/>
    <x v="0"/>
    <n v="2"/>
    <x v="1"/>
    <n v="5677"/>
    <n v="4258"/>
    <n v="3"/>
    <s v="Y"/>
    <x v="1"/>
    <n v="14"/>
    <n v="3"/>
    <n v="3"/>
    <n v="80"/>
    <n v="1"/>
    <n v="15"/>
    <n v="4"/>
    <n v="3"/>
    <n v="11"/>
    <n v="8"/>
    <n v="5"/>
    <n v="10"/>
    <x v="0"/>
    <x v="3"/>
    <x v="0"/>
    <n v="0"/>
  </r>
  <r>
    <x v="36"/>
    <x v="1"/>
    <x v="0"/>
    <n v="309"/>
    <x v="2"/>
    <n v="2"/>
    <n v="3"/>
    <s v="Human Resources"/>
    <n v="1"/>
    <n v="1987"/>
    <n v="3"/>
    <x v="0"/>
    <n v="82"/>
    <n v="3"/>
    <x v="1"/>
    <x v="8"/>
    <n v="2"/>
    <x v="1"/>
    <n v="2187"/>
    <n v="19655"/>
    <n v="4"/>
    <s v="Y"/>
    <x v="1"/>
    <n v="14"/>
    <n v="3"/>
    <n v="3"/>
    <n v="80"/>
    <n v="0"/>
    <n v="6"/>
    <n v="3"/>
    <n v="3"/>
    <n v="2"/>
    <n v="0"/>
    <n v="1"/>
    <n v="2"/>
    <x v="2"/>
    <x v="1"/>
    <x v="1"/>
    <n v="0"/>
  </r>
  <r>
    <x v="7"/>
    <x v="1"/>
    <x v="0"/>
    <n v="911"/>
    <x v="1"/>
    <n v="1"/>
    <n v="2"/>
    <s v="Medical"/>
    <n v="1"/>
    <n v="1989"/>
    <n v="4"/>
    <x v="1"/>
    <n v="76"/>
    <n v="3"/>
    <x v="1"/>
    <x v="2"/>
    <n v="2"/>
    <x v="1"/>
    <n v="3748"/>
    <n v="4077"/>
    <n v="1"/>
    <s v="Y"/>
    <x v="1"/>
    <n v="13"/>
    <n v="3"/>
    <n v="3"/>
    <n v="80"/>
    <n v="0"/>
    <n v="12"/>
    <n v="6"/>
    <n v="2"/>
    <n v="12"/>
    <n v="8"/>
    <n v="1"/>
    <n v="7"/>
    <x v="2"/>
    <x v="3"/>
    <x v="2"/>
    <n v="0"/>
  </r>
  <r>
    <x v="36"/>
    <x v="1"/>
    <x v="0"/>
    <n v="977"/>
    <x v="1"/>
    <n v="2"/>
    <n v="1"/>
    <s v="Other"/>
    <n v="1"/>
    <n v="1992"/>
    <n v="4"/>
    <x v="1"/>
    <n v="57"/>
    <n v="3"/>
    <x v="1"/>
    <x v="2"/>
    <n v="3"/>
    <x v="2"/>
    <n v="3977"/>
    <n v="7298"/>
    <n v="6"/>
    <s v="Y"/>
    <x v="0"/>
    <n v="19"/>
    <n v="3"/>
    <n v="3"/>
    <n v="80"/>
    <n v="1"/>
    <n v="7"/>
    <n v="2"/>
    <n v="2"/>
    <n v="2"/>
    <n v="2"/>
    <n v="0"/>
    <n v="2"/>
    <x v="2"/>
    <x v="1"/>
    <x v="2"/>
    <n v="0"/>
  </r>
  <r>
    <x v="40"/>
    <x v="1"/>
    <x v="0"/>
    <n v="1180"/>
    <x v="1"/>
    <n v="25"/>
    <n v="3"/>
    <s v="Medical"/>
    <n v="1"/>
    <n v="1993"/>
    <n v="1"/>
    <x v="1"/>
    <n v="84"/>
    <n v="3"/>
    <x v="2"/>
    <x v="4"/>
    <n v="3"/>
    <x v="0"/>
    <n v="8633"/>
    <n v="13084"/>
    <n v="2"/>
    <s v="Y"/>
    <x v="1"/>
    <n v="23"/>
    <n v="4"/>
    <n v="2"/>
    <n v="80"/>
    <n v="0"/>
    <n v="25"/>
    <n v="3"/>
    <n v="3"/>
    <n v="17"/>
    <n v="14"/>
    <n v="12"/>
    <n v="11"/>
    <x v="1"/>
    <x v="3"/>
    <x v="3"/>
    <n v="0"/>
  </r>
  <r>
    <x v="3"/>
    <x v="1"/>
    <x v="2"/>
    <n v="1313"/>
    <x v="1"/>
    <n v="1"/>
    <n v="2"/>
    <s v="Medical"/>
    <n v="1"/>
    <n v="1994"/>
    <n v="2"/>
    <x v="1"/>
    <n v="59"/>
    <n v="2"/>
    <x v="1"/>
    <x v="2"/>
    <n v="3"/>
    <x v="2"/>
    <n v="2008"/>
    <n v="20439"/>
    <n v="1"/>
    <s v="Y"/>
    <x v="1"/>
    <n v="12"/>
    <n v="3"/>
    <n v="3"/>
    <n v="80"/>
    <n v="3"/>
    <n v="1"/>
    <n v="2"/>
    <n v="2"/>
    <n v="1"/>
    <n v="1"/>
    <n v="0"/>
    <n v="0"/>
    <x v="2"/>
    <x v="1"/>
    <x v="1"/>
    <n v="0"/>
  </r>
  <r>
    <x v="8"/>
    <x v="1"/>
    <x v="0"/>
    <n v="1321"/>
    <x v="0"/>
    <n v="1"/>
    <n v="4"/>
    <s v="Life Sciences"/>
    <n v="1"/>
    <n v="1995"/>
    <n v="4"/>
    <x v="1"/>
    <n v="86"/>
    <n v="3"/>
    <x v="0"/>
    <x v="0"/>
    <n v="2"/>
    <x v="1"/>
    <n v="4440"/>
    <n v="7636"/>
    <n v="0"/>
    <s v="Y"/>
    <x v="1"/>
    <n v="15"/>
    <n v="3"/>
    <n v="1"/>
    <n v="80"/>
    <n v="2"/>
    <n v="16"/>
    <n v="3"/>
    <n v="3"/>
    <n v="15"/>
    <n v="13"/>
    <n v="5"/>
    <n v="8"/>
    <x v="0"/>
    <x v="3"/>
    <x v="2"/>
    <n v="0"/>
  </r>
  <r>
    <x v="12"/>
    <x v="1"/>
    <x v="0"/>
    <n v="1154"/>
    <x v="0"/>
    <n v="2"/>
    <n v="2"/>
    <s v="Life Sciences"/>
    <n v="1"/>
    <n v="1996"/>
    <n v="1"/>
    <x v="1"/>
    <n v="54"/>
    <n v="3"/>
    <x v="1"/>
    <x v="6"/>
    <n v="3"/>
    <x v="1"/>
    <n v="3067"/>
    <n v="6393"/>
    <n v="0"/>
    <s v="Y"/>
    <x v="1"/>
    <n v="19"/>
    <n v="3"/>
    <n v="3"/>
    <n v="80"/>
    <n v="1"/>
    <n v="3"/>
    <n v="1"/>
    <n v="3"/>
    <n v="2"/>
    <n v="2"/>
    <n v="1"/>
    <n v="2"/>
    <x v="2"/>
    <x v="1"/>
    <x v="2"/>
    <n v="0"/>
  </r>
  <r>
    <x v="8"/>
    <x v="1"/>
    <x v="1"/>
    <n v="508"/>
    <x v="1"/>
    <n v="6"/>
    <n v="4"/>
    <s v="Life Sciences"/>
    <n v="1"/>
    <n v="1997"/>
    <n v="1"/>
    <x v="1"/>
    <n v="72"/>
    <n v="2"/>
    <x v="0"/>
    <x v="3"/>
    <n v="3"/>
    <x v="1"/>
    <n v="5321"/>
    <n v="14284"/>
    <n v="2"/>
    <s v="Y"/>
    <x v="1"/>
    <n v="11"/>
    <n v="3"/>
    <n v="4"/>
    <n v="80"/>
    <n v="1"/>
    <n v="10"/>
    <n v="1"/>
    <n v="3"/>
    <n v="8"/>
    <n v="3"/>
    <n v="7"/>
    <n v="7"/>
    <x v="0"/>
    <x v="0"/>
    <x v="0"/>
    <n v="0"/>
  </r>
  <r>
    <x v="19"/>
    <x v="1"/>
    <x v="0"/>
    <n v="557"/>
    <x v="1"/>
    <n v="18"/>
    <n v="4"/>
    <s v="Life Sciences"/>
    <n v="1"/>
    <n v="1998"/>
    <n v="4"/>
    <x v="1"/>
    <n v="35"/>
    <n v="3"/>
    <x v="0"/>
    <x v="1"/>
    <n v="1"/>
    <x v="2"/>
    <n v="5410"/>
    <n v="11189"/>
    <n v="6"/>
    <s v="Y"/>
    <x v="0"/>
    <n v="17"/>
    <n v="3"/>
    <n v="3"/>
    <n v="80"/>
    <n v="1"/>
    <n v="9"/>
    <n v="3"/>
    <n v="2"/>
    <n v="4"/>
    <n v="3"/>
    <n v="1"/>
    <n v="2"/>
    <x v="0"/>
    <x v="2"/>
    <x v="0"/>
    <n v="0"/>
  </r>
  <r>
    <x v="0"/>
    <x v="1"/>
    <x v="0"/>
    <n v="642"/>
    <x v="1"/>
    <n v="1"/>
    <n v="3"/>
    <s v="Life Sciences"/>
    <n v="1"/>
    <n v="1999"/>
    <n v="4"/>
    <x v="1"/>
    <n v="76"/>
    <n v="3"/>
    <x v="1"/>
    <x v="1"/>
    <n v="4"/>
    <x v="1"/>
    <n v="2782"/>
    <n v="21412"/>
    <n v="3"/>
    <s v="Y"/>
    <x v="1"/>
    <n v="22"/>
    <n v="4"/>
    <n v="1"/>
    <n v="80"/>
    <n v="1"/>
    <n v="12"/>
    <n v="3"/>
    <n v="3"/>
    <n v="5"/>
    <n v="3"/>
    <n v="1"/>
    <n v="0"/>
    <x v="0"/>
    <x v="2"/>
    <x v="1"/>
    <n v="0"/>
  </r>
  <r>
    <x v="40"/>
    <x v="1"/>
    <x v="2"/>
    <n v="1162"/>
    <x v="1"/>
    <n v="1"/>
    <n v="1"/>
    <s v="Medical"/>
    <n v="1"/>
    <n v="2000"/>
    <n v="3"/>
    <x v="0"/>
    <n v="98"/>
    <n v="3"/>
    <x v="2"/>
    <x v="7"/>
    <n v="2"/>
    <x v="1"/>
    <n v="11957"/>
    <n v="17231"/>
    <n v="0"/>
    <s v="Y"/>
    <x v="1"/>
    <n v="18"/>
    <n v="3"/>
    <n v="1"/>
    <n v="80"/>
    <n v="2"/>
    <n v="14"/>
    <n v="3"/>
    <n v="1"/>
    <n v="13"/>
    <n v="8"/>
    <n v="5"/>
    <n v="12"/>
    <x v="1"/>
    <x v="3"/>
    <x v="3"/>
    <n v="0"/>
  </r>
  <r>
    <x v="10"/>
    <x v="1"/>
    <x v="0"/>
    <n v="1490"/>
    <x v="1"/>
    <n v="11"/>
    <n v="4"/>
    <s v="Medical"/>
    <n v="1"/>
    <n v="2003"/>
    <n v="4"/>
    <x v="1"/>
    <n v="43"/>
    <n v="3"/>
    <x v="1"/>
    <x v="2"/>
    <n v="3"/>
    <x v="1"/>
    <n v="2660"/>
    <n v="20232"/>
    <n v="7"/>
    <s v="Y"/>
    <x v="0"/>
    <n v="11"/>
    <n v="3"/>
    <n v="3"/>
    <n v="80"/>
    <n v="1"/>
    <n v="5"/>
    <n v="3"/>
    <n v="3"/>
    <n v="2"/>
    <n v="2"/>
    <n v="2"/>
    <n v="2"/>
    <x v="0"/>
    <x v="1"/>
    <x v="1"/>
    <n v="0"/>
  </r>
  <r>
    <x v="15"/>
    <x v="1"/>
    <x v="0"/>
    <n v="581"/>
    <x v="1"/>
    <n v="1"/>
    <n v="2"/>
    <s v="Life Sciences"/>
    <n v="1"/>
    <n v="2007"/>
    <n v="4"/>
    <x v="1"/>
    <n v="63"/>
    <n v="3"/>
    <x v="1"/>
    <x v="1"/>
    <n v="3"/>
    <x v="0"/>
    <n v="3375"/>
    <n v="17624"/>
    <n v="0"/>
    <s v="Y"/>
    <x v="1"/>
    <n v="12"/>
    <n v="3"/>
    <n v="4"/>
    <n v="80"/>
    <n v="0"/>
    <n v="4"/>
    <n v="2"/>
    <n v="4"/>
    <n v="3"/>
    <n v="2"/>
    <n v="1"/>
    <n v="2"/>
    <x v="4"/>
    <x v="2"/>
    <x v="2"/>
    <n v="0"/>
  </r>
  <r>
    <x v="10"/>
    <x v="1"/>
    <x v="0"/>
    <n v="1395"/>
    <x v="1"/>
    <n v="9"/>
    <n v="4"/>
    <s v="Medical"/>
    <n v="1"/>
    <n v="2008"/>
    <n v="2"/>
    <x v="1"/>
    <n v="48"/>
    <n v="3"/>
    <x v="0"/>
    <x v="1"/>
    <n v="3"/>
    <x v="0"/>
    <n v="5098"/>
    <n v="18698"/>
    <n v="1"/>
    <s v="Y"/>
    <x v="1"/>
    <n v="19"/>
    <n v="3"/>
    <n v="2"/>
    <n v="80"/>
    <n v="0"/>
    <n v="10"/>
    <n v="5"/>
    <n v="3"/>
    <n v="10"/>
    <n v="7"/>
    <n v="0"/>
    <n v="8"/>
    <x v="0"/>
    <x v="0"/>
    <x v="0"/>
    <n v="0"/>
  </r>
  <r>
    <x v="3"/>
    <x v="1"/>
    <x v="0"/>
    <n v="501"/>
    <x v="1"/>
    <n v="15"/>
    <n v="2"/>
    <s v="Medical"/>
    <n v="1"/>
    <n v="2009"/>
    <n v="2"/>
    <x v="0"/>
    <n v="95"/>
    <n v="3"/>
    <x v="0"/>
    <x v="4"/>
    <n v="4"/>
    <x v="1"/>
    <n v="4878"/>
    <n v="21653"/>
    <n v="0"/>
    <s v="Y"/>
    <x v="0"/>
    <n v="13"/>
    <n v="3"/>
    <n v="1"/>
    <n v="80"/>
    <n v="1"/>
    <n v="10"/>
    <n v="6"/>
    <n v="3"/>
    <n v="9"/>
    <n v="7"/>
    <n v="8"/>
    <n v="1"/>
    <x v="2"/>
    <x v="0"/>
    <x v="2"/>
    <n v="0"/>
  </r>
  <r>
    <x v="5"/>
    <x v="1"/>
    <x v="0"/>
    <n v="267"/>
    <x v="1"/>
    <n v="29"/>
    <n v="4"/>
    <s v="Life Sciences"/>
    <n v="1"/>
    <n v="2010"/>
    <n v="3"/>
    <x v="0"/>
    <n v="49"/>
    <n v="2"/>
    <x v="1"/>
    <x v="2"/>
    <n v="2"/>
    <x v="0"/>
    <n v="2837"/>
    <n v="15919"/>
    <n v="1"/>
    <s v="Y"/>
    <x v="1"/>
    <n v="13"/>
    <n v="3"/>
    <n v="3"/>
    <n v="80"/>
    <n v="0"/>
    <n v="6"/>
    <n v="3"/>
    <n v="3"/>
    <n v="6"/>
    <n v="2"/>
    <n v="4"/>
    <n v="1"/>
    <x v="2"/>
    <x v="0"/>
    <x v="1"/>
    <n v="0"/>
  </r>
  <r>
    <x v="32"/>
    <x v="1"/>
    <x v="0"/>
    <n v="543"/>
    <x v="1"/>
    <n v="1"/>
    <n v="4"/>
    <s v="Life Sciences"/>
    <n v="1"/>
    <n v="2012"/>
    <n v="1"/>
    <x v="1"/>
    <n v="83"/>
    <n v="3"/>
    <x v="1"/>
    <x v="2"/>
    <n v="4"/>
    <x v="1"/>
    <n v="2406"/>
    <n v="4060"/>
    <n v="8"/>
    <s v="Y"/>
    <x v="1"/>
    <n v="19"/>
    <n v="3"/>
    <n v="3"/>
    <n v="80"/>
    <n v="2"/>
    <n v="8"/>
    <n v="3"/>
    <n v="2"/>
    <n v="1"/>
    <n v="0"/>
    <n v="0"/>
    <n v="0"/>
    <x v="0"/>
    <x v="1"/>
    <x v="1"/>
    <n v="0"/>
  </r>
  <r>
    <x v="5"/>
    <x v="1"/>
    <x v="0"/>
    <n v="234"/>
    <x v="0"/>
    <n v="1"/>
    <n v="4"/>
    <s v="Medical"/>
    <n v="1"/>
    <n v="2013"/>
    <n v="2"/>
    <x v="1"/>
    <n v="68"/>
    <n v="2"/>
    <x v="1"/>
    <x v="6"/>
    <n v="2"/>
    <x v="1"/>
    <n v="2269"/>
    <n v="18024"/>
    <n v="0"/>
    <s v="Y"/>
    <x v="1"/>
    <n v="14"/>
    <n v="3"/>
    <n v="2"/>
    <n v="80"/>
    <n v="1"/>
    <n v="3"/>
    <n v="2"/>
    <n v="3"/>
    <n v="2"/>
    <n v="2"/>
    <n v="2"/>
    <n v="2"/>
    <x v="2"/>
    <x v="1"/>
    <x v="1"/>
    <n v="0"/>
  </r>
  <r>
    <x v="22"/>
    <x v="1"/>
    <x v="0"/>
    <n v="116"/>
    <x v="1"/>
    <n v="24"/>
    <n v="1"/>
    <s v="Life Sciences"/>
    <n v="1"/>
    <n v="2014"/>
    <n v="1"/>
    <x v="1"/>
    <n v="52"/>
    <n v="3"/>
    <x v="0"/>
    <x v="1"/>
    <n v="4"/>
    <x v="0"/>
    <n v="4108"/>
    <n v="5340"/>
    <n v="7"/>
    <s v="Y"/>
    <x v="1"/>
    <n v="13"/>
    <n v="3"/>
    <n v="1"/>
    <n v="80"/>
    <n v="0"/>
    <n v="18"/>
    <n v="2"/>
    <n v="3"/>
    <n v="7"/>
    <n v="7"/>
    <n v="1"/>
    <n v="7"/>
    <x v="0"/>
    <x v="0"/>
    <x v="2"/>
    <n v="0"/>
  </r>
  <r>
    <x v="8"/>
    <x v="1"/>
    <x v="0"/>
    <n v="201"/>
    <x v="1"/>
    <n v="10"/>
    <n v="3"/>
    <s v="Medical"/>
    <n v="1"/>
    <n v="2015"/>
    <n v="2"/>
    <x v="0"/>
    <n v="99"/>
    <n v="1"/>
    <x v="2"/>
    <x v="7"/>
    <n v="3"/>
    <x v="1"/>
    <n v="13206"/>
    <n v="3376"/>
    <n v="3"/>
    <s v="Y"/>
    <x v="1"/>
    <n v="12"/>
    <n v="3"/>
    <n v="1"/>
    <n v="80"/>
    <n v="1"/>
    <n v="20"/>
    <n v="3"/>
    <n v="3"/>
    <n v="18"/>
    <n v="16"/>
    <n v="1"/>
    <n v="11"/>
    <x v="0"/>
    <x v="3"/>
    <x v="3"/>
    <n v="0"/>
  </r>
  <r>
    <x v="5"/>
    <x v="1"/>
    <x v="0"/>
    <n v="801"/>
    <x v="0"/>
    <n v="1"/>
    <n v="4"/>
    <s v="Marketing"/>
    <n v="1"/>
    <n v="2016"/>
    <n v="3"/>
    <x v="0"/>
    <n v="48"/>
    <n v="3"/>
    <x v="2"/>
    <x v="0"/>
    <n v="4"/>
    <x v="1"/>
    <n v="10422"/>
    <n v="24032"/>
    <n v="1"/>
    <s v="Y"/>
    <x v="1"/>
    <n v="19"/>
    <n v="3"/>
    <n v="3"/>
    <n v="80"/>
    <n v="2"/>
    <n v="14"/>
    <n v="3"/>
    <n v="3"/>
    <n v="14"/>
    <n v="10"/>
    <n v="5"/>
    <n v="7"/>
    <x v="2"/>
    <x v="3"/>
    <x v="3"/>
    <n v="0"/>
  </r>
  <r>
    <x v="2"/>
    <x v="1"/>
    <x v="0"/>
    <n v="161"/>
    <x v="1"/>
    <n v="10"/>
    <n v="3"/>
    <s v="Life Sciences"/>
    <n v="1"/>
    <n v="2017"/>
    <n v="3"/>
    <x v="0"/>
    <n v="42"/>
    <n v="4"/>
    <x v="2"/>
    <x v="7"/>
    <n v="4"/>
    <x v="1"/>
    <n v="13744"/>
    <n v="15471"/>
    <n v="1"/>
    <s v="Y"/>
    <x v="0"/>
    <n v="25"/>
    <n v="4"/>
    <n v="1"/>
    <n v="80"/>
    <n v="1"/>
    <n v="16"/>
    <n v="2"/>
    <n v="3"/>
    <n v="16"/>
    <n v="11"/>
    <n v="6"/>
    <n v="8"/>
    <x v="0"/>
    <x v="3"/>
    <x v="3"/>
    <n v="0"/>
  </r>
  <r>
    <x v="36"/>
    <x v="1"/>
    <x v="0"/>
    <n v="1382"/>
    <x v="0"/>
    <n v="8"/>
    <n v="2"/>
    <s v="Other"/>
    <n v="1"/>
    <n v="2018"/>
    <n v="1"/>
    <x v="0"/>
    <n v="85"/>
    <n v="3"/>
    <x v="0"/>
    <x v="0"/>
    <n v="3"/>
    <x v="2"/>
    <n v="4907"/>
    <n v="13684"/>
    <n v="0"/>
    <s v="Y"/>
    <x v="0"/>
    <n v="22"/>
    <n v="4"/>
    <n v="2"/>
    <n v="80"/>
    <n v="1"/>
    <n v="6"/>
    <n v="3"/>
    <n v="2"/>
    <n v="5"/>
    <n v="3"/>
    <n v="0"/>
    <n v="4"/>
    <x v="2"/>
    <x v="2"/>
    <x v="2"/>
    <n v="0"/>
  </r>
  <r>
    <x v="39"/>
    <x v="1"/>
    <x v="2"/>
    <n v="585"/>
    <x v="0"/>
    <n v="29"/>
    <n v="4"/>
    <s v="Life Sciences"/>
    <n v="1"/>
    <n v="2019"/>
    <n v="1"/>
    <x v="1"/>
    <n v="40"/>
    <n v="3"/>
    <x v="1"/>
    <x v="6"/>
    <n v="4"/>
    <x v="2"/>
    <n v="3482"/>
    <n v="19788"/>
    <n v="2"/>
    <s v="Y"/>
    <x v="1"/>
    <n v="15"/>
    <n v="3"/>
    <n v="2"/>
    <n v="80"/>
    <n v="2"/>
    <n v="16"/>
    <n v="3"/>
    <n v="2"/>
    <n v="9"/>
    <n v="8"/>
    <n v="0"/>
    <n v="0"/>
    <x v="1"/>
    <x v="0"/>
    <x v="2"/>
    <n v="0"/>
  </r>
  <r>
    <x v="20"/>
    <x v="1"/>
    <x v="0"/>
    <n v="1037"/>
    <x v="1"/>
    <n v="1"/>
    <n v="3"/>
    <s v="Medical"/>
    <n v="1"/>
    <n v="2020"/>
    <n v="2"/>
    <x v="1"/>
    <n v="42"/>
    <n v="3"/>
    <x v="1"/>
    <x v="1"/>
    <n v="4"/>
    <x v="0"/>
    <n v="2436"/>
    <n v="13422"/>
    <n v="6"/>
    <s v="Y"/>
    <x v="0"/>
    <n v="12"/>
    <n v="3"/>
    <n v="3"/>
    <n v="80"/>
    <n v="0"/>
    <n v="6"/>
    <n v="2"/>
    <n v="3"/>
    <n v="4"/>
    <n v="3"/>
    <n v="1"/>
    <n v="2"/>
    <x v="0"/>
    <x v="2"/>
    <x v="1"/>
    <n v="0"/>
  </r>
  <r>
    <x v="18"/>
    <x v="1"/>
    <x v="0"/>
    <n v="501"/>
    <x v="0"/>
    <n v="5"/>
    <n v="1"/>
    <s v="Medical"/>
    <n v="1"/>
    <n v="2021"/>
    <n v="3"/>
    <x v="1"/>
    <n v="58"/>
    <n v="3"/>
    <x v="1"/>
    <x v="6"/>
    <n v="1"/>
    <x v="0"/>
    <n v="2380"/>
    <n v="25479"/>
    <n v="1"/>
    <s v="Y"/>
    <x v="0"/>
    <n v="11"/>
    <n v="3"/>
    <n v="4"/>
    <n v="80"/>
    <n v="0"/>
    <n v="2"/>
    <n v="6"/>
    <n v="3"/>
    <n v="2"/>
    <n v="2"/>
    <n v="1"/>
    <n v="2"/>
    <x v="4"/>
    <x v="1"/>
    <x v="1"/>
    <n v="0"/>
  </r>
  <r>
    <x v="22"/>
    <x v="1"/>
    <x v="2"/>
    <n v="105"/>
    <x v="1"/>
    <n v="9"/>
    <n v="3"/>
    <s v="Life Sciences"/>
    <n v="1"/>
    <n v="2022"/>
    <n v="4"/>
    <x v="1"/>
    <n v="87"/>
    <n v="3"/>
    <x v="4"/>
    <x v="5"/>
    <n v="4"/>
    <x v="0"/>
    <n v="19431"/>
    <n v="15302"/>
    <n v="2"/>
    <s v="Y"/>
    <x v="1"/>
    <n v="13"/>
    <n v="3"/>
    <n v="3"/>
    <n v="80"/>
    <n v="0"/>
    <n v="21"/>
    <n v="3"/>
    <n v="2"/>
    <n v="6"/>
    <n v="0"/>
    <n v="1"/>
    <n v="3"/>
    <x v="0"/>
    <x v="0"/>
    <x v="3"/>
    <n v="0"/>
  </r>
  <r>
    <x v="30"/>
    <x v="0"/>
    <x v="1"/>
    <n v="638"/>
    <x v="0"/>
    <n v="9"/>
    <n v="3"/>
    <s v="Marketing"/>
    <n v="1"/>
    <n v="2023"/>
    <n v="4"/>
    <x v="1"/>
    <n v="33"/>
    <n v="3"/>
    <x v="1"/>
    <x v="6"/>
    <n v="1"/>
    <x v="1"/>
    <n v="1790"/>
    <n v="26956"/>
    <n v="1"/>
    <s v="Y"/>
    <x v="1"/>
    <n v="19"/>
    <n v="3"/>
    <n v="1"/>
    <n v="80"/>
    <n v="1"/>
    <n v="1"/>
    <n v="3"/>
    <n v="2"/>
    <n v="1"/>
    <n v="0"/>
    <n v="1"/>
    <n v="0"/>
    <x v="4"/>
    <x v="1"/>
    <x v="1"/>
    <n v="1"/>
  </r>
  <r>
    <x v="9"/>
    <x v="1"/>
    <x v="0"/>
    <n v="557"/>
    <x v="0"/>
    <n v="3"/>
    <n v="3"/>
    <s v="Medical"/>
    <n v="1"/>
    <n v="2024"/>
    <n v="1"/>
    <x v="0"/>
    <n v="94"/>
    <n v="2"/>
    <x v="2"/>
    <x v="0"/>
    <n v="4"/>
    <x v="1"/>
    <n v="7644"/>
    <n v="12695"/>
    <n v="0"/>
    <s v="Y"/>
    <x v="1"/>
    <n v="19"/>
    <n v="3"/>
    <n v="3"/>
    <n v="80"/>
    <n v="2"/>
    <n v="10"/>
    <n v="2"/>
    <n v="3"/>
    <n v="9"/>
    <n v="7"/>
    <n v="3"/>
    <n v="4"/>
    <x v="0"/>
    <x v="0"/>
    <x v="0"/>
    <n v="0"/>
  </r>
  <r>
    <x v="9"/>
    <x v="1"/>
    <x v="1"/>
    <n v="688"/>
    <x v="1"/>
    <n v="4"/>
    <n v="2"/>
    <s v="Life Sciences"/>
    <n v="1"/>
    <n v="2025"/>
    <n v="4"/>
    <x v="0"/>
    <n v="97"/>
    <n v="3"/>
    <x v="0"/>
    <x v="3"/>
    <n v="2"/>
    <x v="2"/>
    <n v="5131"/>
    <n v="9192"/>
    <n v="7"/>
    <s v="Y"/>
    <x v="1"/>
    <n v="13"/>
    <n v="3"/>
    <n v="2"/>
    <n v="80"/>
    <n v="3"/>
    <n v="18"/>
    <n v="3"/>
    <n v="3"/>
    <n v="4"/>
    <n v="2"/>
    <n v="0"/>
    <n v="2"/>
    <x v="0"/>
    <x v="2"/>
    <x v="0"/>
    <n v="0"/>
  </r>
  <r>
    <x v="29"/>
    <x v="1"/>
    <x v="2"/>
    <n v="667"/>
    <x v="1"/>
    <n v="1"/>
    <n v="4"/>
    <s v="Life Sciences"/>
    <n v="1"/>
    <n v="2026"/>
    <n v="3"/>
    <x v="1"/>
    <n v="57"/>
    <n v="3"/>
    <x v="0"/>
    <x v="4"/>
    <n v="3"/>
    <x v="2"/>
    <n v="6306"/>
    <n v="26236"/>
    <n v="1"/>
    <s v="Y"/>
    <x v="1"/>
    <n v="21"/>
    <n v="4"/>
    <n v="1"/>
    <n v="80"/>
    <n v="1"/>
    <n v="13"/>
    <n v="2"/>
    <n v="2"/>
    <n v="13"/>
    <n v="12"/>
    <n v="1"/>
    <n v="9"/>
    <x v="3"/>
    <x v="3"/>
    <x v="0"/>
    <n v="0"/>
  </r>
  <r>
    <x v="11"/>
    <x v="0"/>
    <x v="0"/>
    <n v="1092"/>
    <x v="1"/>
    <n v="1"/>
    <n v="4"/>
    <s v="Medical"/>
    <n v="1"/>
    <n v="2027"/>
    <n v="1"/>
    <x v="1"/>
    <n v="36"/>
    <n v="3"/>
    <x v="1"/>
    <x v="1"/>
    <n v="4"/>
    <x v="1"/>
    <n v="4787"/>
    <n v="26124"/>
    <n v="9"/>
    <s v="Y"/>
    <x v="0"/>
    <n v="14"/>
    <n v="3"/>
    <n v="2"/>
    <n v="80"/>
    <n v="3"/>
    <n v="4"/>
    <n v="3"/>
    <n v="4"/>
    <n v="2"/>
    <n v="2"/>
    <n v="2"/>
    <n v="2"/>
    <x v="2"/>
    <x v="1"/>
    <x v="2"/>
    <n v="1"/>
  </r>
  <r>
    <x v="19"/>
    <x v="1"/>
    <x v="0"/>
    <n v="300"/>
    <x v="1"/>
    <n v="2"/>
    <n v="3"/>
    <s v="Life Sciences"/>
    <n v="1"/>
    <n v="2031"/>
    <n v="1"/>
    <x v="1"/>
    <n v="56"/>
    <n v="3"/>
    <x v="4"/>
    <x v="5"/>
    <n v="3"/>
    <x v="1"/>
    <n v="18880"/>
    <n v="17312"/>
    <n v="5"/>
    <s v="Y"/>
    <x v="1"/>
    <n v="11"/>
    <n v="3"/>
    <n v="1"/>
    <n v="80"/>
    <n v="0"/>
    <n v="24"/>
    <n v="2"/>
    <n v="2"/>
    <n v="22"/>
    <n v="6"/>
    <n v="4"/>
    <n v="14"/>
    <x v="0"/>
    <x v="3"/>
    <x v="3"/>
    <n v="0"/>
  </r>
  <r>
    <x v="29"/>
    <x v="0"/>
    <x v="0"/>
    <n v="310"/>
    <x v="1"/>
    <n v="7"/>
    <n v="2"/>
    <s v="Technical Degree"/>
    <n v="1"/>
    <n v="2032"/>
    <n v="4"/>
    <x v="1"/>
    <n v="72"/>
    <n v="3"/>
    <x v="1"/>
    <x v="2"/>
    <n v="3"/>
    <x v="1"/>
    <n v="2339"/>
    <n v="3666"/>
    <n v="8"/>
    <s v="Y"/>
    <x v="1"/>
    <n v="11"/>
    <n v="3"/>
    <n v="4"/>
    <n v="80"/>
    <n v="1"/>
    <n v="14"/>
    <n v="4"/>
    <n v="1"/>
    <n v="10"/>
    <n v="9"/>
    <n v="9"/>
    <n v="8"/>
    <x v="3"/>
    <x v="0"/>
    <x v="1"/>
    <n v="1"/>
  </r>
  <r>
    <x v="0"/>
    <x v="1"/>
    <x v="0"/>
    <n v="582"/>
    <x v="1"/>
    <n v="28"/>
    <n v="4"/>
    <s v="Life Sciences"/>
    <n v="1"/>
    <n v="2034"/>
    <n v="1"/>
    <x v="0"/>
    <n v="60"/>
    <n v="2"/>
    <x v="3"/>
    <x v="3"/>
    <n v="2"/>
    <x v="1"/>
    <n v="13570"/>
    <n v="5640"/>
    <n v="0"/>
    <s v="Y"/>
    <x v="1"/>
    <n v="23"/>
    <n v="4"/>
    <n v="3"/>
    <n v="80"/>
    <n v="1"/>
    <n v="21"/>
    <n v="3"/>
    <n v="3"/>
    <n v="20"/>
    <n v="7"/>
    <n v="0"/>
    <n v="10"/>
    <x v="0"/>
    <x v="3"/>
    <x v="3"/>
    <n v="0"/>
  </r>
  <r>
    <x v="13"/>
    <x v="1"/>
    <x v="0"/>
    <n v="704"/>
    <x v="0"/>
    <n v="28"/>
    <n v="3"/>
    <s v="Marketing"/>
    <n v="1"/>
    <n v="2035"/>
    <n v="4"/>
    <x v="0"/>
    <n v="95"/>
    <n v="2"/>
    <x v="0"/>
    <x v="0"/>
    <n v="3"/>
    <x v="1"/>
    <n v="6712"/>
    <n v="8978"/>
    <n v="1"/>
    <s v="Y"/>
    <x v="1"/>
    <n v="21"/>
    <n v="4"/>
    <n v="4"/>
    <n v="80"/>
    <n v="2"/>
    <n v="8"/>
    <n v="2"/>
    <n v="3"/>
    <n v="8"/>
    <n v="7"/>
    <n v="1"/>
    <n v="7"/>
    <x v="2"/>
    <x v="0"/>
    <x v="0"/>
    <n v="0"/>
  </r>
  <r>
    <x v="9"/>
    <x v="1"/>
    <x v="2"/>
    <n v="301"/>
    <x v="0"/>
    <n v="15"/>
    <n v="4"/>
    <s v="Marketing"/>
    <n v="1"/>
    <n v="2036"/>
    <n v="4"/>
    <x v="1"/>
    <n v="88"/>
    <n v="1"/>
    <x v="0"/>
    <x v="0"/>
    <n v="4"/>
    <x v="2"/>
    <n v="5406"/>
    <n v="10436"/>
    <n v="1"/>
    <s v="Y"/>
    <x v="1"/>
    <n v="24"/>
    <n v="4"/>
    <n v="1"/>
    <n v="80"/>
    <n v="1"/>
    <n v="15"/>
    <n v="4"/>
    <n v="2"/>
    <n v="15"/>
    <n v="12"/>
    <n v="11"/>
    <n v="11"/>
    <x v="0"/>
    <x v="3"/>
    <x v="0"/>
    <n v="0"/>
  </r>
  <r>
    <x v="0"/>
    <x v="1"/>
    <x v="0"/>
    <n v="930"/>
    <x v="0"/>
    <n v="3"/>
    <n v="3"/>
    <s v="Life Sciences"/>
    <n v="1"/>
    <n v="2037"/>
    <n v="3"/>
    <x v="1"/>
    <n v="57"/>
    <n v="2"/>
    <x v="0"/>
    <x v="0"/>
    <n v="2"/>
    <x v="2"/>
    <n v="8938"/>
    <n v="12227"/>
    <n v="2"/>
    <s v="Y"/>
    <x v="1"/>
    <n v="11"/>
    <n v="3"/>
    <n v="3"/>
    <n v="80"/>
    <n v="1"/>
    <n v="14"/>
    <n v="5"/>
    <n v="3"/>
    <n v="5"/>
    <n v="4"/>
    <n v="0"/>
    <n v="4"/>
    <x v="0"/>
    <x v="2"/>
    <x v="3"/>
    <n v="0"/>
  </r>
  <r>
    <x v="5"/>
    <x v="1"/>
    <x v="0"/>
    <n v="529"/>
    <x v="1"/>
    <n v="2"/>
    <n v="3"/>
    <s v="Technical Degree"/>
    <n v="1"/>
    <n v="2038"/>
    <n v="4"/>
    <x v="1"/>
    <n v="78"/>
    <n v="3"/>
    <x v="1"/>
    <x v="1"/>
    <n v="1"/>
    <x v="0"/>
    <n v="2439"/>
    <n v="11288"/>
    <n v="1"/>
    <s v="Y"/>
    <x v="1"/>
    <n v="14"/>
    <n v="3"/>
    <n v="4"/>
    <n v="80"/>
    <n v="0"/>
    <n v="4"/>
    <n v="4"/>
    <n v="3"/>
    <n v="4"/>
    <n v="2"/>
    <n v="1"/>
    <n v="2"/>
    <x v="2"/>
    <x v="2"/>
    <x v="1"/>
    <n v="0"/>
  </r>
  <r>
    <x v="10"/>
    <x v="1"/>
    <x v="0"/>
    <n v="1146"/>
    <x v="2"/>
    <n v="26"/>
    <n v="4"/>
    <s v="Life Sciences"/>
    <n v="1"/>
    <n v="2040"/>
    <n v="3"/>
    <x v="0"/>
    <n v="31"/>
    <n v="3"/>
    <x v="2"/>
    <x v="8"/>
    <n v="4"/>
    <x v="0"/>
    <n v="8837"/>
    <n v="16642"/>
    <n v="1"/>
    <s v="Y"/>
    <x v="0"/>
    <n v="16"/>
    <n v="3"/>
    <n v="3"/>
    <n v="80"/>
    <n v="0"/>
    <n v="9"/>
    <n v="2"/>
    <n v="3"/>
    <n v="9"/>
    <n v="0"/>
    <n v="1"/>
    <n v="7"/>
    <x v="0"/>
    <x v="0"/>
    <x v="3"/>
    <n v="0"/>
  </r>
  <r>
    <x v="8"/>
    <x v="1"/>
    <x v="0"/>
    <n v="345"/>
    <x v="0"/>
    <n v="10"/>
    <n v="2"/>
    <s v="Life Sciences"/>
    <n v="1"/>
    <n v="2041"/>
    <n v="1"/>
    <x v="0"/>
    <n v="100"/>
    <n v="3"/>
    <x v="0"/>
    <x v="0"/>
    <n v="4"/>
    <x v="1"/>
    <n v="5343"/>
    <n v="5982"/>
    <n v="1"/>
    <s v="Y"/>
    <x v="1"/>
    <n v="11"/>
    <n v="3"/>
    <n v="3"/>
    <n v="80"/>
    <n v="1"/>
    <n v="10"/>
    <n v="1"/>
    <n v="3"/>
    <n v="10"/>
    <n v="7"/>
    <n v="1"/>
    <n v="9"/>
    <x v="0"/>
    <x v="0"/>
    <x v="0"/>
    <n v="0"/>
  </r>
  <r>
    <x v="24"/>
    <x v="0"/>
    <x v="1"/>
    <n v="878"/>
    <x v="0"/>
    <n v="1"/>
    <n v="4"/>
    <s v="Life Sciences"/>
    <n v="1"/>
    <n v="2044"/>
    <n v="2"/>
    <x v="1"/>
    <n v="94"/>
    <n v="3"/>
    <x v="0"/>
    <x v="0"/>
    <n v="3"/>
    <x v="2"/>
    <n v="6728"/>
    <n v="14255"/>
    <n v="7"/>
    <s v="Y"/>
    <x v="1"/>
    <n v="12"/>
    <n v="3"/>
    <n v="4"/>
    <n v="80"/>
    <n v="2"/>
    <n v="12"/>
    <n v="3"/>
    <n v="3"/>
    <n v="6"/>
    <n v="3"/>
    <n v="0"/>
    <n v="1"/>
    <x v="1"/>
    <x v="0"/>
    <x v="0"/>
    <n v="1"/>
  </r>
  <r>
    <x v="9"/>
    <x v="1"/>
    <x v="0"/>
    <n v="1120"/>
    <x v="0"/>
    <n v="11"/>
    <n v="4"/>
    <s v="Marketing"/>
    <n v="1"/>
    <n v="2045"/>
    <n v="2"/>
    <x v="0"/>
    <n v="100"/>
    <n v="2"/>
    <x v="0"/>
    <x v="0"/>
    <n v="4"/>
    <x v="1"/>
    <n v="6652"/>
    <n v="14369"/>
    <n v="4"/>
    <s v="Y"/>
    <x v="1"/>
    <n v="13"/>
    <n v="3"/>
    <n v="1"/>
    <n v="80"/>
    <n v="1"/>
    <n v="8"/>
    <n v="2"/>
    <n v="2"/>
    <n v="6"/>
    <n v="3"/>
    <n v="0"/>
    <n v="0"/>
    <x v="0"/>
    <x v="0"/>
    <x v="0"/>
    <n v="0"/>
  </r>
  <r>
    <x v="28"/>
    <x v="1"/>
    <x v="0"/>
    <n v="374"/>
    <x v="0"/>
    <n v="20"/>
    <n v="3"/>
    <s v="Life Sciences"/>
    <n v="1"/>
    <n v="2046"/>
    <n v="4"/>
    <x v="0"/>
    <n v="50"/>
    <n v="3"/>
    <x v="0"/>
    <x v="0"/>
    <n v="3"/>
    <x v="0"/>
    <n v="4850"/>
    <n v="23333"/>
    <n v="8"/>
    <s v="Y"/>
    <x v="1"/>
    <n v="15"/>
    <n v="3"/>
    <n v="3"/>
    <n v="80"/>
    <n v="0"/>
    <n v="8"/>
    <n v="3"/>
    <n v="3"/>
    <n v="5"/>
    <n v="3"/>
    <n v="0"/>
    <n v="1"/>
    <x v="1"/>
    <x v="2"/>
    <x v="2"/>
    <n v="0"/>
  </r>
  <r>
    <x v="32"/>
    <x v="1"/>
    <x v="0"/>
    <n v="1322"/>
    <x v="1"/>
    <n v="2"/>
    <n v="4"/>
    <s v="Life Sciences"/>
    <n v="1"/>
    <n v="2048"/>
    <n v="3"/>
    <x v="1"/>
    <n v="52"/>
    <n v="2"/>
    <x v="1"/>
    <x v="1"/>
    <n v="3"/>
    <x v="0"/>
    <n v="2809"/>
    <n v="2725"/>
    <n v="2"/>
    <s v="Y"/>
    <x v="1"/>
    <n v="14"/>
    <n v="3"/>
    <n v="4"/>
    <n v="80"/>
    <n v="0"/>
    <n v="8"/>
    <n v="2"/>
    <n v="3"/>
    <n v="2"/>
    <n v="2"/>
    <n v="2"/>
    <n v="2"/>
    <x v="0"/>
    <x v="1"/>
    <x v="1"/>
    <n v="0"/>
  </r>
  <r>
    <x v="10"/>
    <x v="1"/>
    <x v="1"/>
    <n v="1199"/>
    <x v="1"/>
    <n v="18"/>
    <n v="4"/>
    <s v="Life Sciences"/>
    <n v="1"/>
    <n v="2049"/>
    <n v="3"/>
    <x v="1"/>
    <n v="80"/>
    <n v="3"/>
    <x v="0"/>
    <x v="4"/>
    <n v="3"/>
    <x v="1"/>
    <n v="5689"/>
    <n v="24594"/>
    <n v="1"/>
    <s v="Y"/>
    <x v="0"/>
    <n v="14"/>
    <n v="3"/>
    <n v="4"/>
    <n v="80"/>
    <n v="2"/>
    <n v="10"/>
    <n v="2"/>
    <n v="4"/>
    <n v="10"/>
    <n v="2"/>
    <n v="0"/>
    <n v="2"/>
    <x v="0"/>
    <x v="0"/>
    <x v="0"/>
    <n v="0"/>
  </r>
  <r>
    <x v="32"/>
    <x v="1"/>
    <x v="0"/>
    <n v="1194"/>
    <x v="1"/>
    <n v="2"/>
    <n v="4"/>
    <s v="Medical"/>
    <n v="1"/>
    <n v="2051"/>
    <n v="3"/>
    <x v="0"/>
    <n v="98"/>
    <n v="3"/>
    <x v="1"/>
    <x v="1"/>
    <n v="3"/>
    <x v="1"/>
    <n v="2001"/>
    <n v="12549"/>
    <n v="2"/>
    <s v="Y"/>
    <x v="1"/>
    <n v="14"/>
    <n v="3"/>
    <n v="2"/>
    <n v="80"/>
    <n v="3"/>
    <n v="20"/>
    <n v="2"/>
    <n v="3"/>
    <n v="5"/>
    <n v="3"/>
    <n v="0"/>
    <n v="2"/>
    <x v="0"/>
    <x v="2"/>
    <x v="1"/>
    <n v="0"/>
  </r>
  <r>
    <x v="10"/>
    <x v="1"/>
    <x v="0"/>
    <n v="287"/>
    <x v="1"/>
    <n v="1"/>
    <n v="4"/>
    <s v="Life Sciences"/>
    <n v="1"/>
    <n v="2052"/>
    <n v="3"/>
    <x v="0"/>
    <n v="62"/>
    <n v="1"/>
    <x v="1"/>
    <x v="1"/>
    <n v="4"/>
    <x v="1"/>
    <n v="2977"/>
    <n v="8952"/>
    <n v="1"/>
    <s v="Y"/>
    <x v="1"/>
    <n v="12"/>
    <n v="3"/>
    <n v="4"/>
    <n v="80"/>
    <n v="1"/>
    <n v="4"/>
    <n v="5"/>
    <n v="3"/>
    <n v="4"/>
    <n v="3"/>
    <n v="1"/>
    <n v="1"/>
    <x v="0"/>
    <x v="2"/>
    <x v="1"/>
    <n v="0"/>
  </r>
  <r>
    <x v="11"/>
    <x v="1"/>
    <x v="0"/>
    <n v="1378"/>
    <x v="1"/>
    <n v="13"/>
    <n v="2"/>
    <s v="Other"/>
    <n v="1"/>
    <n v="2053"/>
    <n v="4"/>
    <x v="1"/>
    <n v="46"/>
    <n v="2"/>
    <x v="0"/>
    <x v="2"/>
    <n v="2"/>
    <x v="1"/>
    <n v="4025"/>
    <n v="23679"/>
    <n v="4"/>
    <s v="Y"/>
    <x v="0"/>
    <n v="13"/>
    <n v="3"/>
    <n v="1"/>
    <n v="80"/>
    <n v="1"/>
    <n v="10"/>
    <n v="2"/>
    <n v="3"/>
    <n v="4"/>
    <n v="3"/>
    <n v="0"/>
    <n v="3"/>
    <x v="2"/>
    <x v="2"/>
    <x v="2"/>
    <n v="0"/>
  </r>
  <r>
    <x v="11"/>
    <x v="1"/>
    <x v="0"/>
    <n v="468"/>
    <x v="1"/>
    <n v="28"/>
    <n v="4"/>
    <s v="Medical"/>
    <n v="1"/>
    <n v="2054"/>
    <n v="4"/>
    <x v="0"/>
    <n v="73"/>
    <n v="2"/>
    <x v="1"/>
    <x v="1"/>
    <n v="1"/>
    <x v="0"/>
    <n v="3785"/>
    <n v="8489"/>
    <n v="1"/>
    <s v="Y"/>
    <x v="1"/>
    <n v="14"/>
    <n v="3"/>
    <n v="2"/>
    <n v="80"/>
    <n v="0"/>
    <n v="5"/>
    <n v="3"/>
    <n v="1"/>
    <n v="5"/>
    <n v="4"/>
    <n v="0"/>
    <n v="4"/>
    <x v="2"/>
    <x v="2"/>
    <x v="2"/>
    <n v="0"/>
  </r>
  <r>
    <x v="24"/>
    <x v="0"/>
    <x v="0"/>
    <n v="410"/>
    <x v="0"/>
    <n v="28"/>
    <n v="3"/>
    <s v="Marketing"/>
    <n v="1"/>
    <n v="2055"/>
    <n v="4"/>
    <x v="1"/>
    <n v="39"/>
    <n v="2"/>
    <x v="2"/>
    <x v="0"/>
    <n v="1"/>
    <x v="2"/>
    <n v="10854"/>
    <n v="16586"/>
    <n v="4"/>
    <s v="Y"/>
    <x v="0"/>
    <n v="13"/>
    <n v="3"/>
    <n v="2"/>
    <n v="80"/>
    <n v="1"/>
    <n v="20"/>
    <n v="3"/>
    <n v="3"/>
    <n v="3"/>
    <n v="2"/>
    <n v="2"/>
    <n v="0"/>
    <x v="1"/>
    <x v="2"/>
    <x v="3"/>
    <n v="1"/>
  </r>
  <r>
    <x v="22"/>
    <x v="1"/>
    <x v="0"/>
    <n v="722"/>
    <x v="0"/>
    <n v="24"/>
    <n v="1"/>
    <s v="Marketing"/>
    <n v="1"/>
    <n v="2056"/>
    <n v="2"/>
    <x v="0"/>
    <n v="60"/>
    <n v="2"/>
    <x v="3"/>
    <x v="0"/>
    <n v="4"/>
    <x v="1"/>
    <n v="12031"/>
    <n v="8828"/>
    <n v="0"/>
    <s v="Y"/>
    <x v="1"/>
    <n v="11"/>
    <n v="3"/>
    <n v="1"/>
    <n v="80"/>
    <n v="1"/>
    <n v="21"/>
    <n v="2"/>
    <n v="2"/>
    <n v="20"/>
    <n v="9"/>
    <n v="9"/>
    <n v="6"/>
    <x v="0"/>
    <x v="3"/>
    <x v="3"/>
    <n v="0"/>
  </r>
  <r>
    <x v="12"/>
    <x v="1"/>
    <x v="2"/>
    <n v="325"/>
    <x v="1"/>
    <n v="5"/>
    <n v="3"/>
    <s v="Medical"/>
    <n v="1"/>
    <n v="2057"/>
    <n v="2"/>
    <x v="1"/>
    <n v="74"/>
    <n v="3"/>
    <x v="0"/>
    <x v="3"/>
    <n v="1"/>
    <x v="0"/>
    <n v="9936"/>
    <n v="3787"/>
    <n v="0"/>
    <s v="Y"/>
    <x v="1"/>
    <n v="19"/>
    <n v="3"/>
    <n v="2"/>
    <n v="80"/>
    <n v="0"/>
    <n v="10"/>
    <n v="2"/>
    <n v="3"/>
    <n v="9"/>
    <n v="4"/>
    <n v="1"/>
    <n v="7"/>
    <x v="2"/>
    <x v="0"/>
    <x v="3"/>
    <n v="0"/>
  </r>
  <r>
    <x v="25"/>
    <x v="1"/>
    <x v="0"/>
    <n v="1167"/>
    <x v="0"/>
    <n v="5"/>
    <n v="3"/>
    <s v="Other"/>
    <n v="1"/>
    <n v="2060"/>
    <n v="4"/>
    <x v="0"/>
    <n v="30"/>
    <n v="2"/>
    <x v="1"/>
    <x v="6"/>
    <n v="3"/>
    <x v="0"/>
    <n v="2966"/>
    <n v="21378"/>
    <n v="0"/>
    <s v="Y"/>
    <x v="1"/>
    <n v="18"/>
    <n v="3"/>
    <n v="4"/>
    <n v="80"/>
    <n v="0"/>
    <n v="5"/>
    <n v="2"/>
    <n v="3"/>
    <n v="4"/>
    <n v="2"/>
    <n v="0"/>
    <n v="0"/>
    <x v="2"/>
    <x v="2"/>
    <x v="1"/>
    <n v="0"/>
  </r>
  <r>
    <x v="9"/>
    <x v="1"/>
    <x v="1"/>
    <n v="884"/>
    <x v="1"/>
    <n v="23"/>
    <n v="2"/>
    <s v="Medical"/>
    <n v="1"/>
    <n v="2061"/>
    <n v="3"/>
    <x v="1"/>
    <n v="41"/>
    <n v="4"/>
    <x v="0"/>
    <x v="2"/>
    <n v="4"/>
    <x v="1"/>
    <n v="2571"/>
    <n v="12290"/>
    <n v="4"/>
    <s v="Y"/>
    <x v="1"/>
    <n v="17"/>
    <n v="3"/>
    <n v="3"/>
    <n v="80"/>
    <n v="1"/>
    <n v="17"/>
    <n v="3"/>
    <n v="3"/>
    <n v="5"/>
    <n v="2"/>
    <n v="0"/>
    <n v="3"/>
    <x v="0"/>
    <x v="2"/>
    <x v="1"/>
    <n v="0"/>
  </r>
  <r>
    <x v="22"/>
    <x v="1"/>
    <x v="0"/>
    <n v="613"/>
    <x v="1"/>
    <n v="6"/>
    <n v="1"/>
    <s v="Medical"/>
    <n v="1"/>
    <n v="2062"/>
    <n v="4"/>
    <x v="1"/>
    <n v="42"/>
    <n v="2"/>
    <x v="2"/>
    <x v="4"/>
    <n v="1"/>
    <x v="1"/>
    <n v="9991"/>
    <n v="21457"/>
    <n v="4"/>
    <s v="Y"/>
    <x v="1"/>
    <n v="15"/>
    <n v="3"/>
    <n v="1"/>
    <n v="80"/>
    <n v="1"/>
    <n v="9"/>
    <n v="5"/>
    <n v="3"/>
    <n v="7"/>
    <n v="7"/>
    <n v="1"/>
    <n v="7"/>
    <x v="0"/>
    <x v="0"/>
    <x v="3"/>
    <n v="0"/>
  </r>
  <r>
    <x v="4"/>
    <x v="1"/>
    <x v="0"/>
    <n v="155"/>
    <x v="1"/>
    <n v="4"/>
    <n v="3"/>
    <s v="Life Sciences"/>
    <n v="1"/>
    <n v="2064"/>
    <n v="2"/>
    <x v="1"/>
    <n v="87"/>
    <n v="4"/>
    <x v="0"/>
    <x v="3"/>
    <n v="2"/>
    <x v="1"/>
    <n v="6142"/>
    <n v="5174"/>
    <n v="1"/>
    <s v="Y"/>
    <x v="0"/>
    <n v="20"/>
    <n v="4"/>
    <n v="2"/>
    <n v="80"/>
    <n v="1"/>
    <n v="6"/>
    <n v="0"/>
    <n v="3"/>
    <n v="6"/>
    <n v="2"/>
    <n v="0"/>
    <n v="3"/>
    <x v="2"/>
    <x v="0"/>
    <x v="0"/>
    <n v="0"/>
  </r>
  <r>
    <x v="1"/>
    <x v="1"/>
    <x v="1"/>
    <n v="1023"/>
    <x v="0"/>
    <n v="2"/>
    <n v="3"/>
    <s v="Medical"/>
    <n v="1"/>
    <n v="2065"/>
    <n v="4"/>
    <x v="1"/>
    <n v="63"/>
    <n v="2"/>
    <x v="0"/>
    <x v="0"/>
    <n v="2"/>
    <x v="1"/>
    <n v="5390"/>
    <n v="13243"/>
    <n v="2"/>
    <s v="Y"/>
    <x v="1"/>
    <n v="14"/>
    <n v="3"/>
    <n v="4"/>
    <n v="80"/>
    <n v="0"/>
    <n v="17"/>
    <n v="3"/>
    <n v="2"/>
    <n v="9"/>
    <n v="6"/>
    <n v="0"/>
    <n v="8"/>
    <x v="1"/>
    <x v="0"/>
    <x v="0"/>
    <n v="0"/>
  </r>
  <r>
    <x v="13"/>
    <x v="1"/>
    <x v="0"/>
    <n v="628"/>
    <x v="1"/>
    <n v="8"/>
    <n v="3"/>
    <s v="Medical"/>
    <n v="1"/>
    <n v="2068"/>
    <n v="2"/>
    <x v="1"/>
    <n v="82"/>
    <n v="4"/>
    <x v="0"/>
    <x v="2"/>
    <n v="3"/>
    <x v="1"/>
    <n v="4404"/>
    <n v="10228"/>
    <n v="2"/>
    <s v="Y"/>
    <x v="1"/>
    <n v="12"/>
    <n v="3"/>
    <n v="1"/>
    <n v="80"/>
    <n v="0"/>
    <n v="6"/>
    <n v="3"/>
    <n v="4"/>
    <n v="4"/>
    <n v="3"/>
    <n v="1"/>
    <n v="2"/>
    <x v="2"/>
    <x v="2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84EF5-F688-425F-918E-F93E126FAF0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5:D80" firstHeaderRow="1" firstDataRow="2" firstDataCol="1"/>
  <pivotFields count="39">
    <pivotField showAll="0"/>
    <pivotField axis="axisCol"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ttrition by Business Travel" fld="9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45739-E41D-41DA-B8C2-44A3C1D64E1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6" firstHeaderRow="1" firstDataRow="2" firstDataCol="1"/>
  <pivotFields count="39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ttrition by Department" fld="9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D8C74-22E6-4159-91FC-1A5B48E0B3A0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9:D115" firstHeaderRow="1" firstDataRow="2" firstDataCol="1"/>
  <pivotFields count="39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</pivotFields>
  <rowFields count="1">
    <field x="37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ttrition by Income Group" fld="9" subtotal="count" baseField="3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3CDDC-CC82-4B0C-95B4-ACB35165CA9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2:D69" firstHeaderRow="1" firstDataRow="2" firstDataCol="1"/>
  <pivotFields count="39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ttrition by Job Level" fld="9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827D1-815C-4674-81C0-7FF851B6440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6:D91" firstHeaderRow="1" firstDataRow="2" firstDataCol="1"/>
  <pivotFields count="39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ttrition by Marital Status" fld="9" subtotal="count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6A30C-FF81-4465-8109-BD40C65AE02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2:D56" firstHeaderRow="1" firstDataRow="2" firstDataCol="1"/>
  <pivotFields count="39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ttrition by OverTime" fld="9" subtotal="count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3E3F2-0821-4AA1-B7C0-7FA91C189EE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D36" firstHeaderRow="1" firstDataRow="2" firstDataCol="1"/>
  <pivotFields count="39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</pivotFields>
  <rowFields count="1">
    <field x="3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ttrition by Age Group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1986E6-64EF-4129-90EC-C901C6382CE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D23" firstHeaderRow="1" firstDataRow="2" firstDataCol="1"/>
  <pivotFields count="39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ttrition by Job Role" fld="9" subtotal="count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E51C8E-EFDC-44A1-949A-9FCE406E577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7:D103" firstHeaderRow="1" firstDataRow="2" firstDataCol="1"/>
  <pivotFields count="39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3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ttrition by Tenure Group" fld="9" subtotal="count" baseField="3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284F6-D349-4343-AD5A-059EBB0E324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2:D46" firstHeaderRow="1" firstDataRow="2" firstDataCol="1"/>
  <pivotFields count="39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ttrition by Gender" fld="9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6E724A-9CC4-40ED-B3A3-86747D9BCAAB}" name="HR_Data" displayName="HR_Data" ref="A1:AI1471" totalsRowShown="0">
  <autoFilter ref="A1:AI1471" xr:uid="{856E724A-9CC4-40ED-B3A3-86747D9BCAAB}"/>
  <tableColumns count="35">
    <tableColumn id="1" xr3:uid="{D5033FE1-D43C-408C-9FF2-13B542C0FF3F}" name="Age"/>
    <tableColumn id="2" xr3:uid="{F1DE7435-DFC7-4A50-B1F4-F6251845D71C}" name="Attrition"/>
    <tableColumn id="3" xr3:uid="{349457A5-31A4-4BD2-8112-EB25BEB4EB1B}" name="BusinessTravel"/>
    <tableColumn id="4" xr3:uid="{6E0213D9-CEB5-42CA-BE94-219812CF043C}" name="DailyRate"/>
    <tableColumn id="5" xr3:uid="{49A9B7AB-CB85-49DD-A29A-D3A11F169243}" name="Department"/>
    <tableColumn id="6" xr3:uid="{241E5775-BE38-41BB-B078-F5B3CD189F80}" name="DistanceFromHome"/>
    <tableColumn id="7" xr3:uid="{A75666C2-E61F-4CB1-957B-F67B88F47EBF}" name="Education"/>
    <tableColumn id="8" xr3:uid="{B99C2C34-1EB2-454C-AB4C-424643C27F19}" name="EducationField"/>
    <tableColumn id="9" xr3:uid="{339A2672-C014-48D0-8B0F-CEBF3B8C1F7E}" name="EmployeeCount"/>
    <tableColumn id="10" xr3:uid="{A96C24A9-EBE0-4E69-AB7B-A2AFDA417B18}" name="EmployeeNumber"/>
    <tableColumn id="11" xr3:uid="{8EBBBF5B-A73F-4033-A683-736535028FDC}" name="EnvironmentSatisfaction"/>
    <tableColumn id="12" xr3:uid="{E73B4980-F6A4-4B49-9C72-A66B8F115397}" name="Gender"/>
    <tableColumn id="13" xr3:uid="{9C6B00C4-C457-412C-9472-1F71B9A24FE8}" name="HourlyRate"/>
    <tableColumn id="14" xr3:uid="{644D5635-0139-4CE2-B804-22B7D9D22870}" name="JobInvolvement"/>
    <tableColumn id="15" xr3:uid="{35BA655D-AF72-4CF4-BA96-2376660CEF3B}" name="JobLevel"/>
    <tableColumn id="16" xr3:uid="{AF33F858-EF94-4171-BBC0-F98E45F1E006}" name="JobRole"/>
    <tableColumn id="17" xr3:uid="{6FA278A1-E6D5-4F6D-8EED-8985C6637B79}" name="JobSatisfaction"/>
    <tableColumn id="18" xr3:uid="{344CE9DB-3EF9-439E-8A23-E8C44E75272A}" name="MaritalStatus"/>
    <tableColumn id="19" xr3:uid="{CE33A0FE-A300-418A-B946-E588956E7576}" name="MonthlyIncome"/>
    <tableColumn id="20" xr3:uid="{88D6C868-DC1C-4B3A-B643-E6C55DAEEE4C}" name="MonthlyRate"/>
    <tableColumn id="21" xr3:uid="{4AD5F002-C789-4677-983B-7A79C12686FB}" name="NumCompaniesWorked"/>
    <tableColumn id="22" xr3:uid="{9288ECF1-E1AC-4A5D-98DD-C04E31E65A37}" name="Over18"/>
    <tableColumn id="23" xr3:uid="{755F442E-6928-4367-B575-13D0A92F1C00}" name="OverTime"/>
    <tableColumn id="24" xr3:uid="{F110AE49-17A7-41EE-A92B-76189F1F1109}" name="PercentSalaryHike"/>
    <tableColumn id="25" xr3:uid="{C12E6F03-4E3D-4B1D-8387-62F467D3E5B6}" name="PerformanceRating"/>
    <tableColumn id="26" xr3:uid="{4DC8C525-6ADB-4274-A383-6B5DF172E124}" name="RelationshipSatisfaction"/>
    <tableColumn id="27" xr3:uid="{3F5F75DE-E0E3-4FAC-AFA7-6BA8090749FF}" name="StandardHours"/>
    <tableColumn id="28" xr3:uid="{DC221429-D6C6-43BC-B5F7-EECAF3FCEE7E}" name="StockOptionLevel"/>
    <tableColumn id="29" xr3:uid="{042176C0-1725-46F0-A72F-C83462400FDD}" name="TotalWorkingYears"/>
    <tableColumn id="30" xr3:uid="{B34197AD-F13E-4A6C-8972-BFDA9075CFE3}" name="TrainingTimesLastYear"/>
    <tableColumn id="31" xr3:uid="{17D41329-0E26-4862-8C6F-76710F1846FE}" name="WorkLifeBalance"/>
    <tableColumn id="32" xr3:uid="{D70544D0-49B7-472E-915C-4595910261DE}" name="YearsAtCompany"/>
    <tableColumn id="33" xr3:uid="{DFBF128A-5923-43DD-8199-AB6AFDAC9CB4}" name="YearsInCurrentRole"/>
    <tableColumn id="34" xr3:uid="{0C6B9422-7A0E-4C72-9EF9-21EF9334B7A9}" name="YearsSinceLastPromotion"/>
    <tableColumn id="35" xr3:uid="{D6097B57-C287-400C-ADEB-439427069771}" name="YearsWithCurr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FBF3CF-C98C-4FE0-A461-366243D4098D}" name="HR_Cleaned" displayName="HR_Cleaned" ref="A1:AM1471" totalsRowShown="0">
  <autoFilter ref="A1:AM1471" xr:uid="{B4FBF3CF-C98C-4FE0-A461-366243D4098D}"/>
  <tableColumns count="39">
    <tableColumn id="1" xr3:uid="{AC26E250-174D-41E9-835C-2E01D8FC7DF8}" name="Age"/>
    <tableColumn id="2" xr3:uid="{70F1FB64-AF00-4227-A591-D3A5A4D6AA8F}" name="Attrition"/>
    <tableColumn id="3" xr3:uid="{8A8761E6-9A39-45FC-83D0-447A76409A63}" name="BusinessTravel"/>
    <tableColumn id="4" xr3:uid="{BB98259E-5545-4DF6-88F3-9355E846BA4D}" name="DailyRate"/>
    <tableColumn id="5" xr3:uid="{01285190-E52D-49E6-8351-6566CCA267DD}" name="Department"/>
    <tableColumn id="6" xr3:uid="{516BE4F4-D9D4-41E9-A715-3134BC5E67A0}" name="DistanceFromHome"/>
    <tableColumn id="7" xr3:uid="{908A130D-C3E3-4DC5-81F5-5003855C4157}" name="Education"/>
    <tableColumn id="8" xr3:uid="{7BE7BC27-74C9-4517-BE22-4BCD4AF073C2}" name="EducationField"/>
    <tableColumn id="9" xr3:uid="{4AC906AA-47E9-4E18-87AB-707922BD6BBF}" name="EmployeeCount"/>
    <tableColumn id="10" xr3:uid="{1B490EC4-3EFD-4E72-9178-93A1C45C1337}" name="EmployeeNumber"/>
    <tableColumn id="11" xr3:uid="{32AB9896-19BE-4E00-A7A7-86F6CAA82D00}" name="EnvironmentSatisfaction"/>
    <tableColumn id="12" xr3:uid="{F89D7CD1-9E38-4BB5-BA90-307C4F587907}" name="Gender"/>
    <tableColumn id="13" xr3:uid="{F997ADA6-AB5C-4536-AD06-B591B704C5F1}" name="HourlyRate"/>
    <tableColumn id="14" xr3:uid="{F2774778-FE04-46DC-98EF-8979A482D417}" name="JobInvolvement"/>
    <tableColumn id="15" xr3:uid="{AB017524-21B3-4DD0-9BCA-EA50A9488E96}" name="JobLevel"/>
    <tableColumn id="16" xr3:uid="{7A901551-D084-4149-9E23-0FC74895D651}" name="JobRole"/>
    <tableColumn id="17" xr3:uid="{85D400A7-E918-4612-AB68-AA4B9C8EFF75}" name="JobSatisfaction"/>
    <tableColumn id="18" xr3:uid="{8220096C-3CE3-4547-B676-A34AC6D305B7}" name="MaritalStatus"/>
    <tableColumn id="19" xr3:uid="{9D1EEDA9-B171-4F8B-AB33-FAAFE81F138E}" name="MonthlyIncome"/>
    <tableColumn id="20" xr3:uid="{7E3EE1C7-2F68-4536-9EA9-2B7326AE4924}" name="MonthlyRate"/>
    <tableColumn id="21" xr3:uid="{17AA4E0F-166C-4BE6-A5D3-931EB9C560C3}" name="NumCompaniesWorked"/>
    <tableColumn id="22" xr3:uid="{E1A1D1F0-9DDA-4E2D-A1F8-8DF3A5E3717B}" name="Over18"/>
    <tableColumn id="23" xr3:uid="{282A15CB-8F67-4758-8B58-FCD920EF3C5B}" name="OverTime"/>
    <tableColumn id="24" xr3:uid="{C9AF9481-8E75-418B-8855-DCDCB14F7C85}" name="PercentSalaryHike"/>
    <tableColumn id="25" xr3:uid="{A2EBC5EA-94E5-4094-BA6F-8305EDBDB656}" name="PerformanceRating"/>
    <tableColumn id="26" xr3:uid="{DD641CE3-FB9A-4E01-9E4B-B51F1A9FE6F0}" name="RelationshipSatisfaction"/>
    <tableColumn id="27" xr3:uid="{DCACA2F0-E3A3-4843-95B0-44F997E79E63}" name="StandardHours"/>
    <tableColumn id="28" xr3:uid="{3FF62606-EFB5-4F7F-A1EB-AD1E4EC39B80}" name="StockOptionLevel"/>
    <tableColumn id="29" xr3:uid="{C4EB73D6-981B-40C1-A5B5-E76558C1C516}" name="TotalWorkingYears"/>
    <tableColumn id="30" xr3:uid="{B175B6E9-09E7-415C-81F6-6E9D729E0647}" name="TrainingTimesLastYear"/>
    <tableColumn id="31" xr3:uid="{8FEBEBC4-40CF-428E-9317-A82ED2B0AC4C}" name="WorkLifeBalance"/>
    <tableColumn id="32" xr3:uid="{E00ACA23-8347-4A64-84CD-B5963E71CD9D}" name="YearsAtCompany"/>
    <tableColumn id="33" xr3:uid="{AA688948-09A6-4FAE-82CC-0D559B7678AC}" name="YearsInCurrentRole"/>
    <tableColumn id="34" xr3:uid="{7D940EC1-6FF0-4E15-84EF-32F2E6E742FD}" name="YearsSinceLastPromotion"/>
    <tableColumn id="35" xr3:uid="{CB6D8AEF-0953-4212-8139-E754224AAD07}" name="YearsWithCurrManager"/>
    <tableColumn id="36" xr3:uid="{4C5D46E0-5512-4572-8D70-901D4290EE5D}" name="Age Group" dataDxfId="3">
      <calculatedColumnFormula>IF(HR_Cleaned[[#This Row],[Age]]&lt;25,"18-24",IF(HR_Cleaned[[#This Row],[Age]]&lt;35,"25-34",IF(HR_Cleaned[[#This Row],[Age]]&lt;45,"35-44",IF(HR_Cleaned[[#This Row],[Age]]&lt;55,"45-54","55+"))))</calculatedColumnFormula>
    </tableColumn>
    <tableColumn id="37" xr3:uid="{C6A39AF7-9132-4197-AFA7-AF3F75C8275D}" name="Tenure group" dataDxfId="2">
      <calculatedColumnFormula>IF(HR_Cleaned[[#This Row],[YearsAtCompany]]&lt;=2,"0-2 Years",IF(HR_Cleaned[[#This Row],[YearsAtCompany]]&lt;=5,"3-5 Years",IF(HR_Cleaned[[#This Row],[YearsAtCompany]]&lt;=10,"6-10 Years","11+ Years")))</calculatedColumnFormula>
    </tableColumn>
    <tableColumn id="38" xr3:uid="{394D4885-DA54-4CFB-A9F2-4C7926A92483}" name="Income Group" dataDxfId="1">
      <calculatedColumnFormula>IF(HR_Cleaned[[#This Row],[MonthlyIncome]]&lt;3000,"Below 3000",IF(HR_Cleaned[[#This Row],[MonthlyIncome]]&lt;5000,"3000-4999",IF(HR_Cleaned[[#This Row],[MonthlyIncome]]&lt;8000,"5000-7999","8000+")))</calculatedColumnFormula>
    </tableColumn>
    <tableColumn id="39" xr3:uid="{1AECFA8C-F290-420E-A3E6-32F32CEA8C77}" name="Attrition Flag" dataDxfId="0">
      <calculatedColumnFormula>IF(HR_Cleaned[[#This Row],[Attrition]]="Yes",1,0)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28F58-4245-4919-97FD-4AA27965E14F}">
  <dimension ref="A1:AI1471"/>
  <sheetViews>
    <sheetView topLeftCell="AA1" workbookViewId="0">
      <pane ySplit="1" topLeftCell="A1414" activePane="bottomLeft" state="frozen"/>
      <selection pane="bottomLeft" activeCell="AA1" sqref="A1:AI1471"/>
    </sheetView>
  </sheetViews>
  <sheetFormatPr defaultRowHeight="15" x14ac:dyDescent="0.25"/>
  <cols>
    <col min="2" max="2" width="10.5703125" customWidth="1"/>
    <col min="3" max="3" width="16.7109375" customWidth="1"/>
    <col min="4" max="4" width="11.85546875" customWidth="1"/>
    <col min="5" max="5" width="14" customWidth="1"/>
    <col min="6" max="6" width="21.140625" customWidth="1"/>
    <col min="7" max="7" width="12.140625" customWidth="1"/>
    <col min="8" max="8" width="16.5703125" customWidth="1"/>
    <col min="9" max="9" width="17.7109375" customWidth="1"/>
    <col min="10" max="10" width="19.42578125" customWidth="1"/>
    <col min="11" max="11" width="25.42578125" customWidth="1"/>
    <col min="12" max="12" width="9.85546875" customWidth="1"/>
    <col min="13" max="13" width="13.28515625" customWidth="1"/>
    <col min="14" max="14" width="17.42578125" customWidth="1"/>
    <col min="15" max="15" width="11" customWidth="1"/>
    <col min="16" max="16" width="10.28515625" customWidth="1"/>
    <col min="17" max="17" width="16.85546875" customWidth="1"/>
    <col min="18" max="18" width="15" customWidth="1"/>
    <col min="19" max="19" width="17.140625" customWidth="1"/>
    <col min="20" max="20" width="14.5703125" customWidth="1"/>
    <col min="21" max="21" width="24.7109375" customWidth="1"/>
    <col min="22" max="22" width="9.42578125" customWidth="1"/>
    <col min="23" max="23" width="11.85546875" customWidth="1"/>
    <col min="24" max="24" width="19.7109375" customWidth="1"/>
    <col min="25" max="25" width="20.42578125" customWidth="1"/>
    <col min="26" max="26" width="25.28515625" customWidth="1"/>
    <col min="27" max="27" width="16.5703125" customWidth="1"/>
    <col min="28" max="28" width="19.140625" customWidth="1"/>
    <col min="29" max="29" width="20" customWidth="1"/>
    <col min="30" max="30" width="23.42578125" customWidth="1"/>
    <col min="31" max="31" width="18.28515625" customWidth="1"/>
    <col min="32" max="32" width="18.5703125" customWidth="1"/>
    <col min="33" max="33" width="21" customWidth="1"/>
    <col min="34" max="34" width="26.28515625" customWidth="1"/>
    <col min="35" max="35" width="24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88D74-C131-4B6E-8A00-20AE4D071FE1}">
  <dimension ref="A1:AM1471"/>
  <sheetViews>
    <sheetView topLeftCell="J1" workbookViewId="0">
      <selection activeCell="AM3" sqref="AM3"/>
    </sheetView>
  </sheetViews>
  <sheetFormatPr defaultRowHeight="15" x14ac:dyDescent="0.25"/>
  <cols>
    <col min="3" max="3" width="18.28515625" customWidth="1"/>
    <col min="4" max="4" width="13" customWidth="1"/>
    <col min="5" max="5" width="17.42578125" customWidth="1"/>
    <col min="6" max="6" width="22" customWidth="1"/>
    <col min="7" max="7" width="17" customWidth="1"/>
    <col min="8" max="8" width="17.28515625" customWidth="1"/>
    <col min="9" max="9" width="17.42578125" customWidth="1"/>
    <col min="10" max="10" width="25" customWidth="1"/>
    <col min="11" max="11" width="33" customWidth="1"/>
    <col min="12" max="12" width="23.28515625" customWidth="1"/>
    <col min="13" max="13" width="21" customWidth="1"/>
    <col min="14" max="14" width="19.5703125" customWidth="1"/>
    <col min="15" max="15" width="20.28515625" customWidth="1"/>
    <col min="16" max="16" width="26.7109375" customWidth="1"/>
    <col min="17" max="17" width="33.28515625" customWidth="1"/>
    <col min="18" max="18" width="27.7109375" customWidth="1"/>
    <col min="19" max="19" width="28.42578125" customWidth="1"/>
    <col min="20" max="20" width="27.42578125" customWidth="1"/>
    <col min="21" max="21" width="28.5703125" customWidth="1"/>
    <col min="22" max="22" width="23.7109375" customWidth="1"/>
    <col min="23" max="23" width="32" customWidth="1"/>
    <col min="24" max="24" width="20.85546875" customWidth="1"/>
    <col min="25" max="25" width="22.140625" customWidth="1"/>
    <col min="26" max="26" width="34.7109375" customWidth="1"/>
    <col min="27" max="27" width="21.7109375" customWidth="1"/>
    <col min="28" max="28" width="22.7109375" customWidth="1"/>
    <col min="29" max="29" width="26.7109375" customWidth="1"/>
    <col min="30" max="30" width="29.28515625" customWidth="1"/>
    <col min="31" max="31" width="25.7109375" customWidth="1"/>
    <col min="32" max="32" width="23.7109375" customWidth="1"/>
    <col min="33" max="33" width="27.85546875" customWidth="1"/>
    <col min="34" max="34" width="27.42578125" customWidth="1"/>
    <col min="35" max="35" width="7.140625" customWidth="1"/>
    <col min="36" max="36" width="20.28515625" customWidth="1"/>
    <col min="37" max="37" width="9.7109375" customWidth="1"/>
    <col min="38" max="38" width="11.85546875" customWidth="1"/>
    <col min="39" max="39" width="16.2851562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102</v>
      </c>
      <c r="AK1" t="s">
        <v>103</v>
      </c>
      <c r="AL1" t="s">
        <v>104</v>
      </c>
      <c r="AM1" t="s">
        <v>105</v>
      </c>
    </row>
    <row r="2" spans="1:39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>
        <f>IF(HR_Cleaned[[#This Row],[Age]]&lt;25,"18-24",IF(HR_Cleaned[[#This Row],[Age]]&lt;35,"25-34",IF(HR_Cleaned[[#This Row],[Age]]&lt;45,"35-44",IF(HR_Cleaned[[#This Row],[Age]]&lt;55,"45-54","55+"))))</f>
        <v>35-44</v>
      </c>
      <c r="AK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" t="str">
        <f>IF(HR_Cleaned[[#This Row],[MonthlyIncome]]&lt;3000,"Below 3000",IF(HR_Cleaned[[#This Row],[MonthlyIncome]]&lt;5000,"3000-4999",IF(HR_Cleaned[[#This Row],[MonthlyIncome]]&lt;8000,"5000-7999","8000+")))</f>
        <v>5000-7999</v>
      </c>
      <c r="AM2">
        <f>IF(HR_Cleaned[[#This Row],[Attrition]]="Yes",1,0)</f>
        <v>1</v>
      </c>
    </row>
    <row r="3" spans="1:39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>
        <f>IF(HR_Cleaned[[#This Row],[Age]]&lt;25,"18-24",IF(HR_Cleaned[[#This Row],[Age]]&lt;35,"25-34",IF(HR_Cleaned[[#This Row],[Age]]&lt;45,"35-44",IF(HR_Cleaned[[#This Row],[Age]]&lt;55,"45-54","55+"))))</f>
        <v>45-54</v>
      </c>
      <c r="AK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" t="str">
        <f>IF(HR_Cleaned[[#This Row],[MonthlyIncome]]&lt;3000,"Below 3000",IF(HR_Cleaned[[#This Row],[MonthlyIncome]]&lt;5000,"3000-4999",IF(HR_Cleaned[[#This Row],[MonthlyIncome]]&lt;8000,"5000-7999","8000+")))</f>
        <v>5000-7999</v>
      </c>
      <c r="AM3">
        <f>IF(HR_Cleaned[[#This Row],[Attrition]]="Yes",1,0)</f>
        <v>0</v>
      </c>
    </row>
    <row r="4" spans="1:39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>
        <f>IF(HR_Cleaned[[#This Row],[Age]]&lt;25,"18-24",IF(HR_Cleaned[[#This Row],[Age]]&lt;35,"25-34",IF(HR_Cleaned[[#This Row],[Age]]&lt;45,"35-44",IF(HR_Cleaned[[#This Row],[Age]]&lt;55,"45-54","55+"))))</f>
        <v>35-44</v>
      </c>
      <c r="AK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" t="str">
        <f>IF(HR_Cleaned[[#This Row],[MonthlyIncome]]&lt;3000,"Below 3000",IF(HR_Cleaned[[#This Row],[MonthlyIncome]]&lt;5000,"3000-4999",IF(HR_Cleaned[[#This Row],[MonthlyIncome]]&lt;8000,"5000-7999","8000+")))</f>
        <v>Below 3000</v>
      </c>
      <c r="AM4">
        <f>IF(HR_Cleaned[[#This Row],[Attrition]]="Yes",1,0)</f>
        <v>1</v>
      </c>
    </row>
    <row r="5" spans="1:39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>
        <f>IF(HR_Cleaned[[#This Row],[Age]]&lt;25,"18-24",IF(HR_Cleaned[[#This Row],[Age]]&lt;35,"25-34",IF(HR_Cleaned[[#This Row],[Age]]&lt;45,"35-44",IF(HR_Cleaned[[#This Row],[Age]]&lt;55,"45-54","55+"))))</f>
        <v>25-34</v>
      </c>
      <c r="AK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" t="str">
        <f>IF(HR_Cleaned[[#This Row],[MonthlyIncome]]&lt;3000,"Below 3000",IF(HR_Cleaned[[#This Row],[MonthlyIncome]]&lt;5000,"3000-4999",IF(HR_Cleaned[[#This Row],[MonthlyIncome]]&lt;8000,"5000-7999","8000+")))</f>
        <v>Below 3000</v>
      </c>
      <c r="AM5">
        <f>IF(HR_Cleaned[[#This Row],[Attrition]]="Yes",1,0)</f>
        <v>0</v>
      </c>
    </row>
    <row r="6" spans="1:39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>
        <f>IF(HR_Cleaned[[#This Row],[Age]]&lt;25,"18-24",IF(HR_Cleaned[[#This Row],[Age]]&lt;35,"25-34",IF(HR_Cleaned[[#This Row],[Age]]&lt;45,"35-44",IF(HR_Cleaned[[#This Row],[Age]]&lt;55,"45-54","55+"))))</f>
        <v>25-34</v>
      </c>
      <c r="AK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" t="str">
        <f>IF(HR_Cleaned[[#This Row],[MonthlyIncome]]&lt;3000,"Below 3000",IF(HR_Cleaned[[#This Row],[MonthlyIncome]]&lt;5000,"3000-4999",IF(HR_Cleaned[[#This Row],[MonthlyIncome]]&lt;8000,"5000-7999","8000+")))</f>
        <v>3000-4999</v>
      </c>
      <c r="AM6">
        <f>IF(HR_Cleaned[[#This Row],[Attrition]]="Yes",1,0)</f>
        <v>0</v>
      </c>
    </row>
    <row r="7" spans="1:39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>
        <f>IF(HR_Cleaned[[#This Row],[Age]]&lt;25,"18-24",IF(HR_Cleaned[[#This Row],[Age]]&lt;35,"25-34",IF(HR_Cleaned[[#This Row],[Age]]&lt;45,"35-44",IF(HR_Cleaned[[#This Row],[Age]]&lt;55,"45-54","55+"))))</f>
        <v>25-34</v>
      </c>
      <c r="AK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" t="str">
        <f>IF(HR_Cleaned[[#This Row],[MonthlyIncome]]&lt;3000,"Below 3000",IF(HR_Cleaned[[#This Row],[MonthlyIncome]]&lt;5000,"3000-4999",IF(HR_Cleaned[[#This Row],[MonthlyIncome]]&lt;8000,"5000-7999","8000+")))</f>
        <v>3000-4999</v>
      </c>
      <c r="AM7">
        <f>IF(HR_Cleaned[[#This Row],[Attrition]]="Yes",1,0)</f>
        <v>0</v>
      </c>
    </row>
    <row r="8" spans="1:39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>
        <f>IF(HR_Cleaned[[#This Row],[Age]]&lt;25,"18-24",IF(HR_Cleaned[[#This Row],[Age]]&lt;35,"25-34",IF(HR_Cleaned[[#This Row],[Age]]&lt;45,"35-44",IF(HR_Cleaned[[#This Row],[Age]]&lt;55,"45-54","55+"))))</f>
        <v>55+</v>
      </c>
      <c r="AK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" t="str">
        <f>IF(HR_Cleaned[[#This Row],[MonthlyIncome]]&lt;3000,"Below 3000",IF(HR_Cleaned[[#This Row],[MonthlyIncome]]&lt;5000,"3000-4999",IF(HR_Cleaned[[#This Row],[MonthlyIncome]]&lt;8000,"5000-7999","8000+")))</f>
        <v>Below 3000</v>
      </c>
      <c r="AM8">
        <f>IF(HR_Cleaned[[#This Row],[Attrition]]="Yes",1,0)</f>
        <v>0</v>
      </c>
    </row>
    <row r="9" spans="1:39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>
        <f>IF(HR_Cleaned[[#This Row],[Age]]&lt;25,"18-24",IF(HR_Cleaned[[#This Row],[Age]]&lt;35,"25-34",IF(HR_Cleaned[[#This Row],[Age]]&lt;45,"35-44",IF(HR_Cleaned[[#This Row],[Age]]&lt;55,"45-54","55+"))))</f>
        <v>25-34</v>
      </c>
      <c r="AK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9" t="str">
        <f>IF(HR_Cleaned[[#This Row],[MonthlyIncome]]&lt;3000,"Below 3000",IF(HR_Cleaned[[#This Row],[MonthlyIncome]]&lt;5000,"3000-4999",IF(HR_Cleaned[[#This Row],[MonthlyIncome]]&lt;8000,"5000-7999","8000+")))</f>
        <v>Below 3000</v>
      </c>
      <c r="AM9">
        <f>IF(HR_Cleaned[[#This Row],[Attrition]]="Yes",1,0)</f>
        <v>0</v>
      </c>
    </row>
    <row r="10" spans="1:39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>
        <f>IF(HR_Cleaned[[#This Row],[Age]]&lt;25,"18-24",IF(HR_Cleaned[[#This Row],[Age]]&lt;35,"25-34",IF(HR_Cleaned[[#This Row],[Age]]&lt;45,"35-44",IF(HR_Cleaned[[#This Row],[Age]]&lt;55,"45-54","55+"))))</f>
        <v>35-44</v>
      </c>
      <c r="AK1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" t="str">
        <f>IF(HR_Cleaned[[#This Row],[MonthlyIncome]]&lt;3000,"Below 3000",IF(HR_Cleaned[[#This Row],[MonthlyIncome]]&lt;5000,"3000-4999",IF(HR_Cleaned[[#This Row],[MonthlyIncome]]&lt;8000,"5000-7999","8000+")))</f>
        <v>8000+</v>
      </c>
      <c r="AM10">
        <f>IF(HR_Cleaned[[#This Row],[Attrition]]="Yes",1,0)</f>
        <v>0</v>
      </c>
    </row>
    <row r="11" spans="1:39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>
        <f>IF(HR_Cleaned[[#This Row],[Age]]&lt;25,"18-24",IF(HR_Cleaned[[#This Row],[Age]]&lt;35,"25-34",IF(HR_Cleaned[[#This Row],[Age]]&lt;45,"35-44",IF(HR_Cleaned[[#This Row],[Age]]&lt;55,"45-54","55+"))))</f>
        <v>35-44</v>
      </c>
      <c r="AK1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" t="str">
        <f>IF(HR_Cleaned[[#This Row],[MonthlyIncome]]&lt;3000,"Below 3000",IF(HR_Cleaned[[#This Row],[MonthlyIncome]]&lt;5000,"3000-4999",IF(HR_Cleaned[[#This Row],[MonthlyIncome]]&lt;8000,"5000-7999","8000+")))</f>
        <v>5000-7999</v>
      </c>
      <c r="AM11">
        <f>IF(HR_Cleaned[[#This Row],[Attrition]]="Yes",1,0)</f>
        <v>0</v>
      </c>
    </row>
    <row r="12" spans="1:39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>
        <f>IF(HR_Cleaned[[#This Row],[Age]]&lt;25,"18-24",IF(HR_Cleaned[[#This Row],[Age]]&lt;35,"25-34",IF(HR_Cleaned[[#This Row],[Age]]&lt;45,"35-44",IF(HR_Cleaned[[#This Row],[Age]]&lt;55,"45-54","55+"))))</f>
        <v>35-44</v>
      </c>
      <c r="AK1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">
        <f>IF(HR_Cleaned[[#This Row],[Attrition]]="Yes",1,0)</f>
        <v>0</v>
      </c>
    </row>
    <row r="13" spans="1:39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>
        <f>IF(HR_Cleaned[[#This Row],[Age]]&lt;25,"18-24",IF(HR_Cleaned[[#This Row],[Age]]&lt;35,"25-34",IF(HR_Cleaned[[#This Row],[Age]]&lt;45,"35-44",IF(HR_Cleaned[[#This Row],[Age]]&lt;55,"45-54","55+"))))</f>
        <v>25-34</v>
      </c>
      <c r="AK1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" t="str">
        <f>IF(HR_Cleaned[[#This Row],[MonthlyIncome]]&lt;3000,"Below 3000",IF(HR_Cleaned[[#This Row],[MonthlyIncome]]&lt;5000,"3000-4999",IF(HR_Cleaned[[#This Row],[MonthlyIncome]]&lt;8000,"5000-7999","8000+")))</f>
        <v>3000-4999</v>
      </c>
      <c r="AM13">
        <f>IF(HR_Cleaned[[#This Row],[Attrition]]="Yes",1,0)</f>
        <v>0</v>
      </c>
    </row>
    <row r="14" spans="1:39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>
        <f>IF(HR_Cleaned[[#This Row],[Age]]&lt;25,"18-24",IF(HR_Cleaned[[#This Row],[Age]]&lt;35,"25-34",IF(HR_Cleaned[[#This Row],[Age]]&lt;45,"35-44",IF(HR_Cleaned[[#This Row],[Age]]&lt;55,"45-54","55+"))))</f>
        <v>25-34</v>
      </c>
      <c r="AK1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" t="str">
        <f>IF(HR_Cleaned[[#This Row],[MonthlyIncome]]&lt;3000,"Below 3000",IF(HR_Cleaned[[#This Row],[MonthlyIncome]]&lt;5000,"3000-4999",IF(HR_Cleaned[[#This Row],[MonthlyIncome]]&lt;8000,"5000-7999","8000+")))</f>
        <v>Below 3000</v>
      </c>
      <c r="AM14">
        <f>IF(HR_Cleaned[[#This Row],[Attrition]]="Yes",1,0)</f>
        <v>0</v>
      </c>
    </row>
    <row r="15" spans="1:39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>
        <f>IF(HR_Cleaned[[#This Row],[Age]]&lt;25,"18-24",IF(HR_Cleaned[[#This Row],[Age]]&lt;35,"25-34",IF(HR_Cleaned[[#This Row],[Age]]&lt;45,"35-44",IF(HR_Cleaned[[#This Row],[Age]]&lt;55,"45-54","55+"))))</f>
        <v>25-34</v>
      </c>
      <c r="AK15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5" t="str">
        <f>IF(HR_Cleaned[[#This Row],[MonthlyIncome]]&lt;3000,"Below 3000",IF(HR_Cleaned[[#This Row],[MonthlyIncome]]&lt;5000,"3000-4999",IF(HR_Cleaned[[#This Row],[MonthlyIncome]]&lt;8000,"5000-7999","8000+")))</f>
        <v>Below 3000</v>
      </c>
      <c r="AM15">
        <f>IF(HR_Cleaned[[#This Row],[Attrition]]="Yes",1,0)</f>
        <v>0</v>
      </c>
    </row>
    <row r="16" spans="1:39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>
        <f>IF(HR_Cleaned[[#This Row],[Age]]&lt;25,"18-24",IF(HR_Cleaned[[#This Row],[Age]]&lt;35,"25-34",IF(HR_Cleaned[[#This Row],[Age]]&lt;45,"35-44",IF(HR_Cleaned[[#This Row],[Age]]&lt;55,"45-54","55+"))))</f>
        <v>25-34</v>
      </c>
      <c r="AK1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6" t="str">
        <f>IF(HR_Cleaned[[#This Row],[MonthlyIncome]]&lt;3000,"Below 3000",IF(HR_Cleaned[[#This Row],[MonthlyIncome]]&lt;5000,"3000-4999",IF(HR_Cleaned[[#This Row],[MonthlyIncome]]&lt;8000,"5000-7999","8000+")))</f>
        <v>Below 3000</v>
      </c>
      <c r="AM16">
        <f>IF(HR_Cleaned[[#This Row],[Attrition]]="Yes",1,0)</f>
        <v>1</v>
      </c>
    </row>
    <row r="17" spans="1:39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>
        <f>IF(HR_Cleaned[[#This Row],[Age]]&lt;25,"18-24",IF(HR_Cleaned[[#This Row],[Age]]&lt;35,"25-34",IF(HR_Cleaned[[#This Row],[Age]]&lt;45,"35-44",IF(HR_Cleaned[[#This Row],[Age]]&lt;55,"45-54","55+"))))</f>
        <v>25-34</v>
      </c>
      <c r="AK1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7" t="str">
        <f>IF(HR_Cleaned[[#This Row],[MonthlyIncome]]&lt;3000,"Below 3000",IF(HR_Cleaned[[#This Row],[MonthlyIncome]]&lt;5000,"3000-4999",IF(HR_Cleaned[[#This Row],[MonthlyIncome]]&lt;8000,"5000-7999","8000+")))</f>
        <v>8000+</v>
      </c>
      <c r="AM17">
        <f>IF(HR_Cleaned[[#This Row],[Attrition]]="Yes",1,0)</f>
        <v>0</v>
      </c>
    </row>
    <row r="18" spans="1:39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>
        <f>IF(HR_Cleaned[[#This Row],[Age]]&lt;25,"18-24",IF(HR_Cleaned[[#This Row],[Age]]&lt;35,"25-34",IF(HR_Cleaned[[#This Row],[Age]]&lt;45,"35-44",IF(HR_Cleaned[[#This Row],[Age]]&lt;55,"45-54","55+"))))</f>
        <v>25-34</v>
      </c>
      <c r="AK1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8" t="str">
        <f>IF(HR_Cleaned[[#This Row],[MonthlyIncome]]&lt;3000,"Below 3000",IF(HR_Cleaned[[#This Row],[MonthlyIncome]]&lt;5000,"3000-4999",IF(HR_Cleaned[[#This Row],[MonthlyIncome]]&lt;8000,"5000-7999","8000+")))</f>
        <v>3000-4999</v>
      </c>
      <c r="AM18">
        <f>IF(HR_Cleaned[[#This Row],[Attrition]]="Yes",1,0)</f>
        <v>0</v>
      </c>
    </row>
    <row r="19" spans="1:39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>
        <f>IF(HR_Cleaned[[#This Row],[Age]]&lt;25,"18-24",IF(HR_Cleaned[[#This Row],[Age]]&lt;35,"25-34",IF(HR_Cleaned[[#This Row],[Age]]&lt;45,"35-44",IF(HR_Cleaned[[#This Row],[Age]]&lt;55,"45-54","55+"))))</f>
        <v>18-24</v>
      </c>
      <c r="AK1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9" t="str">
        <f>IF(HR_Cleaned[[#This Row],[MonthlyIncome]]&lt;3000,"Below 3000",IF(HR_Cleaned[[#This Row],[MonthlyIncome]]&lt;5000,"3000-4999",IF(HR_Cleaned[[#This Row],[MonthlyIncome]]&lt;8000,"5000-7999","8000+")))</f>
        <v>Below 3000</v>
      </c>
      <c r="AM19">
        <f>IF(HR_Cleaned[[#This Row],[Attrition]]="Yes",1,0)</f>
        <v>0</v>
      </c>
    </row>
    <row r="20" spans="1:39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>
        <f>IF(HR_Cleaned[[#This Row],[Age]]&lt;25,"18-24",IF(HR_Cleaned[[#This Row],[Age]]&lt;35,"25-34",IF(HR_Cleaned[[#This Row],[Age]]&lt;45,"35-44",IF(HR_Cleaned[[#This Row],[Age]]&lt;55,"45-54","55+"))))</f>
        <v>45-54</v>
      </c>
      <c r="AK2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20" t="str">
        <f>IF(HR_Cleaned[[#This Row],[MonthlyIncome]]&lt;3000,"Below 3000",IF(HR_Cleaned[[#This Row],[MonthlyIncome]]&lt;5000,"3000-4999",IF(HR_Cleaned[[#This Row],[MonthlyIncome]]&lt;8000,"5000-7999","8000+")))</f>
        <v>8000+</v>
      </c>
      <c r="AM20">
        <f>IF(HR_Cleaned[[#This Row],[Attrition]]="Yes",1,0)</f>
        <v>0</v>
      </c>
    </row>
    <row r="21" spans="1:39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>
        <f>IF(HR_Cleaned[[#This Row],[Age]]&lt;25,"18-24",IF(HR_Cleaned[[#This Row],[Age]]&lt;35,"25-34",IF(HR_Cleaned[[#This Row],[Age]]&lt;45,"35-44",IF(HR_Cleaned[[#This Row],[Age]]&lt;55,"45-54","55+"))))</f>
        <v>35-44</v>
      </c>
      <c r="AK2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1" t="str">
        <f>IF(HR_Cleaned[[#This Row],[MonthlyIncome]]&lt;3000,"Below 3000",IF(HR_Cleaned[[#This Row],[MonthlyIncome]]&lt;5000,"3000-4999",IF(HR_Cleaned[[#This Row],[MonthlyIncome]]&lt;8000,"5000-7999","8000+")))</f>
        <v>3000-4999</v>
      </c>
      <c r="AM21">
        <f>IF(HR_Cleaned[[#This Row],[Attrition]]="Yes",1,0)</f>
        <v>0</v>
      </c>
    </row>
    <row r="22" spans="1:39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>
        <f>IF(HR_Cleaned[[#This Row],[Age]]&lt;25,"18-24",IF(HR_Cleaned[[#This Row],[Age]]&lt;35,"25-34",IF(HR_Cleaned[[#This Row],[Age]]&lt;45,"35-44",IF(HR_Cleaned[[#This Row],[Age]]&lt;55,"45-54","55+"))))</f>
        <v>18-24</v>
      </c>
      <c r="AK2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2" t="str">
        <f>IF(HR_Cleaned[[#This Row],[MonthlyIncome]]&lt;3000,"Below 3000",IF(HR_Cleaned[[#This Row],[MonthlyIncome]]&lt;5000,"3000-4999",IF(HR_Cleaned[[#This Row],[MonthlyIncome]]&lt;8000,"5000-7999","8000+")))</f>
        <v>3000-4999</v>
      </c>
      <c r="AM22">
        <f>IF(HR_Cleaned[[#This Row],[Attrition]]="Yes",1,0)</f>
        <v>0</v>
      </c>
    </row>
    <row r="23" spans="1:39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>
        <f>IF(HR_Cleaned[[#This Row],[Age]]&lt;25,"18-24",IF(HR_Cleaned[[#This Row],[Age]]&lt;35,"25-34",IF(HR_Cleaned[[#This Row],[Age]]&lt;45,"35-44",IF(HR_Cleaned[[#This Row],[Age]]&lt;55,"45-54","55+"))))</f>
        <v>35-44</v>
      </c>
      <c r="AK2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3" t="str">
        <f>IF(HR_Cleaned[[#This Row],[MonthlyIncome]]&lt;3000,"Below 3000",IF(HR_Cleaned[[#This Row],[MonthlyIncome]]&lt;5000,"3000-4999",IF(HR_Cleaned[[#This Row],[MonthlyIncome]]&lt;8000,"5000-7999","8000+")))</f>
        <v>3000-4999</v>
      </c>
      <c r="AM23">
        <f>IF(HR_Cleaned[[#This Row],[Attrition]]="Yes",1,0)</f>
        <v>1</v>
      </c>
    </row>
    <row r="24" spans="1:39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>
        <f>IF(HR_Cleaned[[#This Row],[Age]]&lt;25,"18-24",IF(HR_Cleaned[[#This Row],[Age]]&lt;35,"25-34",IF(HR_Cleaned[[#This Row],[Age]]&lt;45,"35-44",IF(HR_Cleaned[[#This Row],[Age]]&lt;55,"45-54","55+"))))</f>
        <v>25-34</v>
      </c>
      <c r="AK24" t="str">
        <f>IF(HR_Cleaned[[#This Row],[YearsAtCompany]]&lt;=2,"0-2 Years",IF(HR_Cleaned[[#This Row],[YearsAtCompany]]&lt;=5,"3-5 Years",IF(HR_Cleaned[[#This Row],[YearsAtCompany]]&lt;=10,"6-10 Years","11+ Years")))</f>
        <v>11+ Years</v>
      </c>
      <c r="AL24" t="str">
        <f>IF(HR_Cleaned[[#This Row],[MonthlyIncome]]&lt;3000,"Below 3000",IF(HR_Cleaned[[#This Row],[MonthlyIncome]]&lt;5000,"3000-4999",IF(HR_Cleaned[[#This Row],[MonthlyIncome]]&lt;8000,"5000-7999","8000+")))</f>
        <v>8000+</v>
      </c>
      <c r="AM24">
        <f>IF(HR_Cleaned[[#This Row],[Attrition]]="Yes",1,0)</f>
        <v>0</v>
      </c>
    </row>
    <row r="25" spans="1:39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>
        <f>IF(HR_Cleaned[[#This Row],[Age]]&lt;25,"18-24",IF(HR_Cleaned[[#This Row],[Age]]&lt;35,"25-34",IF(HR_Cleaned[[#This Row],[Age]]&lt;45,"35-44",IF(HR_Cleaned[[#This Row],[Age]]&lt;55,"45-54","55+"))))</f>
        <v>18-24</v>
      </c>
      <c r="AK25" t="str">
        <f>IF(HR_Cleaned[[#This Row],[YearsAtCompany]]&lt;=2,"0-2 Years",IF(HR_Cleaned[[#This Row],[YearsAtCompany]]&lt;=5,"3-5 Years",IF(HR_Cleaned[[#This Row],[YearsAtCompany]]&lt;=10,"6-10 Years","11+ Years")))</f>
        <v>0-2 Years</v>
      </c>
      <c r="AL25" t="str">
        <f>IF(HR_Cleaned[[#This Row],[MonthlyIncome]]&lt;3000,"Below 3000",IF(HR_Cleaned[[#This Row],[MonthlyIncome]]&lt;5000,"3000-4999",IF(HR_Cleaned[[#This Row],[MonthlyIncome]]&lt;8000,"5000-7999","8000+")))</f>
        <v>Below 3000</v>
      </c>
      <c r="AM25">
        <f>IF(HR_Cleaned[[#This Row],[Attrition]]="Yes",1,0)</f>
        <v>0</v>
      </c>
    </row>
    <row r="26" spans="1:39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>
        <f>IF(HR_Cleaned[[#This Row],[Age]]&lt;25,"18-24",IF(HR_Cleaned[[#This Row],[Age]]&lt;35,"25-34",IF(HR_Cleaned[[#This Row],[Age]]&lt;45,"35-44",IF(HR_Cleaned[[#This Row],[Age]]&lt;55,"45-54","55+"))))</f>
        <v>25-34</v>
      </c>
      <c r="AK2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6" t="str">
        <f>IF(HR_Cleaned[[#This Row],[MonthlyIncome]]&lt;3000,"Below 3000",IF(HR_Cleaned[[#This Row],[MonthlyIncome]]&lt;5000,"3000-4999",IF(HR_Cleaned[[#This Row],[MonthlyIncome]]&lt;8000,"5000-7999","8000+")))</f>
        <v>Below 3000</v>
      </c>
      <c r="AM26">
        <f>IF(HR_Cleaned[[#This Row],[Attrition]]="Yes",1,0)</f>
        <v>1</v>
      </c>
    </row>
    <row r="27" spans="1:39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>
        <f>IF(HR_Cleaned[[#This Row],[Age]]&lt;25,"18-24",IF(HR_Cleaned[[#This Row],[Age]]&lt;35,"25-34",IF(HR_Cleaned[[#This Row],[Age]]&lt;45,"35-44",IF(HR_Cleaned[[#This Row],[Age]]&lt;55,"45-54","55+"))))</f>
        <v>45-54</v>
      </c>
      <c r="AK2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27" t="str">
        <f>IF(HR_Cleaned[[#This Row],[MonthlyIncome]]&lt;3000,"Below 3000",IF(HR_Cleaned[[#This Row],[MonthlyIncome]]&lt;5000,"3000-4999",IF(HR_Cleaned[[#This Row],[MonthlyIncome]]&lt;8000,"5000-7999","8000+")))</f>
        <v>8000+</v>
      </c>
      <c r="AM27">
        <f>IF(HR_Cleaned[[#This Row],[Attrition]]="Yes",1,0)</f>
        <v>0</v>
      </c>
    </row>
    <row r="28" spans="1:39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>
        <f>IF(HR_Cleaned[[#This Row],[Age]]&lt;25,"18-24",IF(HR_Cleaned[[#This Row],[Age]]&lt;35,"25-34",IF(HR_Cleaned[[#This Row],[Age]]&lt;45,"35-44",IF(HR_Cleaned[[#This Row],[Age]]&lt;55,"45-54","55+"))))</f>
        <v>25-34</v>
      </c>
      <c r="AK2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8" t="str">
        <f>IF(HR_Cleaned[[#This Row],[MonthlyIncome]]&lt;3000,"Below 3000",IF(HR_Cleaned[[#This Row],[MonthlyIncome]]&lt;5000,"3000-4999",IF(HR_Cleaned[[#This Row],[MonthlyIncome]]&lt;8000,"5000-7999","8000+")))</f>
        <v>3000-4999</v>
      </c>
      <c r="AM28">
        <f>IF(HR_Cleaned[[#This Row],[Attrition]]="Yes",1,0)</f>
        <v>1</v>
      </c>
    </row>
    <row r="29" spans="1:39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>
        <f>IF(HR_Cleaned[[#This Row],[Age]]&lt;25,"18-24",IF(HR_Cleaned[[#This Row],[Age]]&lt;35,"25-34",IF(HR_Cleaned[[#This Row],[Age]]&lt;45,"35-44",IF(HR_Cleaned[[#This Row],[Age]]&lt;55,"45-54","55+"))))</f>
        <v>35-44</v>
      </c>
      <c r="AK2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9" t="str">
        <f>IF(HR_Cleaned[[#This Row],[MonthlyIncome]]&lt;3000,"Below 3000",IF(HR_Cleaned[[#This Row],[MonthlyIncome]]&lt;5000,"3000-4999",IF(HR_Cleaned[[#This Row],[MonthlyIncome]]&lt;8000,"5000-7999","8000+")))</f>
        <v>5000-7999</v>
      </c>
      <c r="AM29">
        <f>IF(HR_Cleaned[[#This Row],[Attrition]]="Yes",1,0)</f>
        <v>0</v>
      </c>
    </row>
    <row r="30" spans="1:39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>
        <f>IF(HR_Cleaned[[#This Row],[Age]]&lt;25,"18-24",IF(HR_Cleaned[[#This Row],[Age]]&lt;35,"25-34",IF(HR_Cleaned[[#This Row],[Age]]&lt;45,"35-44",IF(HR_Cleaned[[#This Row],[Age]]&lt;55,"45-54","55+"))))</f>
        <v>35-44</v>
      </c>
      <c r="AK3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30" t="str">
        <f>IF(HR_Cleaned[[#This Row],[MonthlyIncome]]&lt;3000,"Below 3000",IF(HR_Cleaned[[#This Row],[MonthlyIncome]]&lt;5000,"3000-4999",IF(HR_Cleaned[[#This Row],[MonthlyIncome]]&lt;8000,"5000-7999","8000+")))</f>
        <v>8000+</v>
      </c>
      <c r="AM30">
        <f>IF(HR_Cleaned[[#This Row],[Attrition]]="Yes",1,0)</f>
        <v>0</v>
      </c>
    </row>
    <row r="31" spans="1:39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>
        <f>IF(HR_Cleaned[[#This Row],[Age]]&lt;25,"18-24",IF(HR_Cleaned[[#This Row],[Age]]&lt;35,"25-34",IF(HR_Cleaned[[#This Row],[Age]]&lt;45,"35-44",IF(HR_Cleaned[[#This Row],[Age]]&lt;55,"45-54","55+"))))</f>
        <v>45-54</v>
      </c>
      <c r="AK3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1" t="str">
        <f>IF(HR_Cleaned[[#This Row],[MonthlyIncome]]&lt;3000,"Below 3000",IF(HR_Cleaned[[#This Row],[MonthlyIncome]]&lt;5000,"3000-4999",IF(HR_Cleaned[[#This Row],[MonthlyIncome]]&lt;8000,"5000-7999","8000+")))</f>
        <v>8000+</v>
      </c>
      <c r="AM31">
        <f>IF(HR_Cleaned[[#This Row],[Attrition]]="Yes",1,0)</f>
        <v>0</v>
      </c>
    </row>
    <row r="32" spans="1:39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>
        <f>IF(HR_Cleaned[[#This Row],[Age]]&lt;25,"18-24",IF(HR_Cleaned[[#This Row],[Age]]&lt;35,"25-34",IF(HR_Cleaned[[#This Row],[Age]]&lt;45,"35-44",IF(HR_Cleaned[[#This Row],[Age]]&lt;55,"45-54","55+"))))</f>
        <v>25-34</v>
      </c>
      <c r="AK3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2" t="str">
        <f>IF(HR_Cleaned[[#This Row],[MonthlyIncome]]&lt;3000,"Below 3000",IF(HR_Cleaned[[#This Row],[MonthlyIncome]]&lt;5000,"3000-4999",IF(HR_Cleaned[[#This Row],[MonthlyIncome]]&lt;8000,"5000-7999","8000+")))</f>
        <v>Below 3000</v>
      </c>
      <c r="AM32">
        <f>IF(HR_Cleaned[[#This Row],[Attrition]]="Yes",1,0)</f>
        <v>0</v>
      </c>
    </row>
    <row r="33" spans="1:39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>
        <f>IF(HR_Cleaned[[#This Row],[Age]]&lt;25,"18-24",IF(HR_Cleaned[[#This Row],[Age]]&lt;35,"25-34",IF(HR_Cleaned[[#This Row],[Age]]&lt;45,"35-44",IF(HR_Cleaned[[#This Row],[Age]]&lt;55,"45-54","55+"))))</f>
        <v>35-44</v>
      </c>
      <c r="AK3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3" t="str">
        <f>IF(HR_Cleaned[[#This Row],[MonthlyIncome]]&lt;3000,"Below 3000",IF(HR_Cleaned[[#This Row],[MonthlyIncome]]&lt;5000,"3000-4999",IF(HR_Cleaned[[#This Row],[MonthlyIncome]]&lt;8000,"5000-7999","8000+")))</f>
        <v>5000-7999</v>
      </c>
      <c r="AM33">
        <f>IF(HR_Cleaned[[#This Row],[Attrition]]="Yes",1,0)</f>
        <v>0</v>
      </c>
    </row>
    <row r="34" spans="1:39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>
        <f>IF(HR_Cleaned[[#This Row],[Age]]&lt;25,"18-24",IF(HR_Cleaned[[#This Row],[Age]]&lt;35,"25-34",IF(HR_Cleaned[[#This Row],[Age]]&lt;45,"35-44",IF(HR_Cleaned[[#This Row],[Age]]&lt;55,"45-54","55+"))))</f>
        <v>25-34</v>
      </c>
      <c r="AK3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4" t="str">
        <f>IF(HR_Cleaned[[#This Row],[MonthlyIncome]]&lt;3000,"Below 3000",IF(HR_Cleaned[[#This Row],[MonthlyIncome]]&lt;5000,"3000-4999",IF(HR_Cleaned[[#This Row],[MonthlyIncome]]&lt;8000,"5000-7999","8000+")))</f>
        <v>Below 3000</v>
      </c>
      <c r="AM34">
        <f>IF(HR_Cleaned[[#This Row],[Attrition]]="Yes",1,0)</f>
        <v>0</v>
      </c>
    </row>
    <row r="35" spans="1:39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>
        <f>IF(HR_Cleaned[[#This Row],[Age]]&lt;25,"18-24",IF(HR_Cleaned[[#This Row],[Age]]&lt;35,"25-34",IF(HR_Cleaned[[#This Row],[Age]]&lt;45,"35-44",IF(HR_Cleaned[[#This Row],[Age]]&lt;55,"45-54","55+"))))</f>
        <v>35-44</v>
      </c>
      <c r="AK35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5" t="str">
        <f>IF(HR_Cleaned[[#This Row],[MonthlyIncome]]&lt;3000,"Below 3000",IF(HR_Cleaned[[#This Row],[MonthlyIncome]]&lt;5000,"3000-4999",IF(HR_Cleaned[[#This Row],[MonthlyIncome]]&lt;8000,"5000-7999","8000+")))</f>
        <v>Below 3000</v>
      </c>
      <c r="AM35">
        <f>IF(HR_Cleaned[[#This Row],[Attrition]]="Yes",1,0)</f>
        <v>1</v>
      </c>
    </row>
    <row r="36" spans="1:39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>
        <f>IF(HR_Cleaned[[#This Row],[Age]]&lt;25,"18-24",IF(HR_Cleaned[[#This Row],[Age]]&lt;35,"25-34",IF(HR_Cleaned[[#This Row],[Age]]&lt;45,"35-44",IF(HR_Cleaned[[#This Row],[Age]]&lt;55,"45-54","55+"))))</f>
        <v>18-24</v>
      </c>
      <c r="AK3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6" t="str">
        <f>IF(HR_Cleaned[[#This Row],[MonthlyIncome]]&lt;3000,"Below 3000",IF(HR_Cleaned[[#This Row],[MonthlyIncome]]&lt;5000,"3000-4999",IF(HR_Cleaned[[#This Row],[MonthlyIncome]]&lt;8000,"5000-7999","8000+")))</f>
        <v>Below 3000</v>
      </c>
      <c r="AM36">
        <f>IF(HR_Cleaned[[#This Row],[Attrition]]="Yes",1,0)</f>
        <v>1</v>
      </c>
    </row>
    <row r="37" spans="1:39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>
        <f>IF(HR_Cleaned[[#This Row],[Age]]&lt;25,"18-24",IF(HR_Cleaned[[#This Row],[Age]]&lt;35,"25-34",IF(HR_Cleaned[[#This Row],[Age]]&lt;45,"35-44",IF(HR_Cleaned[[#This Row],[Age]]&lt;55,"45-54","55+"))))</f>
        <v>35-44</v>
      </c>
      <c r="AK3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7" t="str">
        <f>IF(HR_Cleaned[[#This Row],[MonthlyIncome]]&lt;3000,"Below 3000",IF(HR_Cleaned[[#This Row],[MonthlyIncome]]&lt;5000,"3000-4999",IF(HR_Cleaned[[#This Row],[MonthlyIncome]]&lt;8000,"5000-7999","8000+")))</f>
        <v>Below 3000</v>
      </c>
      <c r="AM37">
        <f>IF(HR_Cleaned[[#This Row],[Attrition]]="Yes",1,0)</f>
        <v>0</v>
      </c>
    </row>
    <row r="38" spans="1:39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>
        <f>IF(HR_Cleaned[[#This Row],[Age]]&lt;25,"18-24",IF(HR_Cleaned[[#This Row],[Age]]&lt;35,"25-34",IF(HR_Cleaned[[#This Row],[Age]]&lt;45,"35-44",IF(HR_Cleaned[[#This Row],[Age]]&lt;55,"45-54","55+"))))</f>
        <v>45-54</v>
      </c>
      <c r="AK3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8" t="str">
        <f>IF(HR_Cleaned[[#This Row],[MonthlyIncome]]&lt;3000,"Below 3000",IF(HR_Cleaned[[#This Row],[MonthlyIncome]]&lt;5000,"3000-4999",IF(HR_Cleaned[[#This Row],[MonthlyIncome]]&lt;8000,"5000-7999","8000+")))</f>
        <v>Below 3000</v>
      </c>
      <c r="AM38">
        <f>IF(HR_Cleaned[[#This Row],[Attrition]]="Yes",1,0)</f>
        <v>1</v>
      </c>
    </row>
    <row r="39" spans="1:39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>
        <f>IF(HR_Cleaned[[#This Row],[Age]]&lt;25,"18-24",IF(HR_Cleaned[[#This Row],[Age]]&lt;35,"25-34",IF(HR_Cleaned[[#This Row],[Age]]&lt;45,"35-44",IF(HR_Cleaned[[#This Row],[Age]]&lt;55,"45-54","55+"))))</f>
        <v>35-44</v>
      </c>
      <c r="AK3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9" t="str">
        <f>IF(HR_Cleaned[[#This Row],[MonthlyIncome]]&lt;3000,"Below 3000",IF(HR_Cleaned[[#This Row],[MonthlyIncome]]&lt;5000,"3000-4999",IF(HR_Cleaned[[#This Row],[MonthlyIncome]]&lt;8000,"5000-7999","8000+")))</f>
        <v>Below 3000</v>
      </c>
      <c r="AM39">
        <f>IF(HR_Cleaned[[#This Row],[Attrition]]="Yes",1,0)</f>
        <v>0</v>
      </c>
    </row>
    <row r="40" spans="1:39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>
        <f>IF(HR_Cleaned[[#This Row],[Age]]&lt;25,"18-24",IF(HR_Cleaned[[#This Row],[Age]]&lt;35,"25-34",IF(HR_Cleaned[[#This Row],[Age]]&lt;45,"35-44",IF(HR_Cleaned[[#This Row],[Age]]&lt;55,"45-54","55+"))))</f>
        <v>35-44</v>
      </c>
      <c r="AK4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0" t="str">
        <f>IF(HR_Cleaned[[#This Row],[MonthlyIncome]]&lt;3000,"Below 3000",IF(HR_Cleaned[[#This Row],[MonthlyIncome]]&lt;5000,"3000-4999",IF(HR_Cleaned[[#This Row],[MonthlyIncome]]&lt;8000,"5000-7999","8000+")))</f>
        <v>3000-4999</v>
      </c>
      <c r="AM40">
        <f>IF(HR_Cleaned[[#This Row],[Attrition]]="Yes",1,0)</f>
        <v>0</v>
      </c>
    </row>
    <row r="41" spans="1:39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>
        <f>IF(HR_Cleaned[[#This Row],[Age]]&lt;25,"18-24",IF(HR_Cleaned[[#This Row],[Age]]&lt;35,"25-34",IF(HR_Cleaned[[#This Row],[Age]]&lt;45,"35-44",IF(HR_Cleaned[[#This Row],[Age]]&lt;55,"45-54","55+"))))</f>
        <v>25-34</v>
      </c>
      <c r="AK4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1" t="str">
        <f>IF(HR_Cleaned[[#This Row],[MonthlyIncome]]&lt;3000,"Below 3000",IF(HR_Cleaned[[#This Row],[MonthlyIncome]]&lt;5000,"3000-4999",IF(HR_Cleaned[[#This Row],[MonthlyIncome]]&lt;8000,"5000-7999","8000+")))</f>
        <v>5000-7999</v>
      </c>
      <c r="AM41">
        <f>IF(HR_Cleaned[[#This Row],[Attrition]]="Yes",1,0)</f>
        <v>0</v>
      </c>
    </row>
    <row r="42" spans="1:39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>
        <f>IF(HR_Cleaned[[#This Row],[Age]]&lt;25,"18-24",IF(HR_Cleaned[[#This Row],[Age]]&lt;35,"25-34",IF(HR_Cleaned[[#This Row],[Age]]&lt;45,"35-44",IF(HR_Cleaned[[#This Row],[Age]]&lt;55,"45-54","55+"))))</f>
        <v>35-44</v>
      </c>
      <c r="AK4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2" t="str">
        <f>IF(HR_Cleaned[[#This Row],[MonthlyIncome]]&lt;3000,"Below 3000",IF(HR_Cleaned[[#This Row],[MonthlyIncome]]&lt;5000,"3000-4999",IF(HR_Cleaned[[#This Row],[MonthlyIncome]]&lt;8000,"5000-7999","8000+")))</f>
        <v>Below 3000</v>
      </c>
      <c r="AM42">
        <f>IF(HR_Cleaned[[#This Row],[Attrition]]="Yes",1,0)</f>
        <v>0</v>
      </c>
    </row>
    <row r="43" spans="1:39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>
        <f>IF(HR_Cleaned[[#This Row],[Age]]&lt;25,"18-24",IF(HR_Cleaned[[#This Row],[Age]]&lt;35,"25-34",IF(HR_Cleaned[[#This Row],[Age]]&lt;45,"35-44",IF(HR_Cleaned[[#This Row],[Age]]&lt;55,"45-54","55+"))))</f>
        <v>25-34</v>
      </c>
      <c r="AK4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3" t="str">
        <f>IF(HR_Cleaned[[#This Row],[MonthlyIncome]]&lt;3000,"Below 3000",IF(HR_Cleaned[[#This Row],[MonthlyIncome]]&lt;5000,"3000-4999",IF(HR_Cleaned[[#This Row],[MonthlyIncome]]&lt;8000,"5000-7999","8000+")))</f>
        <v>Below 3000</v>
      </c>
      <c r="AM43">
        <f>IF(HR_Cleaned[[#This Row],[Attrition]]="Yes",1,0)</f>
        <v>0</v>
      </c>
    </row>
    <row r="44" spans="1:39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>
        <f>IF(HR_Cleaned[[#This Row],[Age]]&lt;25,"18-24",IF(HR_Cleaned[[#This Row],[Age]]&lt;35,"25-34",IF(HR_Cleaned[[#This Row],[Age]]&lt;45,"35-44",IF(HR_Cleaned[[#This Row],[Age]]&lt;55,"45-54","55+"))))</f>
        <v>25-34</v>
      </c>
      <c r="AK4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4" t="str">
        <f>IF(HR_Cleaned[[#This Row],[MonthlyIncome]]&lt;3000,"Below 3000",IF(HR_Cleaned[[#This Row],[MonthlyIncome]]&lt;5000,"3000-4999",IF(HR_Cleaned[[#This Row],[MonthlyIncome]]&lt;8000,"5000-7999","8000+")))</f>
        <v>Below 3000</v>
      </c>
      <c r="AM44">
        <f>IF(HR_Cleaned[[#This Row],[Attrition]]="Yes",1,0)</f>
        <v>1</v>
      </c>
    </row>
    <row r="45" spans="1:39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>
        <f>IF(HR_Cleaned[[#This Row],[Age]]&lt;25,"18-24",IF(HR_Cleaned[[#This Row],[Age]]&lt;35,"25-34",IF(HR_Cleaned[[#This Row],[Age]]&lt;45,"35-44",IF(HR_Cleaned[[#This Row],[Age]]&lt;55,"45-54","55+"))))</f>
        <v>25-34</v>
      </c>
      <c r="AK4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5" t="str">
        <f>IF(HR_Cleaned[[#This Row],[MonthlyIncome]]&lt;3000,"Below 3000",IF(HR_Cleaned[[#This Row],[MonthlyIncome]]&lt;5000,"3000-4999",IF(HR_Cleaned[[#This Row],[MonthlyIncome]]&lt;8000,"5000-7999","8000+")))</f>
        <v>8000+</v>
      </c>
      <c r="AM45">
        <f>IF(HR_Cleaned[[#This Row],[Attrition]]="Yes",1,0)</f>
        <v>0</v>
      </c>
    </row>
    <row r="46" spans="1:39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>
        <f>IF(HR_Cleaned[[#This Row],[Age]]&lt;25,"18-24",IF(HR_Cleaned[[#This Row],[Age]]&lt;35,"25-34",IF(HR_Cleaned[[#This Row],[Age]]&lt;45,"35-44",IF(HR_Cleaned[[#This Row],[Age]]&lt;55,"45-54","55+"))))</f>
        <v>25-34</v>
      </c>
      <c r="AK46" t="str">
        <f>IF(HR_Cleaned[[#This Row],[YearsAtCompany]]&lt;=2,"0-2 Years",IF(HR_Cleaned[[#This Row],[YearsAtCompany]]&lt;=5,"3-5 Years",IF(HR_Cleaned[[#This Row],[YearsAtCompany]]&lt;=10,"6-10 Years","11+ Years")))</f>
        <v>11+ Years</v>
      </c>
      <c r="AL46" t="str">
        <f>IF(HR_Cleaned[[#This Row],[MonthlyIncome]]&lt;3000,"Below 3000",IF(HR_Cleaned[[#This Row],[MonthlyIncome]]&lt;5000,"3000-4999",IF(HR_Cleaned[[#This Row],[MonthlyIncome]]&lt;8000,"5000-7999","8000+")))</f>
        <v>3000-4999</v>
      </c>
      <c r="AM46">
        <f>IF(HR_Cleaned[[#This Row],[Attrition]]="Yes",1,0)</f>
        <v>0</v>
      </c>
    </row>
    <row r="47" spans="1:39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>
        <f>IF(HR_Cleaned[[#This Row],[Age]]&lt;25,"18-24",IF(HR_Cleaned[[#This Row],[Age]]&lt;35,"25-34",IF(HR_Cleaned[[#This Row],[Age]]&lt;45,"35-44",IF(HR_Cleaned[[#This Row],[Age]]&lt;55,"45-54","55+"))))</f>
        <v>35-44</v>
      </c>
      <c r="AK4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47" t="str">
        <f>IF(HR_Cleaned[[#This Row],[MonthlyIncome]]&lt;3000,"Below 3000",IF(HR_Cleaned[[#This Row],[MonthlyIncome]]&lt;5000,"3000-4999",IF(HR_Cleaned[[#This Row],[MonthlyIncome]]&lt;8000,"5000-7999","8000+")))</f>
        <v>8000+</v>
      </c>
      <c r="AM47">
        <f>IF(HR_Cleaned[[#This Row],[Attrition]]="Yes",1,0)</f>
        <v>1</v>
      </c>
    </row>
    <row r="48" spans="1:39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>
        <f>IF(HR_Cleaned[[#This Row],[Age]]&lt;25,"18-24",IF(HR_Cleaned[[#This Row],[Age]]&lt;35,"25-34",IF(HR_Cleaned[[#This Row],[Age]]&lt;45,"35-44",IF(HR_Cleaned[[#This Row],[Age]]&lt;55,"45-54","55+"))))</f>
        <v>25-34</v>
      </c>
      <c r="AK4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8" t="str">
        <f>IF(HR_Cleaned[[#This Row],[MonthlyIncome]]&lt;3000,"Below 3000",IF(HR_Cleaned[[#This Row],[MonthlyIncome]]&lt;5000,"3000-4999",IF(HR_Cleaned[[#This Row],[MonthlyIncome]]&lt;8000,"5000-7999","8000+")))</f>
        <v>3000-4999</v>
      </c>
      <c r="AM48">
        <f>IF(HR_Cleaned[[#This Row],[Attrition]]="Yes",1,0)</f>
        <v>0</v>
      </c>
    </row>
    <row r="49" spans="1:39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>
        <f>IF(HR_Cleaned[[#This Row],[Age]]&lt;25,"18-24",IF(HR_Cleaned[[#This Row],[Age]]&lt;35,"25-34",IF(HR_Cleaned[[#This Row],[Age]]&lt;45,"35-44",IF(HR_Cleaned[[#This Row],[Age]]&lt;55,"45-54","55+"))))</f>
        <v>35-44</v>
      </c>
      <c r="AK4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9" t="str">
        <f>IF(HR_Cleaned[[#This Row],[MonthlyIncome]]&lt;3000,"Below 3000",IF(HR_Cleaned[[#This Row],[MonthlyIncome]]&lt;5000,"3000-4999",IF(HR_Cleaned[[#This Row],[MonthlyIncome]]&lt;8000,"5000-7999","8000+")))</f>
        <v>3000-4999</v>
      </c>
      <c r="AM49">
        <f>IF(HR_Cleaned[[#This Row],[Attrition]]="Yes",1,0)</f>
        <v>0</v>
      </c>
    </row>
    <row r="50" spans="1:39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>
        <f>IF(HR_Cleaned[[#This Row],[Age]]&lt;25,"18-24",IF(HR_Cleaned[[#This Row],[Age]]&lt;35,"25-34",IF(HR_Cleaned[[#This Row],[Age]]&lt;45,"35-44",IF(HR_Cleaned[[#This Row],[Age]]&lt;55,"45-54","55+"))))</f>
        <v>45-54</v>
      </c>
      <c r="AK5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0" t="str">
        <f>IF(HR_Cleaned[[#This Row],[MonthlyIncome]]&lt;3000,"Below 3000",IF(HR_Cleaned[[#This Row],[MonthlyIncome]]&lt;5000,"3000-4999",IF(HR_Cleaned[[#This Row],[MonthlyIncome]]&lt;8000,"5000-7999","8000+")))</f>
        <v>5000-7999</v>
      </c>
      <c r="AM50">
        <f>IF(HR_Cleaned[[#This Row],[Attrition]]="Yes",1,0)</f>
        <v>0</v>
      </c>
    </row>
    <row r="51" spans="1:39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>
        <f>IF(HR_Cleaned[[#This Row],[Age]]&lt;25,"18-24",IF(HR_Cleaned[[#This Row],[Age]]&lt;35,"25-34",IF(HR_Cleaned[[#This Row],[Age]]&lt;45,"35-44",IF(HR_Cleaned[[#This Row],[Age]]&lt;55,"45-54","55+"))))</f>
        <v>35-44</v>
      </c>
      <c r="AK5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1" t="str">
        <f>IF(HR_Cleaned[[#This Row],[MonthlyIncome]]&lt;3000,"Below 3000",IF(HR_Cleaned[[#This Row],[MonthlyIncome]]&lt;5000,"3000-4999",IF(HR_Cleaned[[#This Row],[MonthlyIncome]]&lt;8000,"5000-7999","8000+")))</f>
        <v>Below 3000</v>
      </c>
      <c r="AM51">
        <f>IF(HR_Cleaned[[#This Row],[Attrition]]="Yes",1,0)</f>
        <v>0</v>
      </c>
    </row>
    <row r="52" spans="1:39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>
        <f>IF(HR_Cleaned[[#This Row],[Age]]&lt;25,"18-24",IF(HR_Cleaned[[#This Row],[Age]]&lt;35,"25-34",IF(HR_Cleaned[[#This Row],[Age]]&lt;45,"35-44",IF(HR_Cleaned[[#This Row],[Age]]&lt;55,"45-54","55+"))))</f>
        <v>45-54</v>
      </c>
      <c r="AK5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2" t="str">
        <f>IF(HR_Cleaned[[#This Row],[MonthlyIncome]]&lt;3000,"Below 3000",IF(HR_Cleaned[[#This Row],[MonthlyIncome]]&lt;5000,"3000-4999",IF(HR_Cleaned[[#This Row],[MonthlyIncome]]&lt;8000,"5000-7999","8000+")))</f>
        <v>5000-7999</v>
      </c>
      <c r="AM52">
        <f>IF(HR_Cleaned[[#This Row],[Attrition]]="Yes",1,0)</f>
        <v>1</v>
      </c>
    </row>
    <row r="53" spans="1:39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>
        <f>IF(HR_Cleaned[[#This Row],[Age]]&lt;25,"18-24",IF(HR_Cleaned[[#This Row],[Age]]&lt;35,"25-34",IF(HR_Cleaned[[#This Row],[Age]]&lt;45,"35-44",IF(HR_Cleaned[[#This Row],[Age]]&lt;55,"45-54","55+"))))</f>
        <v>25-34</v>
      </c>
      <c r="AK5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3" t="str">
        <f>IF(HR_Cleaned[[#This Row],[MonthlyIncome]]&lt;3000,"Below 3000",IF(HR_Cleaned[[#This Row],[MonthlyIncome]]&lt;5000,"3000-4999",IF(HR_Cleaned[[#This Row],[MonthlyIncome]]&lt;8000,"5000-7999","8000+")))</f>
        <v>3000-4999</v>
      </c>
      <c r="AM53">
        <f>IF(HR_Cleaned[[#This Row],[Attrition]]="Yes",1,0)</f>
        <v>1</v>
      </c>
    </row>
    <row r="54" spans="1:39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>
        <f>IF(HR_Cleaned[[#This Row],[Age]]&lt;25,"18-24",IF(HR_Cleaned[[#This Row],[Age]]&lt;35,"25-34",IF(HR_Cleaned[[#This Row],[Age]]&lt;45,"35-44",IF(HR_Cleaned[[#This Row],[Age]]&lt;55,"45-54","55+"))))</f>
        <v>35-44</v>
      </c>
      <c r="AK5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4" t="str">
        <f>IF(HR_Cleaned[[#This Row],[MonthlyIncome]]&lt;3000,"Below 3000",IF(HR_Cleaned[[#This Row],[MonthlyIncome]]&lt;5000,"3000-4999",IF(HR_Cleaned[[#This Row],[MonthlyIncome]]&lt;8000,"5000-7999","8000+")))</f>
        <v>5000-7999</v>
      </c>
      <c r="AM54">
        <f>IF(HR_Cleaned[[#This Row],[Attrition]]="Yes",1,0)</f>
        <v>0</v>
      </c>
    </row>
    <row r="55" spans="1:39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>
        <f>IF(HR_Cleaned[[#This Row],[Age]]&lt;25,"18-24",IF(HR_Cleaned[[#This Row],[Age]]&lt;35,"25-34",IF(HR_Cleaned[[#This Row],[Age]]&lt;45,"35-44",IF(HR_Cleaned[[#This Row],[Age]]&lt;55,"45-54","55+"))))</f>
        <v>35-44</v>
      </c>
      <c r="AK5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5" t="str">
        <f>IF(HR_Cleaned[[#This Row],[MonthlyIncome]]&lt;3000,"Below 3000",IF(HR_Cleaned[[#This Row],[MonthlyIncome]]&lt;5000,"3000-4999",IF(HR_Cleaned[[#This Row],[MonthlyIncome]]&lt;8000,"5000-7999","8000+")))</f>
        <v>8000+</v>
      </c>
      <c r="AM55">
        <f>IF(HR_Cleaned[[#This Row],[Attrition]]="Yes",1,0)</f>
        <v>0</v>
      </c>
    </row>
    <row r="56" spans="1:39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>
        <f>IF(HR_Cleaned[[#This Row],[Age]]&lt;25,"18-24",IF(HR_Cleaned[[#This Row],[Age]]&lt;35,"25-34",IF(HR_Cleaned[[#This Row],[Age]]&lt;45,"35-44",IF(HR_Cleaned[[#This Row],[Age]]&lt;55,"45-54","55+"))))</f>
        <v>25-34</v>
      </c>
      <c r="AK5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6" t="str">
        <f>IF(HR_Cleaned[[#This Row],[MonthlyIncome]]&lt;3000,"Below 3000",IF(HR_Cleaned[[#This Row],[MonthlyIncome]]&lt;5000,"3000-4999",IF(HR_Cleaned[[#This Row],[MonthlyIncome]]&lt;8000,"5000-7999","8000+")))</f>
        <v>3000-4999</v>
      </c>
      <c r="AM56">
        <f>IF(HR_Cleaned[[#This Row],[Attrition]]="Yes",1,0)</f>
        <v>0</v>
      </c>
    </row>
    <row r="57" spans="1:39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>
        <f>IF(HR_Cleaned[[#This Row],[Age]]&lt;25,"18-24",IF(HR_Cleaned[[#This Row],[Age]]&lt;35,"25-34",IF(HR_Cleaned[[#This Row],[Age]]&lt;45,"35-44",IF(HR_Cleaned[[#This Row],[Age]]&lt;55,"45-54","55+"))))</f>
        <v>25-34</v>
      </c>
      <c r="AK5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57" t="str">
        <f>IF(HR_Cleaned[[#This Row],[MonthlyIncome]]&lt;3000,"Below 3000",IF(HR_Cleaned[[#This Row],[MonthlyIncome]]&lt;5000,"3000-4999",IF(HR_Cleaned[[#This Row],[MonthlyIncome]]&lt;8000,"5000-7999","8000+")))</f>
        <v>8000+</v>
      </c>
      <c r="AM57">
        <f>IF(HR_Cleaned[[#This Row],[Attrition]]="Yes",1,0)</f>
        <v>0</v>
      </c>
    </row>
    <row r="58" spans="1:39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>
        <f>IF(HR_Cleaned[[#This Row],[Age]]&lt;25,"18-24",IF(HR_Cleaned[[#This Row],[Age]]&lt;35,"25-34",IF(HR_Cleaned[[#This Row],[Age]]&lt;45,"35-44",IF(HR_Cleaned[[#This Row],[Age]]&lt;55,"45-54","55+"))))</f>
        <v>35-44</v>
      </c>
      <c r="AK5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8" t="str">
        <f>IF(HR_Cleaned[[#This Row],[MonthlyIncome]]&lt;3000,"Below 3000",IF(HR_Cleaned[[#This Row],[MonthlyIncome]]&lt;5000,"3000-4999",IF(HR_Cleaned[[#This Row],[MonthlyIncome]]&lt;8000,"5000-7999","8000+")))</f>
        <v>8000+</v>
      </c>
      <c r="AM58">
        <f>IF(HR_Cleaned[[#This Row],[Attrition]]="Yes",1,0)</f>
        <v>0</v>
      </c>
    </row>
    <row r="59" spans="1:39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>
        <f>IF(HR_Cleaned[[#This Row],[Age]]&lt;25,"18-24",IF(HR_Cleaned[[#This Row],[Age]]&lt;35,"25-34",IF(HR_Cleaned[[#This Row],[Age]]&lt;45,"35-44",IF(HR_Cleaned[[#This Row],[Age]]&lt;55,"45-54","55+"))))</f>
        <v>35-44</v>
      </c>
      <c r="AK5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9" t="str">
        <f>IF(HR_Cleaned[[#This Row],[MonthlyIncome]]&lt;3000,"Below 3000",IF(HR_Cleaned[[#This Row],[MonthlyIncome]]&lt;5000,"3000-4999",IF(HR_Cleaned[[#This Row],[MonthlyIncome]]&lt;8000,"5000-7999","8000+")))</f>
        <v>3000-4999</v>
      </c>
      <c r="AM59">
        <f>IF(HR_Cleaned[[#This Row],[Attrition]]="Yes",1,0)</f>
        <v>0</v>
      </c>
    </row>
    <row r="60" spans="1:39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>
        <f>IF(HR_Cleaned[[#This Row],[Age]]&lt;25,"18-24",IF(HR_Cleaned[[#This Row],[Age]]&lt;35,"25-34",IF(HR_Cleaned[[#This Row],[Age]]&lt;45,"35-44",IF(HR_Cleaned[[#This Row],[Age]]&lt;55,"45-54","55+"))))</f>
        <v>25-34</v>
      </c>
      <c r="AK6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0" t="str">
        <f>IF(HR_Cleaned[[#This Row],[MonthlyIncome]]&lt;3000,"Below 3000",IF(HR_Cleaned[[#This Row],[MonthlyIncome]]&lt;5000,"3000-4999",IF(HR_Cleaned[[#This Row],[MonthlyIncome]]&lt;8000,"5000-7999","8000+")))</f>
        <v>5000-7999</v>
      </c>
      <c r="AM60">
        <f>IF(HR_Cleaned[[#This Row],[Attrition]]="Yes",1,0)</f>
        <v>0</v>
      </c>
    </row>
    <row r="61" spans="1:39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>
        <f>IF(HR_Cleaned[[#This Row],[Age]]&lt;25,"18-24",IF(HR_Cleaned[[#This Row],[Age]]&lt;35,"25-34",IF(HR_Cleaned[[#This Row],[Age]]&lt;45,"35-44",IF(HR_Cleaned[[#This Row],[Age]]&lt;55,"45-54","55+"))))</f>
        <v>35-44</v>
      </c>
      <c r="AK6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1" t="str">
        <f>IF(HR_Cleaned[[#This Row],[MonthlyIncome]]&lt;3000,"Below 3000",IF(HR_Cleaned[[#This Row],[MonthlyIncome]]&lt;5000,"3000-4999",IF(HR_Cleaned[[#This Row],[MonthlyIncome]]&lt;8000,"5000-7999","8000+")))</f>
        <v>5000-7999</v>
      </c>
      <c r="AM61">
        <f>IF(HR_Cleaned[[#This Row],[Attrition]]="Yes",1,0)</f>
        <v>0</v>
      </c>
    </row>
    <row r="62" spans="1:39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>
        <f>IF(HR_Cleaned[[#This Row],[Age]]&lt;25,"18-24",IF(HR_Cleaned[[#This Row],[Age]]&lt;35,"25-34",IF(HR_Cleaned[[#This Row],[Age]]&lt;45,"35-44",IF(HR_Cleaned[[#This Row],[Age]]&lt;55,"45-54","55+"))))</f>
        <v>25-34</v>
      </c>
      <c r="AK6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2" t="str">
        <f>IF(HR_Cleaned[[#This Row],[MonthlyIncome]]&lt;3000,"Below 3000",IF(HR_Cleaned[[#This Row],[MonthlyIncome]]&lt;5000,"3000-4999",IF(HR_Cleaned[[#This Row],[MonthlyIncome]]&lt;8000,"5000-7999","8000+")))</f>
        <v>5000-7999</v>
      </c>
      <c r="AM62">
        <f>IF(HR_Cleaned[[#This Row],[Attrition]]="Yes",1,0)</f>
        <v>0</v>
      </c>
    </row>
    <row r="63" spans="1:39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>
        <f>IF(HR_Cleaned[[#This Row],[Age]]&lt;25,"18-24",IF(HR_Cleaned[[#This Row],[Age]]&lt;35,"25-34",IF(HR_Cleaned[[#This Row],[Age]]&lt;45,"35-44",IF(HR_Cleaned[[#This Row],[Age]]&lt;55,"45-54","55+"))))</f>
        <v>35-44</v>
      </c>
      <c r="AK6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3" t="str">
        <f>IF(HR_Cleaned[[#This Row],[MonthlyIncome]]&lt;3000,"Below 3000",IF(HR_Cleaned[[#This Row],[MonthlyIncome]]&lt;5000,"3000-4999",IF(HR_Cleaned[[#This Row],[MonthlyIncome]]&lt;8000,"5000-7999","8000+")))</f>
        <v>Below 3000</v>
      </c>
      <c r="AM63">
        <f>IF(HR_Cleaned[[#This Row],[Attrition]]="Yes",1,0)</f>
        <v>0</v>
      </c>
    </row>
    <row r="64" spans="1:39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>
        <f>IF(HR_Cleaned[[#This Row],[Age]]&lt;25,"18-24",IF(HR_Cleaned[[#This Row],[Age]]&lt;35,"25-34",IF(HR_Cleaned[[#This Row],[Age]]&lt;45,"35-44",IF(HR_Cleaned[[#This Row],[Age]]&lt;55,"45-54","55+"))))</f>
        <v>45-54</v>
      </c>
      <c r="AK64" t="str">
        <f>IF(HR_Cleaned[[#This Row],[YearsAtCompany]]&lt;=2,"0-2 Years",IF(HR_Cleaned[[#This Row],[YearsAtCompany]]&lt;=5,"3-5 Years",IF(HR_Cleaned[[#This Row],[YearsAtCompany]]&lt;=10,"6-10 Years","11+ Years")))</f>
        <v>11+ Years</v>
      </c>
      <c r="AL64" t="str">
        <f>IF(HR_Cleaned[[#This Row],[MonthlyIncome]]&lt;3000,"Below 3000",IF(HR_Cleaned[[#This Row],[MonthlyIncome]]&lt;5000,"3000-4999",IF(HR_Cleaned[[#This Row],[MonthlyIncome]]&lt;8000,"5000-7999","8000+")))</f>
        <v>8000+</v>
      </c>
      <c r="AM64">
        <f>IF(HR_Cleaned[[#This Row],[Attrition]]="Yes",1,0)</f>
        <v>0</v>
      </c>
    </row>
    <row r="65" spans="1:39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>
        <f>IF(HR_Cleaned[[#This Row],[Age]]&lt;25,"18-24",IF(HR_Cleaned[[#This Row],[Age]]&lt;35,"25-34",IF(HR_Cleaned[[#This Row],[Age]]&lt;45,"35-44",IF(HR_Cleaned[[#This Row],[Age]]&lt;55,"45-54","55+"))))</f>
        <v>55+</v>
      </c>
      <c r="AK6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65" t="str">
        <f>IF(HR_Cleaned[[#This Row],[MonthlyIncome]]&lt;3000,"Below 3000",IF(HR_Cleaned[[#This Row],[MonthlyIncome]]&lt;5000,"3000-4999",IF(HR_Cleaned[[#This Row],[MonthlyIncome]]&lt;8000,"5000-7999","8000+")))</f>
        <v>5000-7999</v>
      </c>
      <c r="AM65">
        <f>IF(HR_Cleaned[[#This Row],[Attrition]]="Yes",1,0)</f>
        <v>0</v>
      </c>
    </row>
    <row r="66" spans="1:39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>
        <f>IF(HR_Cleaned[[#This Row],[Age]]&lt;25,"18-24",IF(HR_Cleaned[[#This Row],[Age]]&lt;35,"25-34",IF(HR_Cleaned[[#This Row],[Age]]&lt;45,"35-44",IF(HR_Cleaned[[#This Row],[Age]]&lt;55,"45-54","55+"))))</f>
        <v>35-44</v>
      </c>
      <c r="AK66" t="str">
        <f>IF(HR_Cleaned[[#This Row],[YearsAtCompany]]&lt;=2,"0-2 Years",IF(HR_Cleaned[[#This Row],[YearsAtCompany]]&lt;=5,"3-5 Years",IF(HR_Cleaned[[#This Row],[YearsAtCompany]]&lt;=10,"6-10 Years","11+ Years")))</f>
        <v>11+ Years</v>
      </c>
      <c r="AL66" t="str">
        <f>IF(HR_Cleaned[[#This Row],[MonthlyIncome]]&lt;3000,"Below 3000",IF(HR_Cleaned[[#This Row],[MonthlyIncome]]&lt;5000,"3000-4999",IF(HR_Cleaned[[#This Row],[MonthlyIncome]]&lt;8000,"5000-7999","8000+")))</f>
        <v>8000+</v>
      </c>
      <c r="AM66">
        <f>IF(HR_Cleaned[[#This Row],[Attrition]]="Yes",1,0)</f>
        <v>0</v>
      </c>
    </row>
    <row r="67" spans="1:39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>
        <f>IF(HR_Cleaned[[#This Row],[Age]]&lt;25,"18-24",IF(HR_Cleaned[[#This Row],[Age]]&lt;35,"25-34",IF(HR_Cleaned[[#This Row],[Age]]&lt;45,"35-44",IF(HR_Cleaned[[#This Row],[Age]]&lt;55,"45-54","55+"))))</f>
        <v>55+</v>
      </c>
      <c r="AK6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7" t="str">
        <f>IF(HR_Cleaned[[#This Row],[MonthlyIncome]]&lt;3000,"Below 3000",IF(HR_Cleaned[[#This Row],[MonthlyIncome]]&lt;5000,"3000-4999",IF(HR_Cleaned[[#This Row],[MonthlyIncome]]&lt;8000,"5000-7999","8000+")))</f>
        <v>8000+</v>
      </c>
      <c r="AM67">
        <f>IF(HR_Cleaned[[#This Row],[Attrition]]="Yes",1,0)</f>
        <v>0</v>
      </c>
    </row>
    <row r="68" spans="1:39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>
        <f>IF(HR_Cleaned[[#This Row],[Age]]&lt;25,"18-24",IF(HR_Cleaned[[#This Row],[Age]]&lt;35,"25-34",IF(HR_Cleaned[[#This Row],[Age]]&lt;45,"35-44",IF(HR_Cleaned[[#This Row],[Age]]&lt;55,"45-54","55+"))))</f>
        <v>35-44</v>
      </c>
      <c r="AK6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8" t="str">
        <f>IF(HR_Cleaned[[#This Row],[MonthlyIncome]]&lt;3000,"Below 3000",IF(HR_Cleaned[[#This Row],[MonthlyIncome]]&lt;5000,"3000-4999",IF(HR_Cleaned[[#This Row],[MonthlyIncome]]&lt;8000,"5000-7999","8000+")))</f>
        <v>5000-7999</v>
      </c>
      <c r="AM68">
        <f>IF(HR_Cleaned[[#This Row],[Attrition]]="Yes",1,0)</f>
        <v>0</v>
      </c>
    </row>
    <row r="69" spans="1:39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>
        <f>IF(HR_Cleaned[[#This Row],[Age]]&lt;25,"18-24",IF(HR_Cleaned[[#This Row],[Age]]&lt;35,"25-34",IF(HR_Cleaned[[#This Row],[Age]]&lt;45,"35-44",IF(HR_Cleaned[[#This Row],[Age]]&lt;55,"45-54","55+"))))</f>
        <v>45-54</v>
      </c>
      <c r="AK6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9" t="str">
        <f>IF(HR_Cleaned[[#This Row],[MonthlyIncome]]&lt;3000,"Below 3000",IF(HR_Cleaned[[#This Row],[MonthlyIncome]]&lt;5000,"3000-4999",IF(HR_Cleaned[[#This Row],[MonthlyIncome]]&lt;8000,"5000-7999","8000+")))</f>
        <v>8000+</v>
      </c>
      <c r="AM69">
        <f>IF(HR_Cleaned[[#This Row],[Attrition]]="Yes",1,0)</f>
        <v>0</v>
      </c>
    </row>
    <row r="70" spans="1:39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>
        <f>IF(HR_Cleaned[[#This Row],[Age]]&lt;25,"18-24",IF(HR_Cleaned[[#This Row],[Age]]&lt;35,"25-34",IF(HR_Cleaned[[#This Row],[Age]]&lt;45,"35-44",IF(HR_Cleaned[[#This Row],[Age]]&lt;55,"45-54","55+"))))</f>
        <v>35-44</v>
      </c>
      <c r="AK7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0" t="str">
        <f>IF(HR_Cleaned[[#This Row],[MonthlyIncome]]&lt;3000,"Below 3000",IF(HR_Cleaned[[#This Row],[MonthlyIncome]]&lt;5000,"3000-4999",IF(HR_Cleaned[[#This Row],[MonthlyIncome]]&lt;8000,"5000-7999","8000+")))</f>
        <v>Below 3000</v>
      </c>
      <c r="AM70">
        <f>IF(HR_Cleaned[[#This Row],[Attrition]]="Yes",1,0)</f>
        <v>0</v>
      </c>
    </row>
    <row r="71" spans="1:39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>
        <f>IF(HR_Cleaned[[#This Row],[Age]]&lt;25,"18-24",IF(HR_Cleaned[[#This Row],[Age]]&lt;35,"25-34",IF(HR_Cleaned[[#This Row],[Age]]&lt;45,"35-44",IF(HR_Cleaned[[#This Row],[Age]]&lt;55,"45-54","55+"))))</f>
        <v>35-44</v>
      </c>
      <c r="AK7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1" t="str">
        <f>IF(HR_Cleaned[[#This Row],[MonthlyIncome]]&lt;3000,"Below 3000",IF(HR_Cleaned[[#This Row],[MonthlyIncome]]&lt;5000,"3000-4999",IF(HR_Cleaned[[#This Row],[MonthlyIncome]]&lt;8000,"5000-7999","8000+")))</f>
        <v>3000-4999</v>
      </c>
      <c r="AM71">
        <f>IF(HR_Cleaned[[#This Row],[Attrition]]="Yes",1,0)</f>
        <v>1</v>
      </c>
    </row>
    <row r="72" spans="1:39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>
        <f>IF(HR_Cleaned[[#This Row],[Age]]&lt;25,"18-24",IF(HR_Cleaned[[#This Row],[Age]]&lt;35,"25-34",IF(HR_Cleaned[[#This Row],[Age]]&lt;45,"35-44",IF(HR_Cleaned[[#This Row],[Age]]&lt;55,"45-54","55+"))))</f>
        <v>55+</v>
      </c>
      <c r="AK7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2" t="str">
        <f>IF(HR_Cleaned[[#This Row],[MonthlyIncome]]&lt;3000,"Below 3000",IF(HR_Cleaned[[#This Row],[MonthlyIncome]]&lt;5000,"3000-4999",IF(HR_Cleaned[[#This Row],[MonthlyIncome]]&lt;8000,"5000-7999","8000+")))</f>
        <v>5000-7999</v>
      </c>
      <c r="AM72">
        <f>IF(HR_Cleaned[[#This Row],[Attrition]]="Yes",1,0)</f>
        <v>0</v>
      </c>
    </row>
    <row r="73" spans="1:39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>
        <f>IF(HR_Cleaned[[#This Row],[Age]]&lt;25,"18-24",IF(HR_Cleaned[[#This Row],[Age]]&lt;35,"25-34",IF(HR_Cleaned[[#This Row],[Age]]&lt;45,"35-44",IF(HR_Cleaned[[#This Row],[Age]]&lt;55,"45-54","55+"))))</f>
        <v>25-34</v>
      </c>
      <c r="AK7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3" t="str">
        <f>IF(HR_Cleaned[[#This Row],[MonthlyIncome]]&lt;3000,"Below 3000",IF(HR_Cleaned[[#This Row],[MonthlyIncome]]&lt;5000,"3000-4999",IF(HR_Cleaned[[#This Row],[MonthlyIncome]]&lt;8000,"5000-7999","8000+")))</f>
        <v>Below 3000</v>
      </c>
      <c r="AM73">
        <f>IF(HR_Cleaned[[#This Row],[Attrition]]="Yes",1,0)</f>
        <v>0</v>
      </c>
    </row>
    <row r="74" spans="1:39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>
        <f>IF(HR_Cleaned[[#This Row],[Age]]&lt;25,"18-24",IF(HR_Cleaned[[#This Row],[Age]]&lt;35,"25-34",IF(HR_Cleaned[[#This Row],[Age]]&lt;45,"35-44",IF(HR_Cleaned[[#This Row],[Age]]&lt;55,"45-54","55+"))))</f>
        <v>25-34</v>
      </c>
      <c r="AK7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4" t="str">
        <f>IF(HR_Cleaned[[#This Row],[MonthlyIncome]]&lt;3000,"Below 3000",IF(HR_Cleaned[[#This Row],[MonthlyIncome]]&lt;5000,"3000-4999",IF(HR_Cleaned[[#This Row],[MonthlyIncome]]&lt;8000,"5000-7999","8000+")))</f>
        <v>Below 3000</v>
      </c>
      <c r="AM74">
        <f>IF(HR_Cleaned[[#This Row],[Attrition]]="Yes",1,0)</f>
        <v>0</v>
      </c>
    </row>
    <row r="75" spans="1:39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>
        <f>IF(HR_Cleaned[[#This Row],[Age]]&lt;25,"18-24",IF(HR_Cleaned[[#This Row],[Age]]&lt;35,"25-34",IF(HR_Cleaned[[#This Row],[Age]]&lt;45,"35-44",IF(HR_Cleaned[[#This Row],[Age]]&lt;55,"45-54","55+"))))</f>
        <v>25-34</v>
      </c>
      <c r="AK7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5" t="str">
        <f>IF(HR_Cleaned[[#This Row],[MonthlyIncome]]&lt;3000,"Below 3000",IF(HR_Cleaned[[#This Row],[MonthlyIncome]]&lt;5000,"3000-4999",IF(HR_Cleaned[[#This Row],[MonthlyIncome]]&lt;8000,"5000-7999","8000+")))</f>
        <v>5000-7999</v>
      </c>
      <c r="AM75">
        <f>IF(HR_Cleaned[[#This Row],[Attrition]]="Yes",1,0)</f>
        <v>0</v>
      </c>
    </row>
    <row r="76" spans="1:39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>
        <f>IF(HR_Cleaned[[#This Row],[Age]]&lt;25,"18-24",IF(HR_Cleaned[[#This Row],[Age]]&lt;35,"25-34",IF(HR_Cleaned[[#This Row],[Age]]&lt;45,"35-44",IF(HR_Cleaned[[#This Row],[Age]]&lt;55,"45-54","55+"))))</f>
        <v>35-44</v>
      </c>
      <c r="AK7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6" t="str">
        <f>IF(HR_Cleaned[[#This Row],[MonthlyIncome]]&lt;3000,"Below 3000",IF(HR_Cleaned[[#This Row],[MonthlyIncome]]&lt;5000,"3000-4999",IF(HR_Cleaned[[#This Row],[MonthlyIncome]]&lt;8000,"5000-7999","8000+")))</f>
        <v>3000-4999</v>
      </c>
      <c r="AM76">
        <f>IF(HR_Cleaned[[#This Row],[Attrition]]="Yes",1,0)</f>
        <v>0</v>
      </c>
    </row>
    <row r="77" spans="1:39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>
        <f>IF(HR_Cleaned[[#This Row],[Age]]&lt;25,"18-24",IF(HR_Cleaned[[#This Row],[Age]]&lt;35,"25-34",IF(HR_Cleaned[[#This Row],[Age]]&lt;45,"35-44",IF(HR_Cleaned[[#This Row],[Age]]&lt;55,"45-54","55+"))))</f>
        <v>25-34</v>
      </c>
      <c r="AK7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77" t="str">
        <f>IF(HR_Cleaned[[#This Row],[MonthlyIncome]]&lt;3000,"Below 3000",IF(HR_Cleaned[[#This Row],[MonthlyIncome]]&lt;5000,"3000-4999",IF(HR_Cleaned[[#This Row],[MonthlyIncome]]&lt;8000,"5000-7999","8000+")))</f>
        <v>3000-4999</v>
      </c>
      <c r="AM77">
        <f>IF(HR_Cleaned[[#This Row],[Attrition]]="Yes",1,0)</f>
        <v>0</v>
      </c>
    </row>
    <row r="78" spans="1:39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>
        <f>IF(HR_Cleaned[[#This Row],[Age]]&lt;25,"18-24",IF(HR_Cleaned[[#This Row],[Age]]&lt;35,"25-34",IF(HR_Cleaned[[#This Row],[Age]]&lt;45,"35-44",IF(HR_Cleaned[[#This Row],[Age]]&lt;55,"45-54","55+"))))</f>
        <v>35-44</v>
      </c>
      <c r="AK7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78" t="str">
        <f>IF(HR_Cleaned[[#This Row],[MonthlyIncome]]&lt;3000,"Below 3000",IF(HR_Cleaned[[#This Row],[MonthlyIncome]]&lt;5000,"3000-4999",IF(HR_Cleaned[[#This Row],[MonthlyIncome]]&lt;8000,"5000-7999","8000+")))</f>
        <v>3000-4999</v>
      </c>
      <c r="AM78">
        <f>IF(HR_Cleaned[[#This Row],[Attrition]]="Yes",1,0)</f>
        <v>0</v>
      </c>
    </row>
    <row r="79" spans="1:39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>
        <f>IF(HR_Cleaned[[#This Row],[Age]]&lt;25,"18-24",IF(HR_Cleaned[[#This Row],[Age]]&lt;35,"25-34",IF(HR_Cleaned[[#This Row],[Age]]&lt;45,"35-44",IF(HR_Cleaned[[#This Row],[Age]]&lt;55,"45-54","55+"))))</f>
        <v>45-54</v>
      </c>
      <c r="AK7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9" t="str">
        <f>IF(HR_Cleaned[[#This Row],[MonthlyIncome]]&lt;3000,"Below 3000",IF(HR_Cleaned[[#This Row],[MonthlyIncome]]&lt;5000,"3000-4999",IF(HR_Cleaned[[#This Row],[MonthlyIncome]]&lt;8000,"5000-7999","8000+")))</f>
        <v>8000+</v>
      </c>
      <c r="AM79">
        <f>IF(HR_Cleaned[[#This Row],[Attrition]]="Yes",1,0)</f>
        <v>0</v>
      </c>
    </row>
    <row r="80" spans="1:39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>
        <f>IF(HR_Cleaned[[#This Row],[Age]]&lt;25,"18-24",IF(HR_Cleaned[[#This Row],[Age]]&lt;35,"25-34",IF(HR_Cleaned[[#This Row],[Age]]&lt;45,"35-44",IF(HR_Cleaned[[#This Row],[Age]]&lt;55,"45-54","55+"))))</f>
        <v>35-44</v>
      </c>
      <c r="AK8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0" t="str">
        <f>IF(HR_Cleaned[[#This Row],[MonthlyIncome]]&lt;3000,"Below 3000",IF(HR_Cleaned[[#This Row],[MonthlyIncome]]&lt;5000,"3000-4999",IF(HR_Cleaned[[#This Row],[MonthlyIncome]]&lt;8000,"5000-7999","8000+")))</f>
        <v>8000+</v>
      </c>
      <c r="AM80">
        <f>IF(HR_Cleaned[[#This Row],[Attrition]]="Yes",1,0)</f>
        <v>0</v>
      </c>
    </row>
    <row r="81" spans="1:39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>
        <f>IF(HR_Cleaned[[#This Row],[Age]]&lt;25,"18-24",IF(HR_Cleaned[[#This Row],[Age]]&lt;35,"25-34",IF(HR_Cleaned[[#This Row],[Age]]&lt;45,"35-44",IF(HR_Cleaned[[#This Row],[Age]]&lt;55,"45-54","55+"))))</f>
        <v>45-54</v>
      </c>
      <c r="AK8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1" t="str">
        <f>IF(HR_Cleaned[[#This Row],[MonthlyIncome]]&lt;3000,"Below 3000",IF(HR_Cleaned[[#This Row],[MonthlyIncome]]&lt;5000,"3000-4999",IF(HR_Cleaned[[#This Row],[MonthlyIncome]]&lt;8000,"5000-7999","8000+")))</f>
        <v>5000-7999</v>
      </c>
      <c r="AM81">
        <f>IF(HR_Cleaned[[#This Row],[Attrition]]="Yes",1,0)</f>
        <v>0</v>
      </c>
    </row>
    <row r="82" spans="1:39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>
        <f>IF(HR_Cleaned[[#This Row],[Age]]&lt;25,"18-24",IF(HR_Cleaned[[#This Row],[Age]]&lt;35,"25-34",IF(HR_Cleaned[[#This Row],[Age]]&lt;45,"35-44",IF(HR_Cleaned[[#This Row],[Age]]&lt;55,"45-54","55+"))))</f>
        <v>25-34</v>
      </c>
      <c r="AK8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2" t="str">
        <f>IF(HR_Cleaned[[#This Row],[MonthlyIncome]]&lt;3000,"Below 3000",IF(HR_Cleaned[[#This Row],[MonthlyIncome]]&lt;5000,"3000-4999",IF(HR_Cleaned[[#This Row],[MonthlyIncome]]&lt;8000,"5000-7999","8000+")))</f>
        <v>5000-7999</v>
      </c>
      <c r="AM82">
        <f>IF(HR_Cleaned[[#This Row],[Attrition]]="Yes",1,0)</f>
        <v>0</v>
      </c>
    </row>
    <row r="83" spans="1:39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>
        <f>IF(HR_Cleaned[[#This Row],[Age]]&lt;25,"18-24",IF(HR_Cleaned[[#This Row],[Age]]&lt;35,"25-34",IF(HR_Cleaned[[#This Row],[Age]]&lt;45,"35-44",IF(HR_Cleaned[[#This Row],[Age]]&lt;55,"45-54","55+"))))</f>
        <v>35-44</v>
      </c>
      <c r="AK8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3" t="str">
        <f>IF(HR_Cleaned[[#This Row],[MonthlyIncome]]&lt;3000,"Below 3000",IF(HR_Cleaned[[#This Row],[MonthlyIncome]]&lt;5000,"3000-4999",IF(HR_Cleaned[[#This Row],[MonthlyIncome]]&lt;8000,"5000-7999","8000+")))</f>
        <v>Below 3000</v>
      </c>
      <c r="AM83">
        <f>IF(HR_Cleaned[[#This Row],[Attrition]]="Yes",1,0)</f>
        <v>0</v>
      </c>
    </row>
    <row r="84" spans="1:39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>
        <f>IF(HR_Cleaned[[#This Row],[Age]]&lt;25,"18-24",IF(HR_Cleaned[[#This Row],[Age]]&lt;35,"25-34",IF(HR_Cleaned[[#This Row],[Age]]&lt;45,"35-44",IF(HR_Cleaned[[#This Row],[Age]]&lt;55,"45-54","55+"))))</f>
        <v>55+</v>
      </c>
      <c r="AK8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4" t="str">
        <f>IF(HR_Cleaned[[#This Row],[MonthlyIncome]]&lt;3000,"Below 3000",IF(HR_Cleaned[[#This Row],[MonthlyIncome]]&lt;5000,"3000-4999",IF(HR_Cleaned[[#This Row],[MonthlyIncome]]&lt;8000,"5000-7999","8000+")))</f>
        <v>8000+</v>
      </c>
      <c r="AM84">
        <f>IF(HR_Cleaned[[#This Row],[Attrition]]="Yes",1,0)</f>
        <v>0</v>
      </c>
    </row>
    <row r="85" spans="1:39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>
        <f>IF(HR_Cleaned[[#This Row],[Age]]&lt;25,"18-24",IF(HR_Cleaned[[#This Row],[Age]]&lt;35,"25-34",IF(HR_Cleaned[[#This Row],[Age]]&lt;45,"35-44",IF(HR_Cleaned[[#This Row],[Age]]&lt;55,"45-54","55+"))))</f>
        <v>35-44</v>
      </c>
      <c r="AK8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85" t="str">
        <f>IF(HR_Cleaned[[#This Row],[MonthlyIncome]]&lt;3000,"Below 3000",IF(HR_Cleaned[[#This Row],[MonthlyIncome]]&lt;5000,"3000-4999",IF(HR_Cleaned[[#This Row],[MonthlyIncome]]&lt;8000,"5000-7999","8000+")))</f>
        <v>5000-7999</v>
      </c>
      <c r="AM85">
        <f>IF(HR_Cleaned[[#This Row],[Attrition]]="Yes",1,0)</f>
        <v>0</v>
      </c>
    </row>
    <row r="86" spans="1:39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>
        <f>IF(HR_Cleaned[[#This Row],[Age]]&lt;25,"18-24",IF(HR_Cleaned[[#This Row],[Age]]&lt;35,"25-34",IF(HR_Cleaned[[#This Row],[Age]]&lt;45,"35-44",IF(HR_Cleaned[[#This Row],[Age]]&lt;55,"45-54","55+"))))</f>
        <v>25-34</v>
      </c>
      <c r="AK8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6" t="str">
        <f>IF(HR_Cleaned[[#This Row],[MonthlyIncome]]&lt;3000,"Below 3000",IF(HR_Cleaned[[#This Row],[MonthlyIncome]]&lt;5000,"3000-4999",IF(HR_Cleaned[[#This Row],[MonthlyIncome]]&lt;8000,"5000-7999","8000+")))</f>
        <v>3000-4999</v>
      </c>
      <c r="AM86">
        <f>IF(HR_Cleaned[[#This Row],[Attrition]]="Yes",1,0)</f>
        <v>0</v>
      </c>
    </row>
    <row r="87" spans="1:39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>
        <f>IF(HR_Cleaned[[#This Row],[Age]]&lt;25,"18-24",IF(HR_Cleaned[[#This Row],[Age]]&lt;35,"25-34",IF(HR_Cleaned[[#This Row],[Age]]&lt;45,"35-44",IF(HR_Cleaned[[#This Row],[Age]]&lt;55,"45-54","55+"))))</f>
        <v>55+</v>
      </c>
      <c r="AK8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7" t="str">
        <f>IF(HR_Cleaned[[#This Row],[MonthlyIncome]]&lt;3000,"Below 3000",IF(HR_Cleaned[[#This Row],[MonthlyIncome]]&lt;5000,"3000-4999",IF(HR_Cleaned[[#This Row],[MonthlyIncome]]&lt;8000,"5000-7999","8000+")))</f>
        <v>5000-7999</v>
      </c>
      <c r="AM87">
        <f>IF(HR_Cleaned[[#This Row],[Attrition]]="Yes",1,0)</f>
        <v>0</v>
      </c>
    </row>
    <row r="88" spans="1:39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>
        <f>IF(HR_Cleaned[[#This Row],[Age]]&lt;25,"18-24",IF(HR_Cleaned[[#This Row],[Age]]&lt;35,"25-34",IF(HR_Cleaned[[#This Row],[Age]]&lt;45,"35-44",IF(HR_Cleaned[[#This Row],[Age]]&lt;55,"45-54","55+"))))</f>
        <v>18-24</v>
      </c>
      <c r="AK8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8" t="str">
        <f>IF(HR_Cleaned[[#This Row],[MonthlyIncome]]&lt;3000,"Below 3000",IF(HR_Cleaned[[#This Row],[MonthlyIncome]]&lt;5000,"3000-4999",IF(HR_Cleaned[[#This Row],[MonthlyIncome]]&lt;8000,"5000-7999","8000+")))</f>
        <v>Below 3000</v>
      </c>
      <c r="AM88">
        <f>IF(HR_Cleaned[[#This Row],[Attrition]]="Yes",1,0)</f>
        <v>0</v>
      </c>
    </row>
    <row r="89" spans="1:39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>
        <f>IF(HR_Cleaned[[#This Row],[Age]]&lt;25,"18-24",IF(HR_Cleaned[[#This Row],[Age]]&lt;35,"25-34",IF(HR_Cleaned[[#This Row],[Age]]&lt;45,"35-44",IF(HR_Cleaned[[#This Row],[Age]]&lt;55,"45-54","55+"))))</f>
        <v>45-54</v>
      </c>
      <c r="AK8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9" t="str">
        <f>IF(HR_Cleaned[[#This Row],[MonthlyIncome]]&lt;3000,"Below 3000",IF(HR_Cleaned[[#This Row],[MonthlyIncome]]&lt;5000,"3000-4999",IF(HR_Cleaned[[#This Row],[MonthlyIncome]]&lt;8000,"5000-7999","8000+")))</f>
        <v>Below 3000</v>
      </c>
      <c r="AM89">
        <f>IF(HR_Cleaned[[#This Row],[Attrition]]="Yes",1,0)</f>
        <v>0</v>
      </c>
    </row>
    <row r="90" spans="1:39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>
        <f>IF(HR_Cleaned[[#This Row],[Age]]&lt;25,"18-24",IF(HR_Cleaned[[#This Row],[Age]]&lt;35,"25-34",IF(HR_Cleaned[[#This Row],[Age]]&lt;45,"35-44",IF(HR_Cleaned[[#This Row],[Age]]&lt;55,"45-54","55+"))))</f>
        <v>25-34</v>
      </c>
      <c r="AK9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0" t="str">
        <f>IF(HR_Cleaned[[#This Row],[MonthlyIncome]]&lt;3000,"Below 3000",IF(HR_Cleaned[[#This Row],[MonthlyIncome]]&lt;5000,"3000-4999",IF(HR_Cleaned[[#This Row],[MonthlyIncome]]&lt;8000,"5000-7999","8000+")))</f>
        <v>3000-4999</v>
      </c>
      <c r="AM90">
        <f>IF(HR_Cleaned[[#This Row],[Attrition]]="Yes",1,0)</f>
        <v>0</v>
      </c>
    </row>
    <row r="91" spans="1:39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>
        <f>IF(HR_Cleaned[[#This Row],[Age]]&lt;25,"18-24",IF(HR_Cleaned[[#This Row],[Age]]&lt;35,"25-34",IF(HR_Cleaned[[#This Row],[Age]]&lt;45,"35-44",IF(HR_Cleaned[[#This Row],[Age]]&lt;55,"45-54","55+"))))</f>
        <v>45-54</v>
      </c>
      <c r="AK9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1" t="str">
        <f>IF(HR_Cleaned[[#This Row],[MonthlyIncome]]&lt;3000,"Below 3000",IF(HR_Cleaned[[#This Row],[MonthlyIncome]]&lt;5000,"3000-4999",IF(HR_Cleaned[[#This Row],[MonthlyIncome]]&lt;8000,"5000-7999","8000+")))</f>
        <v>8000+</v>
      </c>
      <c r="AM91">
        <f>IF(HR_Cleaned[[#This Row],[Attrition]]="Yes",1,0)</f>
        <v>1</v>
      </c>
    </row>
    <row r="92" spans="1:39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>
        <f>IF(HR_Cleaned[[#This Row],[Age]]&lt;25,"18-24",IF(HR_Cleaned[[#This Row],[Age]]&lt;35,"25-34",IF(HR_Cleaned[[#This Row],[Age]]&lt;45,"35-44",IF(HR_Cleaned[[#This Row],[Age]]&lt;55,"45-54","55+"))))</f>
        <v>35-44</v>
      </c>
      <c r="AK9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2" t="str">
        <f>IF(HR_Cleaned[[#This Row],[MonthlyIncome]]&lt;3000,"Below 3000",IF(HR_Cleaned[[#This Row],[MonthlyIncome]]&lt;5000,"3000-4999",IF(HR_Cleaned[[#This Row],[MonthlyIncome]]&lt;8000,"5000-7999","8000+")))</f>
        <v>8000+</v>
      </c>
      <c r="AM92">
        <f>IF(HR_Cleaned[[#This Row],[Attrition]]="Yes",1,0)</f>
        <v>0</v>
      </c>
    </row>
    <row r="93" spans="1:39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>
        <f>IF(HR_Cleaned[[#This Row],[Age]]&lt;25,"18-24",IF(HR_Cleaned[[#This Row],[Age]]&lt;35,"25-34",IF(HR_Cleaned[[#This Row],[Age]]&lt;45,"35-44",IF(HR_Cleaned[[#This Row],[Age]]&lt;55,"45-54","55+"))))</f>
        <v>45-54</v>
      </c>
      <c r="AK9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3" t="str">
        <f>IF(HR_Cleaned[[#This Row],[MonthlyIncome]]&lt;3000,"Below 3000",IF(HR_Cleaned[[#This Row],[MonthlyIncome]]&lt;5000,"3000-4999",IF(HR_Cleaned[[#This Row],[MonthlyIncome]]&lt;8000,"5000-7999","8000+")))</f>
        <v>5000-7999</v>
      </c>
      <c r="AM93">
        <f>IF(HR_Cleaned[[#This Row],[Attrition]]="Yes",1,0)</f>
        <v>0</v>
      </c>
    </row>
    <row r="94" spans="1:39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>
        <f>IF(HR_Cleaned[[#This Row],[Age]]&lt;25,"18-24",IF(HR_Cleaned[[#This Row],[Age]]&lt;35,"25-34",IF(HR_Cleaned[[#This Row],[Age]]&lt;45,"35-44",IF(HR_Cleaned[[#This Row],[Age]]&lt;55,"45-54","55+"))))</f>
        <v>25-34</v>
      </c>
      <c r="AK94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4" t="str">
        <f>IF(HR_Cleaned[[#This Row],[MonthlyIncome]]&lt;3000,"Below 3000",IF(HR_Cleaned[[#This Row],[MonthlyIncome]]&lt;5000,"3000-4999",IF(HR_Cleaned[[#This Row],[MonthlyIncome]]&lt;8000,"5000-7999","8000+")))</f>
        <v>5000-7999</v>
      </c>
      <c r="AM94">
        <f>IF(HR_Cleaned[[#This Row],[Attrition]]="Yes",1,0)</f>
        <v>0</v>
      </c>
    </row>
    <row r="95" spans="1:39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>
        <f>IF(HR_Cleaned[[#This Row],[Age]]&lt;25,"18-24",IF(HR_Cleaned[[#This Row],[Age]]&lt;35,"25-34",IF(HR_Cleaned[[#This Row],[Age]]&lt;45,"35-44",IF(HR_Cleaned[[#This Row],[Age]]&lt;55,"45-54","55+"))))</f>
        <v>45-54</v>
      </c>
      <c r="AK9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5" t="str">
        <f>IF(HR_Cleaned[[#This Row],[MonthlyIncome]]&lt;3000,"Below 3000",IF(HR_Cleaned[[#This Row],[MonthlyIncome]]&lt;5000,"3000-4999",IF(HR_Cleaned[[#This Row],[MonthlyIncome]]&lt;8000,"5000-7999","8000+")))</f>
        <v>8000+</v>
      </c>
      <c r="AM95">
        <f>IF(HR_Cleaned[[#This Row],[Attrition]]="Yes",1,0)</f>
        <v>0</v>
      </c>
    </row>
    <row r="96" spans="1:39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>
        <f>IF(HR_Cleaned[[#This Row],[Age]]&lt;25,"18-24",IF(HR_Cleaned[[#This Row],[Age]]&lt;35,"25-34",IF(HR_Cleaned[[#This Row],[Age]]&lt;45,"35-44",IF(HR_Cleaned[[#This Row],[Age]]&lt;55,"45-54","55+"))))</f>
        <v>25-34</v>
      </c>
      <c r="AK96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6" t="str">
        <f>IF(HR_Cleaned[[#This Row],[MonthlyIncome]]&lt;3000,"Below 3000",IF(HR_Cleaned[[#This Row],[MonthlyIncome]]&lt;5000,"3000-4999",IF(HR_Cleaned[[#This Row],[MonthlyIncome]]&lt;8000,"5000-7999","8000+")))</f>
        <v>5000-7999</v>
      </c>
      <c r="AM96">
        <f>IF(HR_Cleaned[[#This Row],[Attrition]]="Yes",1,0)</f>
        <v>0</v>
      </c>
    </row>
    <row r="97" spans="1:39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>
        <f>IF(HR_Cleaned[[#This Row],[Age]]&lt;25,"18-24",IF(HR_Cleaned[[#This Row],[Age]]&lt;35,"25-34",IF(HR_Cleaned[[#This Row],[Age]]&lt;45,"35-44",IF(HR_Cleaned[[#This Row],[Age]]&lt;55,"45-54","55+"))))</f>
        <v>45-54</v>
      </c>
      <c r="AK9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7" t="str">
        <f>IF(HR_Cleaned[[#This Row],[MonthlyIncome]]&lt;3000,"Below 3000",IF(HR_Cleaned[[#This Row],[MonthlyIncome]]&lt;5000,"3000-4999",IF(HR_Cleaned[[#This Row],[MonthlyIncome]]&lt;8000,"5000-7999","8000+")))</f>
        <v>8000+</v>
      </c>
      <c r="AM97">
        <f>IF(HR_Cleaned[[#This Row],[Attrition]]="Yes",1,0)</f>
        <v>0</v>
      </c>
    </row>
    <row r="98" spans="1:39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>
        <f>IF(HR_Cleaned[[#This Row],[Age]]&lt;25,"18-24",IF(HR_Cleaned[[#This Row],[Age]]&lt;35,"25-34",IF(HR_Cleaned[[#This Row],[Age]]&lt;45,"35-44",IF(HR_Cleaned[[#This Row],[Age]]&lt;55,"45-54","55+"))))</f>
        <v>18-24</v>
      </c>
      <c r="AK9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8" t="str">
        <f>IF(HR_Cleaned[[#This Row],[MonthlyIncome]]&lt;3000,"Below 3000",IF(HR_Cleaned[[#This Row],[MonthlyIncome]]&lt;5000,"3000-4999",IF(HR_Cleaned[[#This Row],[MonthlyIncome]]&lt;8000,"5000-7999","8000+")))</f>
        <v>3000-4999</v>
      </c>
      <c r="AM98">
        <f>IF(HR_Cleaned[[#This Row],[Attrition]]="Yes",1,0)</f>
        <v>0</v>
      </c>
    </row>
    <row r="99" spans="1:39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>
        <f>IF(HR_Cleaned[[#This Row],[Age]]&lt;25,"18-24",IF(HR_Cleaned[[#This Row],[Age]]&lt;35,"25-34",IF(HR_Cleaned[[#This Row],[Age]]&lt;45,"35-44",IF(HR_Cleaned[[#This Row],[Age]]&lt;55,"45-54","55+"))))</f>
        <v>25-34</v>
      </c>
      <c r="AK9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9" t="str">
        <f>IF(HR_Cleaned[[#This Row],[MonthlyIncome]]&lt;3000,"Below 3000",IF(HR_Cleaned[[#This Row],[MonthlyIncome]]&lt;5000,"3000-4999",IF(HR_Cleaned[[#This Row],[MonthlyIncome]]&lt;8000,"5000-7999","8000+")))</f>
        <v>3000-4999</v>
      </c>
      <c r="AM99">
        <f>IF(HR_Cleaned[[#This Row],[Attrition]]="Yes",1,0)</f>
        <v>0</v>
      </c>
    </row>
    <row r="100" spans="1:39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>
        <f>IF(HR_Cleaned[[#This Row],[Age]]&lt;25,"18-24",IF(HR_Cleaned[[#This Row],[Age]]&lt;35,"25-34",IF(HR_Cleaned[[#This Row],[Age]]&lt;45,"35-44",IF(HR_Cleaned[[#This Row],[Age]]&lt;55,"45-54","55+"))))</f>
        <v>55+</v>
      </c>
      <c r="AK10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00" t="str">
        <f>IF(HR_Cleaned[[#This Row],[MonthlyIncome]]&lt;3000,"Below 3000",IF(HR_Cleaned[[#This Row],[MonthlyIncome]]&lt;5000,"3000-4999",IF(HR_Cleaned[[#This Row],[MonthlyIncome]]&lt;8000,"5000-7999","8000+")))</f>
        <v>8000+</v>
      </c>
      <c r="AM100">
        <f>IF(HR_Cleaned[[#This Row],[Attrition]]="Yes",1,0)</f>
        <v>0</v>
      </c>
    </row>
    <row r="101" spans="1:39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>
        <f>IF(HR_Cleaned[[#This Row],[Age]]&lt;25,"18-24",IF(HR_Cleaned[[#This Row],[Age]]&lt;35,"25-34",IF(HR_Cleaned[[#This Row],[Age]]&lt;45,"35-44",IF(HR_Cleaned[[#This Row],[Age]]&lt;55,"45-54","55+"))))</f>
        <v>35-44</v>
      </c>
      <c r="AK10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1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1">
        <f>IF(HR_Cleaned[[#This Row],[Attrition]]="Yes",1,0)</f>
        <v>0</v>
      </c>
    </row>
    <row r="102" spans="1:39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>
        <f>IF(HR_Cleaned[[#This Row],[Age]]&lt;25,"18-24",IF(HR_Cleaned[[#This Row],[Age]]&lt;35,"25-34",IF(HR_Cleaned[[#This Row],[Age]]&lt;45,"35-44",IF(HR_Cleaned[[#This Row],[Age]]&lt;55,"45-54","55+"))))</f>
        <v>35-44</v>
      </c>
      <c r="AK10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2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2">
        <f>IF(HR_Cleaned[[#This Row],[Attrition]]="Yes",1,0)</f>
        <v>1</v>
      </c>
    </row>
    <row r="103" spans="1:39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>
        <f>IF(HR_Cleaned[[#This Row],[Age]]&lt;25,"18-24",IF(HR_Cleaned[[#This Row],[Age]]&lt;35,"25-34",IF(HR_Cleaned[[#This Row],[Age]]&lt;45,"35-44",IF(HR_Cleaned[[#This Row],[Age]]&lt;55,"45-54","55+"))))</f>
        <v>25-34</v>
      </c>
      <c r="AK10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03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3">
        <f>IF(HR_Cleaned[[#This Row],[Attrition]]="Yes",1,0)</f>
        <v>0</v>
      </c>
    </row>
    <row r="104" spans="1:39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>
        <f>IF(HR_Cleaned[[#This Row],[Age]]&lt;25,"18-24",IF(HR_Cleaned[[#This Row],[Age]]&lt;35,"25-34",IF(HR_Cleaned[[#This Row],[Age]]&lt;45,"35-44",IF(HR_Cleaned[[#This Row],[Age]]&lt;55,"45-54","55+"))))</f>
        <v>18-24</v>
      </c>
      <c r="AK10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04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4">
        <f>IF(HR_Cleaned[[#This Row],[Attrition]]="Yes",1,0)</f>
        <v>1</v>
      </c>
    </row>
    <row r="105" spans="1:39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>
        <f>IF(HR_Cleaned[[#This Row],[Age]]&lt;25,"18-24",IF(HR_Cleaned[[#This Row],[Age]]&lt;35,"25-34",IF(HR_Cleaned[[#This Row],[Age]]&lt;45,"35-44",IF(HR_Cleaned[[#This Row],[Age]]&lt;55,"45-54","55+"))))</f>
        <v>25-34</v>
      </c>
      <c r="AK10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05" t="str">
        <f>IF(HR_Cleaned[[#This Row],[MonthlyIncome]]&lt;3000,"Below 3000",IF(HR_Cleaned[[#This Row],[MonthlyIncome]]&lt;5000,"3000-4999",IF(HR_Cleaned[[#This Row],[MonthlyIncome]]&lt;8000,"5000-7999","8000+")))</f>
        <v>3000-4999</v>
      </c>
      <c r="AM105">
        <f>IF(HR_Cleaned[[#This Row],[Attrition]]="Yes",1,0)</f>
        <v>0</v>
      </c>
    </row>
    <row r="106" spans="1:39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>
        <f>IF(HR_Cleaned[[#This Row],[Age]]&lt;25,"18-24",IF(HR_Cleaned[[#This Row],[Age]]&lt;35,"25-34",IF(HR_Cleaned[[#This Row],[Age]]&lt;45,"35-44",IF(HR_Cleaned[[#This Row],[Age]]&lt;55,"45-54","55+"))))</f>
        <v>35-44</v>
      </c>
      <c r="AK10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06" t="str">
        <f>IF(HR_Cleaned[[#This Row],[MonthlyIncome]]&lt;3000,"Below 3000",IF(HR_Cleaned[[#This Row],[MonthlyIncome]]&lt;5000,"3000-4999",IF(HR_Cleaned[[#This Row],[MonthlyIncome]]&lt;8000,"5000-7999","8000+")))</f>
        <v>5000-7999</v>
      </c>
      <c r="AM106">
        <f>IF(HR_Cleaned[[#This Row],[Attrition]]="Yes",1,0)</f>
        <v>0</v>
      </c>
    </row>
    <row r="107" spans="1:39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>
        <f>IF(HR_Cleaned[[#This Row],[Age]]&lt;25,"18-24",IF(HR_Cleaned[[#This Row],[Age]]&lt;35,"25-34",IF(HR_Cleaned[[#This Row],[Age]]&lt;45,"35-44",IF(HR_Cleaned[[#This Row],[Age]]&lt;55,"45-54","55+"))))</f>
        <v>55+</v>
      </c>
      <c r="AK10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7" t="str">
        <f>IF(HR_Cleaned[[#This Row],[MonthlyIncome]]&lt;3000,"Below 3000",IF(HR_Cleaned[[#This Row],[MonthlyIncome]]&lt;5000,"3000-4999",IF(HR_Cleaned[[#This Row],[MonthlyIncome]]&lt;8000,"5000-7999","8000+")))</f>
        <v>8000+</v>
      </c>
      <c r="AM107">
        <f>IF(HR_Cleaned[[#This Row],[Attrition]]="Yes",1,0)</f>
        <v>0</v>
      </c>
    </row>
    <row r="108" spans="1:39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>
        <f>IF(HR_Cleaned[[#This Row],[Age]]&lt;25,"18-24",IF(HR_Cleaned[[#This Row],[Age]]&lt;35,"25-34",IF(HR_Cleaned[[#This Row],[Age]]&lt;45,"35-44",IF(HR_Cleaned[[#This Row],[Age]]&lt;55,"45-54","55+"))))</f>
        <v>45-54</v>
      </c>
      <c r="AK10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8" t="str">
        <f>IF(HR_Cleaned[[#This Row],[MonthlyIncome]]&lt;3000,"Below 3000",IF(HR_Cleaned[[#This Row],[MonthlyIncome]]&lt;5000,"3000-4999",IF(HR_Cleaned[[#This Row],[MonthlyIncome]]&lt;8000,"5000-7999","8000+")))</f>
        <v>8000+</v>
      </c>
      <c r="AM108">
        <f>IF(HR_Cleaned[[#This Row],[Attrition]]="Yes",1,0)</f>
        <v>0</v>
      </c>
    </row>
    <row r="109" spans="1:39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>
        <f>IF(HR_Cleaned[[#This Row],[Age]]&lt;25,"18-24",IF(HR_Cleaned[[#This Row],[Age]]&lt;35,"25-34",IF(HR_Cleaned[[#This Row],[Age]]&lt;45,"35-44",IF(HR_Cleaned[[#This Row],[Age]]&lt;55,"45-54","55+"))))</f>
        <v>25-34</v>
      </c>
      <c r="AK10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9" t="str">
        <f>IF(HR_Cleaned[[#This Row],[MonthlyIncome]]&lt;3000,"Below 3000",IF(HR_Cleaned[[#This Row],[MonthlyIncome]]&lt;5000,"3000-4999",IF(HR_Cleaned[[#This Row],[MonthlyIncome]]&lt;8000,"5000-7999","8000+")))</f>
        <v>5000-7999</v>
      </c>
      <c r="AM109">
        <f>IF(HR_Cleaned[[#This Row],[Attrition]]="Yes",1,0)</f>
        <v>1</v>
      </c>
    </row>
    <row r="110" spans="1:39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>
        <f>IF(HR_Cleaned[[#This Row],[Age]]&lt;25,"18-24",IF(HR_Cleaned[[#This Row],[Age]]&lt;35,"25-34",IF(HR_Cleaned[[#This Row],[Age]]&lt;45,"35-44",IF(HR_Cleaned[[#This Row],[Age]]&lt;55,"45-54","55+"))))</f>
        <v>25-34</v>
      </c>
      <c r="AK11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10" t="str">
        <f>IF(HR_Cleaned[[#This Row],[MonthlyIncome]]&lt;3000,"Below 3000",IF(HR_Cleaned[[#This Row],[MonthlyIncome]]&lt;5000,"3000-4999",IF(HR_Cleaned[[#This Row],[MonthlyIncome]]&lt;8000,"5000-7999","8000+")))</f>
        <v>Below 3000</v>
      </c>
      <c r="AM110">
        <f>IF(HR_Cleaned[[#This Row],[Attrition]]="Yes",1,0)</f>
        <v>0</v>
      </c>
    </row>
    <row r="111" spans="1:39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>
        <f>IF(HR_Cleaned[[#This Row],[Age]]&lt;25,"18-24",IF(HR_Cleaned[[#This Row],[Age]]&lt;35,"25-34",IF(HR_Cleaned[[#This Row],[Age]]&lt;45,"35-44",IF(HR_Cleaned[[#This Row],[Age]]&lt;55,"45-54","55+"))))</f>
        <v>18-24</v>
      </c>
      <c r="AK11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11" t="str">
        <f>IF(HR_Cleaned[[#This Row],[MonthlyIncome]]&lt;3000,"Below 3000",IF(HR_Cleaned[[#This Row],[MonthlyIncome]]&lt;5000,"3000-4999",IF(HR_Cleaned[[#This Row],[MonthlyIncome]]&lt;8000,"5000-7999","8000+")))</f>
        <v>Below 3000</v>
      </c>
      <c r="AM111">
        <f>IF(HR_Cleaned[[#This Row],[Attrition]]="Yes",1,0)</f>
        <v>0</v>
      </c>
    </row>
    <row r="112" spans="1:39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>
        <f>IF(HR_Cleaned[[#This Row],[Age]]&lt;25,"18-24",IF(HR_Cleaned[[#This Row],[Age]]&lt;35,"25-34",IF(HR_Cleaned[[#This Row],[Age]]&lt;45,"35-44",IF(HR_Cleaned[[#This Row],[Age]]&lt;55,"45-54","55+"))))</f>
        <v>45-54</v>
      </c>
      <c r="AK11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12" t="str">
        <f>IF(HR_Cleaned[[#This Row],[MonthlyIncome]]&lt;3000,"Below 3000",IF(HR_Cleaned[[#This Row],[MonthlyIncome]]&lt;5000,"3000-4999",IF(HR_Cleaned[[#This Row],[MonthlyIncome]]&lt;8000,"5000-7999","8000+")))</f>
        <v>5000-7999</v>
      </c>
      <c r="AM112">
        <f>IF(HR_Cleaned[[#This Row],[Attrition]]="Yes",1,0)</f>
        <v>0</v>
      </c>
    </row>
    <row r="113" spans="1:39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>
        <f>IF(HR_Cleaned[[#This Row],[Age]]&lt;25,"18-24",IF(HR_Cleaned[[#This Row],[Age]]&lt;35,"25-34",IF(HR_Cleaned[[#This Row],[Age]]&lt;45,"35-44",IF(HR_Cleaned[[#This Row],[Age]]&lt;55,"45-54","55+"))))</f>
        <v>25-34</v>
      </c>
      <c r="AK11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3" t="str">
        <f>IF(HR_Cleaned[[#This Row],[MonthlyIncome]]&lt;3000,"Below 3000",IF(HR_Cleaned[[#This Row],[MonthlyIncome]]&lt;5000,"3000-4999",IF(HR_Cleaned[[#This Row],[MonthlyIncome]]&lt;8000,"5000-7999","8000+")))</f>
        <v>5000-7999</v>
      </c>
      <c r="AM113">
        <f>IF(HR_Cleaned[[#This Row],[Attrition]]="Yes",1,0)</f>
        <v>1</v>
      </c>
    </row>
    <row r="114" spans="1:39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>
        <f>IF(HR_Cleaned[[#This Row],[Age]]&lt;25,"18-24",IF(HR_Cleaned[[#This Row],[Age]]&lt;35,"25-34",IF(HR_Cleaned[[#This Row],[Age]]&lt;45,"35-44",IF(HR_Cleaned[[#This Row],[Age]]&lt;55,"45-54","55+"))))</f>
        <v>45-54</v>
      </c>
      <c r="AK11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4" t="str">
        <f>IF(HR_Cleaned[[#This Row],[MonthlyIncome]]&lt;3000,"Below 3000",IF(HR_Cleaned[[#This Row],[MonthlyIncome]]&lt;5000,"3000-4999",IF(HR_Cleaned[[#This Row],[MonthlyIncome]]&lt;8000,"5000-7999","8000+")))</f>
        <v>8000+</v>
      </c>
      <c r="AM114">
        <f>IF(HR_Cleaned[[#This Row],[Attrition]]="Yes",1,0)</f>
        <v>0</v>
      </c>
    </row>
    <row r="115" spans="1:39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>
        <f>IF(HR_Cleaned[[#This Row],[Age]]&lt;25,"18-24",IF(HR_Cleaned[[#This Row],[Age]]&lt;35,"25-34",IF(HR_Cleaned[[#This Row],[Age]]&lt;45,"35-44",IF(HR_Cleaned[[#This Row],[Age]]&lt;55,"45-54","55+"))))</f>
        <v>18-24</v>
      </c>
      <c r="AK11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5" t="str">
        <f>IF(HR_Cleaned[[#This Row],[MonthlyIncome]]&lt;3000,"Below 3000",IF(HR_Cleaned[[#This Row],[MonthlyIncome]]&lt;5000,"3000-4999",IF(HR_Cleaned[[#This Row],[MonthlyIncome]]&lt;8000,"5000-7999","8000+")))</f>
        <v>Below 3000</v>
      </c>
      <c r="AM115">
        <f>IF(HR_Cleaned[[#This Row],[Attrition]]="Yes",1,0)</f>
        <v>0</v>
      </c>
    </row>
    <row r="116" spans="1:39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>
        <f>IF(HR_Cleaned[[#This Row],[Age]]&lt;25,"18-24",IF(HR_Cleaned[[#This Row],[Age]]&lt;35,"25-34",IF(HR_Cleaned[[#This Row],[Age]]&lt;45,"35-44",IF(HR_Cleaned[[#This Row],[Age]]&lt;55,"45-54","55+"))))</f>
        <v>25-34</v>
      </c>
      <c r="AK11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16" t="str">
        <f>IF(HR_Cleaned[[#This Row],[MonthlyIncome]]&lt;3000,"Below 3000",IF(HR_Cleaned[[#This Row],[MonthlyIncome]]&lt;5000,"3000-4999",IF(HR_Cleaned[[#This Row],[MonthlyIncome]]&lt;8000,"5000-7999","8000+")))</f>
        <v>3000-4999</v>
      </c>
      <c r="AM116">
        <f>IF(HR_Cleaned[[#This Row],[Attrition]]="Yes",1,0)</f>
        <v>0</v>
      </c>
    </row>
    <row r="117" spans="1:39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>
        <f>IF(HR_Cleaned[[#This Row],[Age]]&lt;25,"18-24",IF(HR_Cleaned[[#This Row],[Age]]&lt;35,"25-34",IF(HR_Cleaned[[#This Row],[Age]]&lt;45,"35-44",IF(HR_Cleaned[[#This Row],[Age]]&lt;55,"45-54","55+"))))</f>
        <v>35-44</v>
      </c>
      <c r="AK11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7" t="str">
        <f>IF(HR_Cleaned[[#This Row],[MonthlyIncome]]&lt;3000,"Below 3000",IF(HR_Cleaned[[#This Row],[MonthlyIncome]]&lt;5000,"3000-4999",IF(HR_Cleaned[[#This Row],[MonthlyIncome]]&lt;8000,"5000-7999","8000+")))</f>
        <v>5000-7999</v>
      </c>
      <c r="AM117">
        <f>IF(HR_Cleaned[[#This Row],[Attrition]]="Yes",1,0)</f>
        <v>0</v>
      </c>
    </row>
    <row r="118" spans="1:39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>
        <f>IF(HR_Cleaned[[#This Row],[Age]]&lt;25,"18-24",IF(HR_Cleaned[[#This Row],[Age]]&lt;35,"25-34",IF(HR_Cleaned[[#This Row],[Age]]&lt;45,"35-44",IF(HR_Cleaned[[#This Row],[Age]]&lt;55,"45-54","55+"))))</f>
        <v>25-34</v>
      </c>
      <c r="AK11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18" t="str">
        <f>IF(HR_Cleaned[[#This Row],[MonthlyIncome]]&lt;3000,"Below 3000",IF(HR_Cleaned[[#This Row],[MonthlyIncome]]&lt;5000,"3000-4999",IF(HR_Cleaned[[#This Row],[MonthlyIncome]]&lt;8000,"5000-7999","8000+")))</f>
        <v>8000+</v>
      </c>
      <c r="AM118">
        <f>IF(HR_Cleaned[[#This Row],[Attrition]]="Yes",1,0)</f>
        <v>0</v>
      </c>
    </row>
    <row r="119" spans="1:39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>
        <f>IF(HR_Cleaned[[#This Row],[Age]]&lt;25,"18-24",IF(HR_Cleaned[[#This Row],[Age]]&lt;35,"25-34",IF(HR_Cleaned[[#This Row],[Age]]&lt;45,"35-44",IF(HR_Cleaned[[#This Row],[Age]]&lt;55,"45-54","55+"))))</f>
        <v>35-44</v>
      </c>
      <c r="AK11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9" t="str">
        <f>IF(HR_Cleaned[[#This Row],[MonthlyIncome]]&lt;3000,"Below 3000",IF(HR_Cleaned[[#This Row],[MonthlyIncome]]&lt;5000,"3000-4999",IF(HR_Cleaned[[#This Row],[MonthlyIncome]]&lt;8000,"5000-7999","8000+")))</f>
        <v>8000+</v>
      </c>
      <c r="AM119">
        <f>IF(HR_Cleaned[[#This Row],[Attrition]]="Yes",1,0)</f>
        <v>0</v>
      </c>
    </row>
    <row r="120" spans="1:39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>
        <f>IF(HR_Cleaned[[#This Row],[Age]]&lt;25,"18-24",IF(HR_Cleaned[[#This Row],[Age]]&lt;35,"25-34",IF(HR_Cleaned[[#This Row],[Age]]&lt;45,"35-44",IF(HR_Cleaned[[#This Row],[Age]]&lt;55,"45-54","55+"))))</f>
        <v>35-44</v>
      </c>
      <c r="AK12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0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0">
        <f>IF(HR_Cleaned[[#This Row],[Attrition]]="Yes",1,0)</f>
        <v>0</v>
      </c>
    </row>
    <row r="121" spans="1:39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>
        <f>IF(HR_Cleaned[[#This Row],[Age]]&lt;25,"18-24",IF(HR_Cleaned[[#This Row],[Age]]&lt;35,"25-34",IF(HR_Cleaned[[#This Row],[Age]]&lt;45,"35-44",IF(HR_Cleaned[[#This Row],[Age]]&lt;55,"45-54","55+"))))</f>
        <v>35-44</v>
      </c>
      <c r="AK121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21" t="str">
        <f>IF(HR_Cleaned[[#This Row],[MonthlyIncome]]&lt;3000,"Below 3000",IF(HR_Cleaned[[#This Row],[MonthlyIncome]]&lt;5000,"3000-4999",IF(HR_Cleaned[[#This Row],[MonthlyIncome]]&lt;8000,"5000-7999","8000+")))</f>
        <v>8000+</v>
      </c>
      <c r="AM121">
        <f>IF(HR_Cleaned[[#This Row],[Attrition]]="Yes",1,0)</f>
        <v>0</v>
      </c>
    </row>
    <row r="122" spans="1:39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>
        <f>IF(HR_Cleaned[[#This Row],[Age]]&lt;25,"18-24",IF(HR_Cleaned[[#This Row],[Age]]&lt;35,"25-34",IF(HR_Cleaned[[#This Row],[Age]]&lt;45,"35-44",IF(HR_Cleaned[[#This Row],[Age]]&lt;55,"45-54","55+"))))</f>
        <v>25-34</v>
      </c>
      <c r="AK12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2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2">
        <f>IF(HR_Cleaned[[#This Row],[Attrition]]="Yes",1,0)</f>
        <v>0</v>
      </c>
    </row>
    <row r="123" spans="1:39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>
        <f>IF(HR_Cleaned[[#This Row],[Age]]&lt;25,"18-24",IF(HR_Cleaned[[#This Row],[Age]]&lt;35,"25-34",IF(HR_Cleaned[[#This Row],[Age]]&lt;45,"35-44",IF(HR_Cleaned[[#This Row],[Age]]&lt;55,"45-54","55+"))))</f>
        <v>25-34</v>
      </c>
      <c r="AK12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3" t="str">
        <f>IF(HR_Cleaned[[#This Row],[MonthlyIncome]]&lt;3000,"Below 3000",IF(HR_Cleaned[[#This Row],[MonthlyIncome]]&lt;5000,"3000-4999",IF(HR_Cleaned[[#This Row],[MonthlyIncome]]&lt;8000,"5000-7999","8000+")))</f>
        <v>5000-7999</v>
      </c>
      <c r="AM123">
        <f>IF(HR_Cleaned[[#This Row],[Attrition]]="Yes",1,0)</f>
        <v>0</v>
      </c>
    </row>
    <row r="124" spans="1:39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>
        <f>IF(HR_Cleaned[[#This Row],[Age]]&lt;25,"18-24",IF(HR_Cleaned[[#This Row],[Age]]&lt;35,"25-34",IF(HR_Cleaned[[#This Row],[Age]]&lt;45,"35-44",IF(HR_Cleaned[[#This Row],[Age]]&lt;55,"45-54","55+"))))</f>
        <v>55+</v>
      </c>
      <c r="AK12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4" t="str">
        <f>IF(HR_Cleaned[[#This Row],[MonthlyIncome]]&lt;3000,"Below 3000",IF(HR_Cleaned[[#This Row],[MonthlyIncome]]&lt;5000,"3000-4999",IF(HR_Cleaned[[#This Row],[MonthlyIncome]]&lt;8000,"5000-7999","8000+")))</f>
        <v>3000-4999</v>
      </c>
      <c r="AM124">
        <f>IF(HR_Cleaned[[#This Row],[Attrition]]="Yes",1,0)</f>
        <v>1</v>
      </c>
    </row>
    <row r="125" spans="1:39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>
        <f>IF(HR_Cleaned[[#This Row],[Age]]&lt;25,"18-24",IF(HR_Cleaned[[#This Row],[Age]]&lt;35,"25-34",IF(HR_Cleaned[[#This Row],[Age]]&lt;45,"35-44",IF(HR_Cleaned[[#This Row],[Age]]&lt;55,"45-54","55+"))))</f>
        <v>45-54</v>
      </c>
      <c r="AK12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25" t="str">
        <f>IF(HR_Cleaned[[#This Row],[MonthlyIncome]]&lt;3000,"Below 3000",IF(HR_Cleaned[[#This Row],[MonthlyIncome]]&lt;5000,"3000-4999",IF(HR_Cleaned[[#This Row],[MonthlyIncome]]&lt;8000,"5000-7999","8000+")))</f>
        <v>8000+</v>
      </c>
      <c r="AM125">
        <f>IF(HR_Cleaned[[#This Row],[Attrition]]="Yes",1,0)</f>
        <v>0</v>
      </c>
    </row>
    <row r="126" spans="1:39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>
        <f>IF(HR_Cleaned[[#This Row],[Age]]&lt;25,"18-24",IF(HR_Cleaned[[#This Row],[Age]]&lt;35,"25-34",IF(HR_Cleaned[[#This Row],[Age]]&lt;45,"35-44",IF(HR_Cleaned[[#This Row],[Age]]&lt;55,"45-54","55+"))))</f>
        <v>25-34</v>
      </c>
      <c r="AK12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6" t="str">
        <f>IF(HR_Cleaned[[#This Row],[MonthlyIncome]]&lt;3000,"Below 3000",IF(HR_Cleaned[[#This Row],[MonthlyIncome]]&lt;5000,"3000-4999",IF(HR_Cleaned[[#This Row],[MonthlyIncome]]&lt;8000,"5000-7999","8000+")))</f>
        <v>5000-7999</v>
      </c>
      <c r="AM126">
        <f>IF(HR_Cleaned[[#This Row],[Attrition]]="Yes",1,0)</f>
        <v>1</v>
      </c>
    </row>
    <row r="127" spans="1:39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>
        <f>IF(HR_Cleaned[[#This Row],[Age]]&lt;25,"18-24",IF(HR_Cleaned[[#This Row],[Age]]&lt;35,"25-34",IF(HR_Cleaned[[#This Row],[Age]]&lt;45,"35-44",IF(HR_Cleaned[[#This Row],[Age]]&lt;55,"45-54","55+"))))</f>
        <v>25-34</v>
      </c>
      <c r="AK12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7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7">
        <f>IF(HR_Cleaned[[#This Row],[Attrition]]="Yes",1,0)</f>
        <v>0</v>
      </c>
    </row>
    <row r="128" spans="1:39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>
        <f>IF(HR_Cleaned[[#This Row],[Age]]&lt;25,"18-24",IF(HR_Cleaned[[#This Row],[Age]]&lt;35,"25-34",IF(HR_Cleaned[[#This Row],[Age]]&lt;45,"35-44",IF(HR_Cleaned[[#This Row],[Age]]&lt;55,"45-54","55+"))))</f>
        <v>55+</v>
      </c>
      <c r="AK12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28" t="str">
        <f>IF(HR_Cleaned[[#This Row],[MonthlyIncome]]&lt;3000,"Below 3000",IF(HR_Cleaned[[#This Row],[MonthlyIncome]]&lt;5000,"3000-4999",IF(HR_Cleaned[[#This Row],[MonthlyIncome]]&lt;8000,"5000-7999","8000+")))</f>
        <v>8000+</v>
      </c>
      <c r="AM128">
        <f>IF(HR_Cleaned[[#This Row],[Attrition]]="Yes",1,0)</f>
        <v>1</v>
      </c>
    </row>
    <row r="129" spans="1:39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>
        <f>IF(HR_Cleaned[[#This Row],[Age]]&lt;25,"18-24",IF(HR_Cleaned[[#This Row],[Age]]&lt;35,"25-34",IF(HR_Cleaned[[#This Row],[Age]]&lt;45,"35-44",IF(HR_Cleaned[[#This Row],[Age]]&lt;55,"45-54","55+"))))</f>
        <v>18-24</v>
      </c>
      <c r="AK12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9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9">
        <f>IF(HR_Cleaned[[#This Row],[Attrition]]="Yes",1,0)</f>
        <v>1</v>
      </c>
    </row>
    <row r="130" spans="1:39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>
        <f>IF(HR_Cleaned[[#This Row],[Age]]&lt;25,"18-24",IF(HR_Cleaned[[#This Row],[Age]]&lt;35,"25-34",IF(HR_Cleaned[[#This Row],[Age]]&lt;45,"35-44",IF(HR_Cleaned[[#This Row],[Age]]&lt;55,"45-54","55+"))))</f>
        <v>18-24</v>
      </c>
      <c r="AK13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0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0">
        <f>IF(HR_Cleaned[[#This Row],[Attrition]]="Yes",1,0)</f>
        <v>0</v>
      </c>
    </row>
    <row r="131" spans="1:39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>
        <f>IF(HR_Cleaned[[#This Row],[Age]]&lt;25,"18-24",IF(HR_Cleaned[[#This Row],[Age]]&lt;35,"25-34",IF(HR_Cleaned[[#This Row],[Age]]&lt;45,"35-44",IF(HR_Cleaned[[#This Row],[Age]]&lt;55,"45-54","55+"))))</f>
        <v>45-54</v>
      </c>
      <c r="AK131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31" t="str">
        <f>IF(HR_Cleaned[[#This Row],[MonthlyIncome]]&lt;3000,"Below 3000",IF(HR_Cleaned[[#This Row],[MonthlyIncome]]&lt;5000,"3000-4999",IF(HR_Cleaned[[#This Row],[MonthlyIncome]]&lt;8000,"5000-7999","8000+")))</f>
        <v>5000-7999</v>
      </c>
      <c r="AM131">
        <f>IF(HR_Cleaned[[#This Row],[Attrition]]="Yes",1,0)</f>
        <v>0</v>
      </c>
    </row>
    <row r="132" spans="1:39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>
        <f>IF(HR_Cleaned[[#This Row],[Age]]&lt;25,"18-24",IF(HR_Cleaned[[#This Row],[Age]]&lt;35,"25-34",IF(HR_Cleaned[[#This Row],[Age]]&lt;45,"35-44",IF(HR_Cleaned[[#This Row],[Age]]&lt;55,"45-54","55+"))))</f>
        <v>35-44</v>
      </c>
      <c r="AK13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2" t="str">
        <f>IF(HR_Cleaned[[#This Row],[MonthlyIncome]]&lt;3000,"Below 3000",IF(HR_Cleaned[[#This Row],[MonthlyIncome]]&lt;5000,"3000-4999",IF(HR_Cleaned[[#This Row],[MonthlyIncome]]&lt;8000,"5000-7999","8000+")))</f>
        <v>3000-4999</v>
      </c>
      <c r="AM132">
        <f>IF(HR_Cleaned[[#This Row],[Attrition]]="Yes",1,0)</f>
        <v>0</v>
      </c>
    </row>
    <row r="133" spans="1:39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>
        <f>IF(HR_Cleaned[[#This Row],[Age]]&lt;25,"18-24",IF(HR_Cleaned[[#This Row],[Age]]&lt;35,"25-34",IF(HR_Cleaned[[#This Row],[Age]]&lt;45,"35-44",IF(HR_Cleaned[[#This Row],[Age]]&lt;55,"45-54","55+"))))</f>
        <v>45-54</v>
      </c>
      <c r="AK13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3" t="str">
        <f>IF(HR_Cleaned[[#This Row],[MonthlyIncome]]&lt;3000,"Below 3000",IF(HR_Cleaned[[#This Row],[MonthlyIncome]]&lt;5000,"3000-4999",IF(HR_Cleaned[[#This Row],[MonthlyIncome]]&lt;8000,"5000-7999","8000+")))</f>
        <v>8000+</v>
      </c>
      <c r="AM133">
        <f>IF(HR_Cleaned[[#This Row],[Attrition]]="Yes",1,0)</f>
        <v>0</v>
      </c>
    </row>
    <row r="134" spans="1:39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>
        <f>IF(HR_Cleaned[[#This Row],[Age]]&lt;25,"18-24",IF(HR_Cleaned[[#This Row],[Age]]&lt;35,"25-34",IF(HR_Cleaned[[#This Row],[Age]]&lt;45,"35-44",IF(HR_Cleaned[[#This Row],[Age]]&lt;55,"45-54","55+"))))</f>
        <v>25-34</v>
      </c>
      <c r="AK13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4" t="str">
        <f>IF(HR_Cleaned[[#This Row],[MonthlyIncome]]&lt;3000,"Below 3000",IF(HR_Cleaned[[#This Row],[MonthlyIncome]]&lt;5000,"3000-4999",IF(HR_Cleaned[[#This Row],[MonthlyIncome]]&lt;8000,"5000-7999","8000+")))</f>
        <v>3000-4999</v>
      </c>
      <c r="AM134">
        <f>IF(HR_Cleaned[[#This Row],[Attrition]]="Yes",1,0)</f>
        <v>1</v>
      </c>
    </row>
    <row r="135" spans="1:39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>
        <f>IF(HR_Cleaned[[#This Row],[Age]]&lt;25,"18-24",IF(HR_Cleaned[[#This Row],[Age]]&lt;35,"25-34",IF(HR_Cleaned[[#This Row],[Age]]&lt;45,"35-44",IF(HR_Cleaned[[#This Row],[Age]]&lt;55,"45-54","55+"))))</f>
        <v>35-44</v>
      </c>
      <c r="AK13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5" t="str">
        <f>IF(HR_Cleaned[[#This Row],[MonthlyIncome]]&lt;3000,"Below 3000",IF(HR_Cleaned[[#This Row],[MonthlyIncome]]&lt;5000,"3000-4999",IF(HR_Cleaned[[#This Row],[MonthlyIncome]]&lt;8000,"5000-7999","8000+")))</f>
        <v>8000+</v>
      </c>
      <c r="AM135">
        <f>IF(HR_Cleaned[[#This Row],[Attrition]]="Yes",1,0)</f>
        <v>0</v>
      </c>
    </row>
    <row r="136" spans="1:39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>
        <f>IF(HR_Cleaned[[#This Row],[Age]]&lt;25,"18-24",IF(HR_Cleaned[[#This Row],[Age]]&lt;35,"25-34",IF(HR_Cleaned[[#This Row],[Age]]&lt;45,"35-44",IF(HR_Cleaned[[#This Row],[Age]]&lt;55,"45-54","55+"))))</f>
        <v>25-34</v>
      </c>
      <c r="AK13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6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6">
        <f>IF(HR_Cleaned[[#This Row],[Attrition]]="Yes",1,0)</f>
        <v>0</v>
      </c>
    </row>
    <row r="137" spans="1:39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>
        <f>IF(HR_Cleaned[[#This Row],[Age]]&lt;25,"18-24",IF(HR_Cleaned[[#This Row],[Age]]&lt;35,"25-34",IF(HR_Cleaned[[#This Row],[Age]]&lt;45,"35-44",IF(HR_Cleaned[[#This Row],[Age]]&lt;55,"45-54","55+"))))</f>
        <v>35-44</v>
      </c>
      <c r="AK13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7" t="str">
        <f>IF(HR_Cleaned[[#This Row],[MonthlyIncome]]&lt;3000,"Below 3000",IF(HR_Cleaned[[#This Row],[MonthlyIncome]]&lt;5000,"3000-4999",IF(HR_Cleaned[[#This Row],[MonthlyIncome]]&lt;8000,"5000-7999","8000+")))</f>
        <v>3000-4999</v>
      </c>
      <c r="AM137">
        <f>IF(HR_Cleaned[[#This Row],[Attrition]]="Yes",1,0)</f>
        <v>0</v>
      </c>
    </row>
    <row r="138" spans="1:39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>
        <f>IF(HR_Cleaned[[#This Row],[Age]]&lt;25,"18-24",IF(HR_Cleaned[[#This Row],[Age]]&lt;35,"25-34",IF(HR_Cleaned[[#This Row],[Age]]&lt;45,"35-44",IF(HR_Cleaned[[#This Row],[Age]]&lt;55,"45-54","55+"))))</f>
        <v>45-54</v>
      </c>
      <c r="AK13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8" t="str">
        <f>IF(HR_Cleaned[[#This Row],[MonthlyIncome]]&lt;3000,"Below 3000",IF(HR_Cleaned[[#This Row],[MonthlyIncome]]&lt;5000,"3000-4999",IF(HR_Cleaned[[#This Row],[MonthlyIncome]]&lt;8000,"5000-7999","8000+")))</f>
        <v>8000+</v>
      </c>
      <c r="AM138">
        <f>IF(HR_Cleaned[[#This Row],[Attrition]]="Yes",1,0)</f>
        <v>1</v>
      </c>
    </row>
    <row r="139" spans="1:39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>
        <f>IF(HR_Cleaned[[#This Row],[Age]]&lt;25,"18-24",IF(HR_Cleaned[[#This Row],[Age]]&lt;35,"25-34",IF(HR_Cleaned[[#This Row],[Age]]&lt;45,"35-44",IF(HR_Cleaned[[#This Row],[Age]]&lt;55,"45-54","55+"))))</f>
        <v>35-44</v>
      </c>
      <c r="AK13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39" t="str">
        <f>IF(HR_Cleaned[[#This Row],[MonthlyIncome]]&lt;3000,"Below 3000",IF(HR_Cleaned[[#This Row],[MonthlyIncome]]&lt;5000,"3000-4999",IF(HR_Cleaned[[#This Row],[MonthlyIncome]]&lt;8000,"5000-7999","8000+")))</f>
        <v>5000-7999</v>
      </c>
      <c r="AM139">
        <f>IF(HR_Cleaned[[#This Row],[Attrition]]="Yes",1,0)</f>
        <v>0</v>
      </c>
    </row>
    <row r="140" spans="1:39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>
        <f>IF(HR_Cleaned[[#This Row],[Age]]&lt;25,"18-24",IF(HR_Cleaned[[#This Row],[Age]]&lt;35,"25-34",IF(HR_Cleaned[[#This Row],[Age]]&lt;45,"35-44",IF(HR_Cleaned[[#This Row],[Age]]&lt;55,"45-54","55+"))))</f>
        <v>25-34</v>
      </c>
      <c r="AK14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40" t="str">
        <f>IF(HR_Cleaned[[#This Row],[MonthlyIncome]]&lt;3000,"Below 3000",IF(HR_Cleaned[[#This Row],[MonthlyIncome]]&lt;5000,"3000-4999",IF(HR_Cleaned[[#This Row],[MonthlyIncome]]&lt;8000,"5000-7999","8000+")))</f>
        <v>8000+</v>
      </c>
      <c r="AM140">
        <f>IF(HR_Cleaned[[#This Row],[Attrition]]="Yes",1,0)</f>
        <v>0</v>
      </c>
    </row>
    <row r="141" spans="1:39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>
        <f>IF(HR_Cleaned[[#This Row],[Age]]&lt;25,"18-24",IF(HR_Cleaned[[#This Row],[Age]]&lt;35,"25-34",IF(HR_Cleaned[[#This Row],[Age]]&lt;45,"35-44",IF(HR_Cleaned[[#This Row],[Age]]&lt;55,"45-54","55+"))))</f>
        <v>25-34</v>
      </c>
      <c r="AK141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41" t="str">
        <f>IF(HR_Cleaned[[#This Row],[MonthlyIncome]]&lt;3000,"Below 3000",IF(HR_Cleaned[[#This Row],[MonthlyIncome]]&lt;5000,"3000-4999",IF(HR_Cleaned[[#This Row],[MonthlyIncome]]&lt;8000,"5000-7999","8000+")))</f>
        <v>5000-7999</v>
      </c>
      <c r="AM141">
        <f>IF(HR_Cleaned[[#This Row],[Attrition]]="Yes",1,0)</f>
        <v>0</v>
      </c>
    </row>
    <row r="142" spans="1:39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>
        <f>IF(HR_Cleaned[[#This Row],[Age]]&lt;25,"18-24",IF(HR_Cleaned[[#This Row],[Age]]&lt;35,"25-34",IF(HR_Cleaned[[#This Row],[Age]]&lt;45,"35-44",IF(HR_Cleaned[[#This Row],[Age]]&lt;55,"45-54","55+"))))</f>
        <v>25-34</v>
      </c>
      <c r="AK14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2" t="str">
        <f>IF(HR_Cleaned[[#This Row],[MonthlyIncome]]&lt;3000,"Below 3000",IF(HR_Cleaned[[#This Row],[MonthlyIncome]]&lt;5000,"3000-4999",IF(HR_Cleaned[[#This Row],[MonthlyIncome]]&lt;8000,"5000-7999","8000+")))</f>
        <v>3000-4999</v>
      </c>
      <c r="AM142">
        <f>IF(HR_Cleaned[[#This Row],[Attrition]]="Yes",1,0)</f>
        <v>1</v>
      </c>
    </row>
    <row r="143" spans="1:39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>
        <f>IF(HR_Cleaned[[#This Row],[Age]]&lt;25,"18-24",IF(HR_Cleaned[[#This Row],[Age]]&lt;35,"25-34",IF(HR_Cleaned[[#This Row],[Age]]&lt;45,"35-44",IF(HR_Cleaned[[#This Row],[Age]]&lt;55,"45-54","55+"))))</f>
        <v>45-54</v>
      </c>
      <c r="AK14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3" t="str">
        <f>IF(HR_Cleaned[[#This Row],[MonthlyIncome]]&lt;3000,"Below 3000",IF(HR_Cleaned[[#This Row],[MonthlyIncome]]&lt;5000,"3000-4999",IF(HR_Cleaned[[#This Row],[MonthlyIncome]]&lt;8000,"5000-7999","8000+")))</f>
        <v>3000-4999</v>
      </c>
      <c r="AM143">
        <f>IF(HR_Cleaned[[#This Row],[Attrition]]="Yes",1,0)</f>
        <v>0</v>
      </c>
    </row>
    <row r="144" spans="1:39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>
        <f>IF(HR_Cleaned[[#This Row],[Age]]&lt;25,"18-24",IF(HR_Cleaned[[#This Row],[Age]]&lt;35,"25-34",IF(HR_Cleaned[[#This Row],[Age]]&lt;45,"35-44",IF(HR_Cleaned[[#This Row],[Age]]&lt;55,"45-54","55+"))))</f>
        <v>35-44</v>
      </c>
      <c r="AK14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4" t="str">
        <f>IF(HR_Cleaned[[#This Row],[MonthlyIncome]]&lt;3000,"Below 3000",IF(HR_Cleaned[[#This Row],[MonthlyIncome]]&lt;5000,"3000-4999",IF(HR_Cleaned[[#This Row],[MonthlyIncome]]&lt;8000,"5000-7999","8000+")))</f>
        <v>3000-4999</v>
      </c>
      <c r="AM144">
        <f>IF(HR_Cleaned[[#This Row],[Attrition]]="Yes",1,0)</f>
        <v>0</v>
      </c>
    </row>
    <row r="145" spans="1:39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>
        <f>IF(HR_Cleaned[[#This Row],[Age]]&lt;25,"18-24",IF(HR_Cleaned[[#This Row],[Age]]&lt;35,"25-34",IF(HR_Cleaned[[#This Row],[Age]]&lt;45,"35-44",IF(HR_Cleaned[[#This Row],[Age]]&lt;55,"45-54","55+"))))</f>
        <v>25-34</v>
      </c>
      <c r="AK14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5" t="str">
        <f>IF(HR_Cleaned[[#This Row],[MonthlyIncome]]&lt;3000,"Below 3000",IF(HR_Cleaned[[#This Row],[MonthlyIncome]]&lt;5000,"3000-4999",IF(HR_Cleaned[[#This Row],[MonthlyIncome]]&lt;8000,"5000-7999","8000+")))</f>
        <v>Below 3000</v>
      </c>
      <c r="AM145">
        <f>IF(HR_Cleaned[[#This Row],[Attrition]]="Yes",1,0)</f>
        <v>0</v>
      </c>
    </row>
    <row r="146" spans="1:39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>
        <f>IF(HR_Cleaned[[#This Row],[Age]]&lt;25,"18-24",IF(HR_Cleaned[[#This Row],[Age]]&lt;35,"25-34",IF(HR_Cleaned[[#This Row],[Age]]&lt;45,"35-44",IF(HR_Cleaned[[#This Row],[Age]]&lt;55,"45-54","55+"))))</f>
        <v>25-34</v>
      </c>
      <c r="AK14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6" t="str">
        <f>IF(HR_Cleaned[[#This Row],[MonthlyIncome]]&lt;3000,"Below 3000",IF(HR_Cleaned[[#This Row],[MonthlyIncome]]&lt;5000,"3000-4999",IF(HR_Cleaned[[#This Row],[MonthlyIncome]]&lt;8000,"5000-7999","8000+")))</f>
        <v>3000-4999</v>
      </c>
      <c r="AM146">
        <f>IF(HR_Cleaned[[#This Row],[Attrition]]="Yes",1,0)</f>
        <v>0</v>
      </c>
    </row>
    <row r="147" spans="1:39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>
        <f>IF(HR_Cleaned[[#This Row],[Age]]&lt;25,"18-24",IF(HR_Cleaned[[#This Row],[Age]]&lt;35,"25-34",IF(HR_Cleaned[[#This Row],[Age]]&lt;45,"35-44",IF(HR_Cleaned[[#This Row],[Age]]&lt;55,"45-54","55+"))))</f>
        <v>25-34</v>
      </c>
      <c r="AK14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7" t="str">
        <f>IF(HR_Cleaned[[#This Row],[MonthlyIncome]]&lt;3000,"Below 3000",IF(HR_Cleaned[[#This Row],[MonthlyIncome]]&lt;5000,"3000-4999",IF(HR_Cleaned[[#This Row],[MonthlyIncome]]&lt;8000,"5000-7999","8000+")))</f>
        <v>3000-4999</v>
      </c>
      <c r="AM147">
        <f>IF(HR_Cleaned[[#This Row],[Attrition]]="Yes",1,0)</f>
        <v>0</v>
      </c>
    </row>
    <row r="148" spans="1:39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>
        <f>IF(HR_Cleaned[[#This Row],[Age]]&lt;25,"18-24",IF(HR_Cleaned[[#This Row],[Age]]&lt;35,"25-34",IF(HR_Cleaned[[#This Row],[Age]]&lt;45,"35-44",IF(HR_Cleaned[[#This Row],[Age]]&lt;55,"45-54","55+"))))</f>
        <v>25-34</v>
      </c>
      <c r="AK14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8" t="str">
        <f>IF(HR_Cleaned[[#This Row],[MonthlyIncome]]&lt;3000,"Below 3000",IF(HR_Cleaned[[#This Row],[MonthlyIncome]]&lt;5000,"3000-4999",IF(HR_Cleaned[[#This Row],[MonthlyIncome]]&lt;8000,"5000-7999","8000+")))</f>
        <v>Below 3000</v>
      </c>
      <c r="AM148">
        <f>IF(HR_Cleaned[[#This Row],[Attrition]]="Yes",1,0)</f>
        <v>0</v>
      </c>
    </row>
    <row r="149" spans="1:39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>
        <f>IF(HR_Cleaned[[#This Row],[Age]]&lt;25,"18-24",IF(HR_Cleaned[[#This Row],[Age]]&lt;35,"25-34",IF(HR_Cleaned[[#This Row],[Age]]&lt;45,"35-44",IF(HR_Cleaned[[#This Row],[Age]]&lt;55,"45-54","55+"))))</f>
        <v>35-44</v>
      </c>
      <c r="AK14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9" t="str">
        <f>IF(HR_Cleaned[[#This Row],[MonthlyIncome]]&lt;3000,"Below 3000",IF(HR_Cleaned[[#This Row],[MonthlyIncome]]&lt;5000,"3000-4999",IF(HR_Cleaned[[#This Row],[MonthlyIncome]]&lt;8000,"5000-7999","8000+")))</f>
        <v>8000+</v>
      </c>
      <c r="AM149">
        <f>IF(HR_Cleaned[[#This Row],[Attrition]]="Yes",1,0)</f>
        <v>0</v>
      </c>
    </row>
    <row r="150" spans="1:39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>
        <f>IF(HR_Cleaned[[#This Row],[Age]]&lt;25,"18-24",IF(HR_Cleaned[[#This Row],[Age]]&lt;35,"25-34",IF(HR_Cleaned[[#This Row],[Age]]&lt;45,"35-44",IF(HR_Cleaned[[#This Row],[Age]]&lt;55,"45-54","55+"))))</f>
        <v>35-44</v>
      </c>
      <c r="AK15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50" t="str">
        <f>IF(HR_Cleaned[[#This Row],[MonthlyIncome]]&lt;3000,"Below 3000",IF(HR_Cleaned[[#This Row],[MonthlyIncome]]&lt;5000,"3000-4999",IF(HR_Cleaned[[#This Row],[MonthlyIncome]]&lt;8000,"5000-7999","8000+")))</f>
        <v>Below 3000</v>
      </c>
      <c r="AM150">
        <f>IF(HR_Cleaned[[#This Row],[Attrition]]="Yes",1,0)</f>
        <v>0</v>
      </c>
    </row>
    <row r="151" spans="1:39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>
        <f>IF(HR_Cleaned[[#This Row],[Age]]&lt;25,"18-24",IF(HR_Cleaned[[#This Row],[Age]]&lt;35,"25-34",IF(HR_Cleaned[[#This Row],[Age]]&lt;45,"35-44",IF(HR_Cleaned[[#This Row],[Age]]&lt;55,"45-54","55+"))))</f>
        <v>18-24</v>
      </c>
      <c r="AK15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51" t="str">
        <f>IF(HR_Cleaned[[#This Row],[MonthlyIncome]]&lt;3000,"Below 3000",IF(HR_Cleaned[[#This Row],[MonthlyIncome]]&lt;5000,"3000-4999",IF(HR_Cleaned[[#This Row],[MonthlyIncome]]&lt;8000,"5000-7999","8000+")))</f>
        <v>Below 3000</v>
      </c>
      <c r="AM151">
        <f>IF(HR_Cleaned[[#This Row],[Attrition]]="Yes",1,0)</f>
        <v>0</v>
      </c>
    </row>
    <row r="152" spans="1:39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>
        <f>IF(HR_Cleaned[[#This Row],[Age]]&lt;25,"18-24",IF(HR_Cleaned[[#This Row],[Age]]&lt;35,"25-34",IF(HR_Cleaned[[#This Row],[Age]]&lt;45,"35-44",IF(HR_Cleaned[[#This Row],[Age]]&lt;55,"45-54","55+"))))</f>
        <v>35-44</v>
      </c>
      <c r="AK15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52" t="str">
        <f>IF(HR_Cleaned[[#This Row],[MonthlyIncome]]&lt;3000,"Below 3000",IF(HR_Cleaned[[#This Row],[MonthlyIncome]]&lt;5000,"3000-4999",IF(HR_Cleaned[[#This Row],[MonthlyIncome]]&lt;8000,"5000-7999","8000+")))</f>
        <v>5000-7999</v>
      </c>
      <c r="AM152">
        <f>IF(HR_Cleaned[[#This Row],[Attrition]]="Yes",1,0)</f>
        <v>0</v>
      </c>
    </row>
    <row r="153" spans="1:39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>
        <f>IF(HR_Cleaned[[#This Row],[Age]]&lt;25,"18-24",IF(HR_Cleaned[[#This Row],[Age]]&lt;35,"25-34",IF(HR_Cleaned[[#This Row],[Age]]&lt;45,"35-44",IF(HR_Cleaned[[#This Row],[Age]]&lt;55,"45-54","55+"))))</f>
        <v>35-44</v>
      </c>
      <c r="AK15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53" t="str">
        <f>IF(HR_Cleaned[[#This Row],[MonthlyIncome]]&lt;3000,"Below 3000",IF(HR_Cleaned[[#This Row],[MonthlyIncome]]&lt;5000,"3000-4999",IF(HR_Cleaned[[#This Row],[MonthlyIncome]]&lt;8000,"5000-7999","8000+")))</f>
        <v>5000-7999</v>
      </c>
      <c r="AM153">
        <f>IF(HR_Cleaned[[#This Row],[Attrition]]="Yes",1,0)</f>
        <v>0</v>
      </c>
    </row>
    <row r="154" spans="1:39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>
        <f>IF(HR_Cleaned[[#This Row],[Age]]&lt;25,"18-24",IF(HR_Cleaned[[#This Row],[Age]]&lt;35,"25-34",IF(HR_Cleaned[[#This Row],[Age]]&lt;45,"35-44",IF(HR_Cleaned[[#This Row],[Age]]&lt;55,"45-54","55+"))))</f>
        <v>45-54</v>
      </c>
      <c r="AK15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54" t="str">
        <f>IF(HR_Cleaned[[#This Row],[MonthlyIncome]]&lt;3000,"Below 3000",IF(HR_Cleaned[[#This Row],[MonthlyIncome]]&lt;5000,"3000-4999",IF(HR_Cleaned[[#This Row],[MonthlyIncome]]&lt;8000,"5000-7999","8000+")))</f>
        <v>Below 3000</v>
      </c>
      <c r="AM154">
        <f>IF(HR_Cleaned[[#This Row],[Attrition]]="Yes",1,0)</f>
        <v>0</v>
      </c>
    </row>
    <row r="155" spans="1:39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>
        <f>IF(HR_Cleaned[[#This Row],[Age]]&lt;25,"18-24",IF(HR_Cleaned[[#This Row],[Age]]&lt;35,"25-34",IF(HR_Cleaned[[#This Row],[Age]]&lt;45,"35-44",IF(HR_Cleaned[[#This Row],[Age]]&lt;55,"45-54","55+"))))</f>
        <v>45-54</v>
      </c>
      <c r="AK15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55" t="str">
        <f>IF(HR_Cleaned[[#This Row],[MonthlyIncome]]&lt;3000,"Below 3000",IF(HR_Cleaned[[#This Row],[MonthlyIncome]]&lt;5000,"3000-4999",IF(HR_Cleaned[[#This Row],[MonthlyIncome]]&lt;8000,"5000-7999","8000+")))</f>
        <v>Below 3000</v>
      </c>
      <c r="AM155">
        <f>IF(HR_Cleaned[[#This Row],[Attrition]]="Yes",1,0)</f>
        <v>0</v>
      </c>
    </row>
    <row r="156" spans="1:39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>
        <f>IF(HR_Cleaned[[#This Row],[Age]]&lt;25,"18-24",IF(HR_Cleaned[[#This Row],[Age]]&lt;35,"25-34",IF(HR_Cleaned[[#This Row],[Age]]&lt;45,"35-44",IF(HR_Cleaned[[#This Row],[Age]]&lt;55,"45-54","55+"))))</f>
        <v>25-34</v>
      </c>
      <c r="AK15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56" t="str">
        <f>IF(HR_Cleaned[[#This Row],[MonthlyIncome]]&lt;3000,"Below 3000",IF(HR_Cleaned[[#This Row],[MonthlyIncome]]&lt;5000,"3000-4999",IF(HR_Cleaned[[#This Row],[MonthlyIncome]]&lt;8000,"5000-7999","8000+")))</f>
        <v>8000+</v>
      </c>
      <c r="AM156">
        <f>IF(HR_Cleaned[[#This Row],[Attrition]]="Yes",1,0)</f>
        <v>0</v>
      </c>
    </row>
    <row r="157" spans="1:39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>
        <f>IF(HR_Cleaned[[#This Row],[Age]]&lt;25,"18-24",IF(HR_Cleaned[[#This Row],[Age]]&lt;35,"25-34",IF(HR_Cleaned[[#This Row],[Age]]&lt;45,"35-44",IF(HR_Cleaned[[#This Row],[Age]]&lt;55,"45-54","55+"))))</f>
        <v>25-34</v>
      </c>
      <c r="AK15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57" t="str">
        <f>IF(HR_Cleaned[[#This Row],[MonthlyIncome]]&lt;3000,"Below 3000",IF(HR_Cleaned[[#This Row],[MonthlyIncome]]&lt;5000,"3000-4999",IF(HR_Cleaned[[#This Row],[MonthlyIncome]]&lt;8000,"5000-7999","8000+")))</f>
        <v>3000-4999</v>
      </c>
      <c r="AM157">
        <f>IF(HR_Cleaned[[#This Row],[Attrition]]="Yes",1,0)</f>
        <v>0</v>
      </c>
    </row>
    <row r="158" spans="1:39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>
        <f>IF(HR_Cleaned[[#This Row],[Age]]&lt;25,"18-24",IF(HR_Cleaned[[#This Row],[Age]]&lt;35,"25-34",IF(HR_Cleaned[[#This Row],[Age]]&lt;45,"35-44",IF(HR_Cleaned[[#This Row],[Age]]&lt;55,"45-54","55+"))))</f>
        <v>45-54</v>
      </c>
      <c r="AK15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58" t="str">
        <f>IF(HR_Cleaned[[#This Row],[MonthlyIncome]]&lt;3000,"Below 3000",IF(HR_Cleaned[[#This Row],[MonthlyIncome]]&lt;5000,"3000-4999",IF(HR_Cleaned[[#This Row],[MonthlyIncome]]&lt;8000,"5000-7999","8000+")))</f>
        <v>5000-7999</v>
      </c>
      <c r="AM158">
        <f>IF(HR_Cleaned[[#This Row],[Attrition]]="Yes",1,0)</f>
        <v>0</v>
      </c>
    </row>
    <row r="159" spans="1:39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>
        <f>IF(HR_Cleaned[[#This Row],[Age]]&lt;25,"18-24",IF(HR_Cleaned[[#This Row],[Age]]&lt;35,"25-34",IF(HR_Cleaned[[#This Row],[Age]]&lt;45,"35-44",IF(HR_Cleaned[[#This Row],[Age]]&lt;55,"45-54","55+"))))</f>
        <v>55+</v>
      </c>
      <c r="AK15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59" t="str">
        <f>IF(HR_Cleaned[[#This Row],[MonthlyIncome]]&lt;3000,"Below 3000",IF(HR_Cleaned[[#This Row],[MonthlyIncome]]&lt;5000,"3000-4999",IF(HR_Cleaned[[#This Row],[MonthlyIncome]]&lt;8000,"5000-7999","8000+")))</f>
        <v>3000-4999</v>
      </c>
      <c r="AM159">
        <f>IF(HR_Cleaned[[#This Row],[Attrition]]="Yes",1,0)</f>
        <v>0</v>
      </c>
    </row>
    <row r="160" spans="1:39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>
        <f>IF(HR_Cleaned[[#This Row],[Age]]&lt;25,"18-24",IF(HR_Cleaned[[#This Row],[Age]]&lt;35,"25-34",IF(HR_Cleaned[[#This Row],[Age]]&lt;45,"35-44",IF(HR_Cleaned[[#This Row],[Age]]&lt;55,"45-54","55+"))))</f>
        <v>35-44</v>
      </c>
      <c r="AK16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60" t="str">
        <f>IF(HR_Cleaned[[#This Row],[MonthlyIncome]]&lt;3000,"Below 3000",IF(HR_Cleaned[[#This Row],[MonthlyIncome]]&lt;5000,"3000-4999",IF(HR_Cleaned[[#This Row],[MonthlyIncome]]&lt;8000,"5000-7999","8000+")))</f>
        <v>8000+</v>
      </c>
      <c r="AM160">
        <f>IF(HR_Cleaned[[#This Row],[Attrition]]="Yes",1,0)</f>
        <v>0</v>
      </c>
    </row>
    <row r="161" spans="1:39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>
        <f>IF(HR_Cleaned[[#This Row],[Age]]&lt;25,"18-24",IF(HR_Cleaned[[#This Row],[Age]]&lt;35,"25-34",IF(HR_Cleaned[[#This Row],[Age]]&lt;45,"35-44",IF(HR_Cleaned[[#This Row],[Age]]&lt;55,"45-54","55+"))))</f>
        <v>25-34</v>
      </c>
      <c r="AK16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61" t="str">
        <f>IF(HR_Cleaned[[#This Row],[MonthlyIncome]]&lt;3000,"Below 3000",IF(HR_Cleaned[[#This Row],[MonthlyIncome]]&lt;5000,"3000-4999",IF(HR_Cleaned[[#This Row],[MonthlyIncome]]&lt;8000,"5000-7999","8000+")))</f>
        <v>Below 3000</v>
      </c>
      <c r="AM161">
        <f>IF(HR_Cleaned[[#This Row],[Attrition]]="Yes",1,0)</f>
        <v>0</v>
      </c>
    </row>
    <row r="162" spans="1:39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>
        <f>IF(HR_Cleaned[[#This Row],[Age]]&lt;25,"18-24",IF(HR_Cleaned[[#This Row],[Age]]&lt;35,"25-34",IF(HR_Cleaned[[#This Row],[Age]]&lt;45,"35-44",IF(HR_Cleaned[[#This Row],[Age]]&lt;55,"45-54","55+"))))</f>
        <v>18-24</v>
      </c>
      <c r="AK16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62" t="str">
        <f>IF(HR_Cleaned[[#This Row],[MonthlyIncome]]&lt;3000,"Below 3000",IF(HR_Cleaned[[#This Row],[MonthlyIncome]]&lt;5000,"3000-4999",IF(HR_Cleaned[[#This Row],[MonthlyIncome]]&lt;8000,"5000-7999","8000+")))</f>
        <v>Below 3000</v>
      </c>
      <c r="AM162">
        <f>IF(HR_Cleaned[[#This Row],[Attrition]]="Yes",1,0)</f>
        <v>0</v>
      </c>
    </row>
    <row r="163" spans="1:39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>
        <f>IF(HR_Cleaned[[#This Row],[Age]]&lt;25,"18-24",IF(HR_Cleaned[[#This Row],[Age]]&lt;35,"25-34",IF(HR_Cleaned[[#This Row],[Age]]&lt;45,"35-44",IF(HR_Cleaned[[#This Row],[Age]]&lt;55,"45-54","55+"))))</f>
        <v>25-34</v>
      </c>
      <c r="AK16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63" t="str">
        <f>IF(HR_Cleaned[[#This Row],[MonthlyIncome]]&lt;3000,"Below 3000",IF(HR_Cleaned[[#This Row],[MonthlyIncome]]&lt;5000,"3000-4999",IF(HR_Cleaned[[#This Row],[MonthlyIncome]]&lt;8000,"5000-7999","8000+")))</f>
        <v>Below 3000</v>
      </c>
      <c r="AM163">
        <f>IF(HR_Cleaned[[#This Row],[Attrition]]="Yes",1,0)</f>
        <v>0</v>
      </c>
    </row>
    <row r="164" spans="1:39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>
        <f>IF(HR_Cleaned[[#This Row],[Age]]&lt;25,"18-24",IF(HR_Cleaned[[#This Row],[Age]]&lt;35,"25-34",IF(HR_Cleaned[[#This Row],[Age]]&lt;45,"35-44",IF(HR_Cleaned[[#This Row],[Age]]&lt;55,"45-54","55+"))))</f>
        <v>25-34</v>
      </c>
      <c r="AK16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64" t="str">
        <f>IF(HR_Cleaned[[#This Row],[MonthlyIncome]]&lt;3000,"Below 3000",IF(HR_Cleaned[[#This Row],[MonthlyIncome]]&lt;5000,"3000-4999",IF(HR_Cleaned[[#This Row],[MonthlyIncome]]&lt;8000,"5000-7999","8000+")))</f>
        <v>Below 3000</v>
      </c>
      <c r="AM164">
        <f>IF(HR_Cleaned[[#This Row],[Attrition]]="Yes",1,0)</f>
        <v>0</v>
      </c>
    </row>
    <row r="165" spans="1:39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>
        <f>IF(HR_Cleaned[[#This Row],[Age]]&lt;25,"18-24",IF(HR_Cleaned[[#This Row],[Age]]&lt;35,"25-34",IF(HR_Cleaned[[#This Row],[Age]]&lt;45,"35-44",IF(HR_Cleaned[[#This Row],[Age]]&lt;55,"45-54","55+"))))</f>
        <v>55+</v>
      </c>
      <c r="AK16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65" t="str">
        <f>IF(HR_Cleaned[[#This Row],[MonthlyIncome]]&lt;3000,"Below 3000",IF(HR_Cleaned[[#This Row],[MonthlyIncome]]&lt;5000,"3000-4999",IF(HR_Cleaned[[#This Row],[MonthlyIncome]]&lt;8000,"5000-7999","8000+")))</f>
        <v>8000+</v>
      </c>
      <c r="AM165">
        <f>IF(HR_Cleaned[[#This Row],[Attrition]]="Yes",1,0)</f>
        <v>0</v>
      </c>
    </row>
    <row r="166" spans="1:39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>
        <f>IF(HR_Cleaned[[#This Row],[Age]]&lt;25,"18-24",IF(HR_Cleaned[[#This Row],[Age]]&lt;35,"25-34",IF(HR_Cleaned[[#This Row],[Age]]&lt;45,"35-44",IF(HR_Cleaned[[#This Row],[Age]]&lt;55,"45-54","55+"))))</f>
        <v>25-34</v>
      </c>
      <c r="AK16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66" t="str">
        <f>IF(HR_Cleaned[[#This Row],[MonthlyIncome]]&lt;3000,"Below 3000",IF(HR_Cleaned[[#This Row],[MonthlyIncome]]&lt;5000,"3000-4999",IF(HR_Cleaned[[#This Row],[MonthlyIncome]]&lt;8000,"5000-7999","8000+")))</f>
        <v>Below 3000</v>
      </c>
      <c r="AM166">
        <f>IF(HR_Cleaned[[#This Row],[Attrition]]="Yes",1,0)</f>
        <v>0</v>
      </c>
    </row>
    <row r="167" spans="1:39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>
        <f>IF(HR_Cleaned[[#This Row],[Age]]&lt;25,"18-24",IF(HR_Cleaned[[#This Row],[Age]]&lt;35,"25-34",IF(HR_Cleaned[[#This Row],[Age]]&lt;45,"35-44",IF(HR_Cleaned[[#This Row],[Age]]&lt;55,"45-54","55+"))))</f>
        <v>45-54</v>
      </c>
      <c r="AK16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67" t="str">
        <f>IF(HR_Cleaned[[#This Row],[MonthlyIncome]]&lt;3000,"Below 3000",IF(HR_Cleaned[[#This Row],[MonthlyIncome]]&lt;5000,"3000-4999",IF(HR_Cleaned[[#This Row],[MonthlyIncome]]&lt;8000,"5000-7999","8000+")))</f>
        <v>8000+</v>
      </c>
      <c r="AM167">
        <f>IF(HR_Cleaned[[#This Row],[Attrition]]="Yes",1,0)</f>
        <v>0</v>
      </c>
    </row>
    <row r="168" spans="1:39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>
        <f>IF(HR_Cleaned[[#This Row],[Age]]&lt;25,"18-24",IF(HR_Cleaned[[#This Row],[Age]]&lt;35,"25-34",IF(HR_Cleaned[[#This Row],[Age]]&lt;45,"35-44",IF(HR_Cleaned[[#This Row],[Age]]&lt;55,"45-54","55+"))))</f>
        <v>35-44</v>
      </c>
      <c r="AK16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68" t="str">
        <f>IF(HR_Cleaned[[#This Row],[MonthlyIncome]]&lt;3000,"Below 3000",IF(HR_Cleaned[[#This Row],[MonthlyIncome]]&lt;5000,"3000-4999",IF(HR_Cleaned[[#This Row],[MonthlyIncome]]&lt;8000,"5000-7999","8000+")))</f>
        <v>Below 3000</v>
      </c>
      <c r="AM168">
        <f>IF(HR_Cleaned[[#This Row],[Attrition]]="Yes",1,0)</f>
        <v>0</v>
      </c>
    </row>
    <row r="169" spans="1:39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>
        <f>IF(HR_Cleaned[[#This Row],[Age]]&lt;25,"18-24",IF(HR_Cleaned[[#This Row],[Age]]&lt;35,"25-34",IF(HR_Cleaned[[#This Row],[Age]]&lt;45,"35-44",IF(HR_Cleaned[[#This Row],[Age]]&lt;55,"45-54","55+"))))</f>
        <v>25-34</v>
      </c>
      <c r="AK16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69" t="str">
        <f>IF(HR_Cleaned[[#This Row],[MonthlyIncome]]&lt;3000,"Below 3000",IF(HR_Cleaned[[#This Row],[MonthlyIncome]]&lt;5000,"3000-4999",IF(HR_Cleaned[[#This Row],[MonthlyIncome]]&lt;8000,"5000-7999","8000+")))</f>
        <v>8000+</v>
      </c>
      <c r="AM169">
        <f>IF(HR_Cleaned[[#This Row],[Attrition]]="Yes",1,0)</f>
        <v>0</v>
      </c>
    </row>
    <row r="170" spans="1:39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>
        <f>IF(HR_Cleaned[[#This Row],[Age]]&lt;25,"18-24",IF(HR_Cleaned[[#This Row],[Age]]&lt;35,"25-34",IF(HR_Cleaned[[#This Row],[Age]]&lt;45,"35-44",IF(HR_Cleaned[[#This Row],[Age]]&lt;55,"45-54","55+"))))</f>
        <v>35-44</v>
      </c>
      <c r="AK17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70" t="str">
        <f>IF(HR_Cleaned[[#This Row],[MonthlyIncome]]&lt;3000,"Below 3000",IF(HR_Cleaned[[#This Row],[MonthlyIncome]]&lt;5000,"3000-4999",IF(HR_Cleaned[[#This Row],[MonthlyIncome]]&lt;8000,"5000-7999","8000+")))</f>
        <v>8000+</v>
      </c>
      <c r="AM170">
        <f>IF(HR_Cleaned[[#This Row],[Attrition]]="Yes",1,0)</f>
        <v>0</v>
      </c>
    </row>
    <row r="171" spans="1:39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>
        <f>IF(HR_Cleaned[[#This Row],[Age]]&lt;25,"18-24",IF(HR_Cleaned[[#This Row],[Age]]&lt;35,"25-34",IF(HR_Cleaned[[#This Row],[Age]]&lt;45,"35-44",IF(HR_Cleaned[[#This Row],[Age]]&lt;55,"45-54","55+"))))</f>
        <v>25-34</v>
      </c>
      <c r="AK17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71" t="str">
        <f>IF(HR_Cleaned[[#This Row],[MonthlyIncome]]&lt;3000,"Below 3000",IF(HR_Cleaned[[#This Row],[MonthlyIncome]]&lt;5000,"3000-4999",IF(HR_Cleaned[[#This Row],[MonthlyIncome]]&lt;8000,"5000-7999","8000+")))</f>
        <v>3000-4999</v>
      </c>
      <c r="AM171">
        <f>IF(HR_Cleaned[[#This Row],[Attrition]]="Yes",1,0)</f>
        <v>0</v>
      </c>
    </row>
    <row r="172" spans="1:39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>
        <f>IF(HR_Cleaned[[#This Row],[Age]]&lt;25,"18-24",IF(HR_Cleaned[[#This Row],[Age]]&lt;35,"25-34",IF(HR_Cleaned[[#This Row],[Age]]&lt;45,"35-44",IF(HR_Cleaned[[#This Row],[Age]]&lt;55,"45-54","55+"))))</f>
        <v>25-34</v>
      </c>
      <c r="AK17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72" t="str">
        <f>IF(HR_Cleaned[[#This Row],[MonthlyIncome]]&lt;3000,"Below 3000",IF(HR_Cleaned[[#This Row],[MonthlyIncome]]&lt;5000,"3000-4999",IF(HR_Cleaned[[#This Row],[MonthlyIncome]]&lt;8000,"5000-7999","8000+")))</f>
        <v>3000-4999</v>
      </c>
      <c r="AM172">
        <f>IF(HR_Cleaned[[#This Row],[Attrition]]="Yes",1,0)</f>
        <v>0</v>
      </c>
    </row>
    <row r="173" spans="1:39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>
        <f>IF(HR_Cleaned[[#This Row],[Age]]&lt;25,"18-24",IF(HR_Cleaned[[#This Row],[Age]]&lt;35,"25-34",IF(HR_Cleaned[[#This Row],[Age]]&lt;45,"35-44",IF(HR_Cleaned[[#This Row],[Age]]&lt;55,"45-54","55+"))))</f>
        <v>18-24</v>
      </c>
      <c r="AK17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73" t="str">
        <f>IF(HR_Cleaned[[#This Row],[MonthlyIncome]]&lt;3000,"Below 3000",IF(HR_Cleaned[[#This Row],[MonthlyIncome]]&lt;5000,"3000-4999",IF(HR_Cleaned[[#This Row],[MonthlyIncome]]&lt;8000,"5000-7999","8000+")))</f>
        <v>Below 3000</v>
      </c>
      <c r="AM173">
        <f>IF(HR_Cleaned[[#This Row],[Attrition]]="Yes",1,0)</f>
        <v>1</v>
      </c>
    </row>
    <row r="174" spans="1:39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>
        <f>IF(HR_Cleaned[[#This Row],[Age]]&lt;25,"18-24",IF(HR_Cleaned[[#This Row],[Age]]&lt;35,"25-34",IF(HR_Cleaned[[#This Row],[Age]]&lt;45,"35-44",IF(HR_Cleaned[[#This Row],[Age]]&lt;55,"45-54","55+"))))</f>
        <v>35-44</v>
      </c>
      <c r="AK17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74" t="str">
        <f>IF(HR_Cleaned[[#This Row],[MonthlyIncome]]&lt;3000,"Below 3000",IF(HR_Cleaned[[#This Row],[MonthlyIncome]]&lt;5000,"3000-4999",IF(HR_Cleaned[[#This Row],[MonthlyIncome]]&lt;8000,"5000-7999","8000+")))</f>
        <v>Below 3000</v>
      </c>
      <c r="AM174">
        <f>IF(HR_Cleaned[[#This Row],[Attrition]]="Yes",1,0)</f>
        <v>0</v>
      </c>
    </row>
    <row r="175" spans="1:39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>
        <f>IF(HR_Cleaned[[#This Row],[Age]]&lt;25,"18-24",IF(HR_Cleaned[[#This Row],[Age]]&lt;35,"25-34",IF(HR_Cleaned[[#This Row],[Age]]&lt;45,"35-44",IF(HR_Cleaned[[#This Row],[Age]]&lt;55,"45-54","55+"))))</f>
        <v>25-34</v>
      </c>
      <c r="AK17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75" t="str">
        <f>IF(HR_Cleaned[[#This Row],[MonthlyIncome]]&lt;3000,"Below 3000",IF(HR_Cleaned[[#This Row],[MonthlyIncome]]&lt;5000,"3000-4999",IF(HR_Cleaned[[#This Row],[MonthlyIncome]]&lt;8000,"5000-7999","8000+")))</f>
        <v>3000-4999</v>
      </c>
      <c r="AM175">
        <f>IF(HR_Cleaned[[#This Row],[Attrition]]="Yes",1,0)</f>
        <v>0</v>
      </c>
    </row>
    <row r="176" spans="1:39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>
        <f>IF(HR_Cleaned[[#This Row],[Age]]&lt;25,"18-24",IF(HR_Cleaned[[#This Row],[Age]]&lt;35,"25-34",IF(HR_Cleaned[[#This Row],[Age]]&lt;45,"35-44",IF(HR_Cleaned[[#This Row],[Age]]&lt;55,"45-54","55+"))))</f>
        <v>45-54</v>
      </c>
      <c r="AK17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76" t="str">
        <f>IF(HR_Cleaned[[#This Row],[MonthlyIncome]]&lt;3000,"Below 3000",IF(HR_Cleaned[[#This Row],[MonthlyIncome]]&lt;5000,"3000-4999",IF(HR_Cleaned[[#This Row],[MonthlyIncome]]&lt;8000,"5000-7999","8000+")))</f>
        <v>5000-7999</v>
      </c>
      <c r="AM176">
        <f>IF(HR_Cleaned[[#This Row],[Attrition]]="Yes",1,0)</f>
        <v>0</v>
      </c>
    </row>
    <row r="177" spans="1:39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>
        <f>IF(HR_Cleaned[[#This Row],[Age]]&lt;25,"18-24",IF(HR_Cleaned[[#This Row],[Age]]&lt;35,"25-34",IF(HR_Cleaned[[#This Row],[Age]]&lt;45,"35-44",IF(HR_Cleaned[[#This Row],[Age]]&lt;55,"45-54","55+"))))</f>
        <v>55+</v>
      </c>
      <c r="AK17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77" t="str">
        <f>IF(HR_Cleaned[[#This Row],[MonthlyIncome]]&lt;3000,"Below 3000",IF(HR_Cleaned[[#This Row],[MonthlyIncome]]&lt;5000,"3000-4999",IF(HR_Cleaned[[#This Row],[MonthlyIncome]]&lt;8000,"5000-7999","8000+")))</f>
        <v>3000-4999</v>
      </c>
      <c r="AM177">
        <f>IF(HR_Cleaned[[#This Row],[Attrition]]="Yes",1,0)</f>
        <v>0</v>
      </c>
    </row>
    <row r="178" spans="1:39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>
        <f>IF(HR_Cleaned[[#This Row],[Age]]&lt;25,"18-24",IF(HR_Cleaned[[#This Row],[Age]]&lt;35,"25-34",IF(HR_Cleaned[[#This Row],[Age]]&lt;45,"35-44",IF(HR_Cleaned[[#This Row],[Age]]&lt;55,"45-54","55+"))))</f>
        <v>25-34</v>
      </c>
      <c r="AK17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78" t="str">
        <f>IF(HR_Cleaned[[#This Row],[MonthlyIncome]]&lt;3000,"Below 3000",IF(HR_Cleaned[[#This Row],[MonthlyIncome]]&lt;5000,"3000-4999",IF(HR_Cleaned[[#This Row],[MonthlyIncome]]&lt;8000,"5000-7999","8000+")))</f>
        <v>Below 3000</v>
      </c>
      <c r="AM178">
        <f>IF(HR_Cleaned[[#This Row],[Attrition]]="Yes",1,0)</f>
        <v>0</v>
      </c>
    </row>
    <row r="179" spans="1:39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>
        <f>IF(HR_Cleaned[[#This Row],[Age]]&lt;25,"18-24",IF(HR_Cleaned[[#This Row],[Age]]&lt;35,"25-34",IF(HR_Cleaned[[#This Row],[Age]]&lt;45,"35-44",IF(HR_Cleaned[[#This Row],[Age]]&lt;55,"45-54","55+"))))</f>
        <v>18-24</v>
      </c>
      <c r="AK17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79" t="str">
        <f>IF(HR_Cleaned[[#This Row],[MonthlyIncome]]&lt;3000,"Below 3000",IF(HR_Cleaned[[#This Row],[MonthlyIncome]]&lt;5000,"3000-4999",IF(HR_Cleaned[[#This Row],[MonthlyIncome]]&lt;8000,"5000-7999","8000+")))</f>
        <v>Below 3000</v>
      </c>
      <c r="AM179">
        <f>IF(HR_Cleaned[[#This Row],[Attrition]]="Yes",1,0)</f>
        <v>1</v>
      </c>
    </row>
    <row r="180" spans="1:39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>
        <f>IF(HR_Cleaned[[#This Row],[Age]]&lt;25,"18-24",IF(HR_Cleaned[[#This Row],[Age]]&lt;35,"25-34",IF(HR_Cleaned[[#This Row],[Age]]&lt;45,"35-44",IF(HR_Cleaned[[#This Row],[Age]]&lt;55,"45-54","55+"))))</f>
        <v>45-54</v>
      </c>
      <c r="AK18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80" t="str">
        <f>IF(HR_Cleaned[[#This Row],[MonthlyIncome]]&lt;3000,"Below 3000",IF(HR_Cleaned[[#This Row],[MonthlyIncome]]&lt;5000,"3000-4999",IF(HR_Cleaned[[#This Row],[MonthlyIncome]]&lt;8000,"5000-7999","8000+")))</f>
        <v>8000+</v>
      </c>
      <c r="AM180">
        <f>IF(HR_Cleaned[[#This Row],[Attrition]]="Yes",1,0)</f>
        <v>0</v>
      </c>
    </row>
    <row r="181" spans="1:39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>
        <f>IF(HR_Cleaned[[#This Row],[Age]]&lt;25,"18-24",IF(HR_Cleaned[[#This Row],[Age]]&lt;35,"25-34",IF(HR_Cleaned[[#This Row],[Age]]&lt;45,"35-44",IF(HR_Cleaned[[#This Row],[Age]]&lt;55,"45-54","55+"))))</f>
        <v>35-44</v>
      </c>
      <c r="AK18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81" t="str">
        <f>IF(HR_Cleaned[[#This Row],[MonthlyIncome]]&lt;3000,"Below 3000",IF(HR_Cleaned[[#This Row],[MonthlyIncome]]&lt;5000,"3000-4999",IF(HR_Cleaned[[#This Row],[MonthlyIncome]]&lt;8000,"5000-7999","8000+")))</f>
        <v>Below 3000</v>
      </c>
      <c r="AM181">
        <f>IF(HR_Cleaned[[#This Row],[Attrition]]="Yes",1,0)</f>
        <v>0</v>
      </c>
    </row>
    <row r="182" spans="1:39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>
        <f>IF(HR_Cleaned[[#This Row],[Age]]&lt;25,"18-24",IF(HR_Cleaned[[#This Row],[Age]]&lt;35,"25-34",IF(HR_Cleaned[[#This Row],[Age]]&lt;45,"35-44",IF(HR_Cleaned[[#This Row],[Age]]&lt;55,"45-54","55+"))))</f>
        <v>25-34</v>
      </c>
      <c r="AK18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82" t="str">
        <f>IF(HR_Cleaned[[#This Row],[MonthlyIncome]]&lt;3000,"Below 3000",IF(HR_Cleaned[[#This Row],[MonthlyIncome]]&lt;5000,"3000-4999",IF(HR_Cleaned[[#This Row],[MonthlyIncome]]&lt;8000,"5000-7999","8000+")))</f>
        <v>3000-4999</v>
      </c>
      <c r="AM182">
        <f>IF(HR_Cleaned[[#This Row],[Attrition]]="Yes",1,0)</f>
        <v>0</v>
      </c>
    </row>
    <row r="183" spans="1:39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>
        <f>IF(HR_Cleaned[[#This Row],[Age]]&lt;25,"18-24",IF(HR_Cleaned[[#This Row],[Age]]&lt;35,"25-34",IF(HR_Cleaned[[#This Row],[Age]]&lt;45,"35-44",IF(HR_Cleaned[[#This Row],[Age]]&lt;55,"45-54","55+"))))</f>
        <v>25-34</v>
      </c>
      <c r="AK18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83" t="str">
        <f>IF(HR_Cleaned[[#This Row],[MonthlyIncome]]&lt;3000,"Below 3000",IF(HR_Cleaned[[#This Row],[MonthlyIncome]]&lt;5000,"3000-4999",IF(HR_Cleaned[[#This Row],[MonthlyIncome]]&lt;8000,"5000-7999","8000+")))</f>
        <v>Below 3000</v>
      </c>
      <c r="AM183">
        <f>IF(HR_Cleaned[[#This Row],[Attrition]]="Yes",1,0)</f>
        <v>0</v>
      </c>
    </row>
    <row r="184" spans="1:39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>
        <f>IF(HR_Cleaned[[#This Row],[Age]]&lt;25,"18-24",IF(HR_Cleaned[[#This Row],[Age]]&lt;35,"25-34",IF(HR_Cleaned[[#This Row],[Age]]&lt;45,"35-44",IF(HR_Cleaned[[#This Row],[Age]]&lt;55,"45-54","55+"))))</f>
        <v>35-44</v>
      </c>
      <c r="AK18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84" t="str">
        <f>IF(HR_Cleaned[[#This Row],[MonthlyIncome]]&lt;3000,"Below 3000",IF(HR_Cleaned[[#This Row],[MonthlyIncome]]&lt;5000,"3000-4999",IF(HR_Cleaned[[#This Row],[MonthlyIncome]]&lt;8000,"5000-7999","8000+")))</f>
        <v>3000-4999</v>
      </c>
      <c r="AM184">
        <f>IF(HR_Cleaned[[#This Row],[Attrition]]="Yes",1,0)</f>
        <v>1</v>
      </c>
    </row>
    <row r="185" spans="1:39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>
        <f>IF(HR_Cleaned[[#This Row],[Age]]&lt;25,"18-24",IF(HR_Cleaned[[#This Row],[Age]]&lt;35,"25-34",IF(HR_Cleaned[[#This Row],[Age]]&lt;45,"35-44",IF(HR_Cleaned[[#This Row],[Age]]&lt;55,"45-54","55+"))))</f>
        <v>45-54</v>
      </c>
      <c r="AK18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85" t="str">
        <f>IF(HR_Cleaned[[#This Row],[MonthlyIncome]]&lt;3000,"Below 3000",IF(HR_Cleaned[[#This Row],[MonthlyIncome]]&lt;5000,"3000-4999",IF(HR_Cleaned[[#This Row],[MonthlyIncome]]&lt;8000,"5000-7999","8000+")))</f>
        <v>3000-4999</v>
      </c>
      <c r="AM185">
        <f>IF(HR_Cleaned[[#This Row],[Attrition]]="Yes",1,0)</f>
        <v>0</v>
      </c>
    </row>
    <row r="186" spans="1:39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>
        <f>IF(HR_Cleaned[[#This Row],[Age]]&lt;25,"18-24",IF(HR_Cleaned[[#This Row],[Age]]&lt;35,"25-34",IF(HR_Cleaned[[#This Row],[Age]]&lt;45,"35-44",IF(HR_Cleaned[[#This Row],[Age]]&lt;55,"45-54","55+"))))</f>
        <v>45-54</v>
      </c>
      <c r="AK18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86" t="str">
        <f>IF(HR_Cleaned[[#This Row],[MonthlyIncome]]&lt;3000,"Below 3000",IF(HR_Cleaned[[#This Row],[MonthlyIncome]]&lt;5000,"3000-4999",IF(HR_Cleaned[[#This Row],[MonthlyIncome]]&lt;8000,"5000-7999","8000+")))</f>
        <v>3000-4999</v>
      </c>
      <c r="AM186">
        <f>IF(HR_Cleaned[[#This Row],[Attrition]]="Yes",1,0)</f>
        <v>0</v>
      </c>
    </row>
    <row r="187" spans="1:39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>
        <f>IF(HR_Cleaned[[#This Row],[Age]]&lt;25,"18-24",IF(HR_Cleaned[[#This Row],[Age]]&lt;35,"25-34",IF(HR_Cleaned[[#This Row],[Age]]&lt;45,"35-44",IF(HR_Cleaned[[#This Row],[Age]]&lt;55,"45-54","55+"))))</f>
        <v>25-34</v>
      </c>
      <c r="AK18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87" t="str">
        <f>IF(HR_Cleaned[[#This Row],[MonthlyIncome]]&lt;3000,"Below 3000",IF(HR_Cleaned[[#This Row],[MonthlyIncome]]&lt;5000,"3000-4999",IF(HR_Cleaned[[#This Row],[MonthlyIncome]]&lt;8000,"5000-7999","8000+")))</f>
        <v>Below 3000</v>
      </c>
      <c r="AM187">
        <f>IF(HR_Cleaned[[#This Row],[Attrition]]="Yes",1,0)</f>
        <v>0</v>
      </c>
    </row>
    <row r="188" spans="1:39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>
        <f>IF(HR_Cleaned[[#This Row],[Age]]&lt;25,"18-24",IF(HR_Cleaned[[#This Row],[Age]]&lt;35,"25-34",IF(HR_Cleaned[[#This Row],[Age]]&lt;45,"35-44",IF(HR_Cleaned[[#This Row],[Age]]&lt;55,"45-54","55+"))))</f>
        <v>35-44</v>
      </c>
      <c r="AK18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88" t="str">
        <f>IF(HR_Cleaned[[#This Row],[MonthlyIncome]]&lt;3000,"Below 3000",IF(HR_Cleaned[[#This Row],[MonthlyIncome]]&lt;5000,"3000-4999",IF(HR_Cleaned[[#This Row],[MonthlyIncome]]&lt;8000,"5000-7999","8000+")))</f>
        <v>8000+</v>
      </c>
      <c r="AM188">
        <f>IF(HR_Cleaned[[#This Row],[Attrition]]="Yes",1,0)</f>
        <v>0</v>
      </c>
    </row>
    <row r="189" spans="1:39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>
        <f>IF(HR_Cleaned[[#This Row],[Age]]&lt;25,"18-24",IF(HR_Cleaned[[#This Row],[Age]]&lt;35,"25-34",IF(HR_Cleaned[[#This Row],[Age]]&lt;45,"35-44",IF(HR_Cleaned[[#This Row],[Age]]&lt;55,"45-54","55+"))))</f>
        <v>55+</v>
      </c>
      <c r="AK18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89" t="str">
        <f>IF(HR_Cleaned[[#This Row],[MonthlyIncome]]&lt;3000,"Below 3000",IF(HR_Cleaned[[#This Row],[MonthlyIncome]]&lt;5000,"3000-4999",IF(HR_Cleaned[[#This Row],[MonthlyIncome]]&lt;8000,"5000-7999","8000+")))</f>
        <v>8000+</v>
      </c>
      <c r="AM189">
        <f>IF(HR_Cleaned[[#This Row],[Attrition]]="Yes",1,0)</f>
        <v>0</v>
      </c>
    </row>
    <row r="190" spans="1:39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>
        <f>IF(HR_Cleaned[[#This Row],[Age]]&lt;25,"18-24",IF(HR_Cleaned[[#This Row],[Age]]&lt;35,"25-34",IF(HR_Cleaned[[#This Row],[Age]]&lt;45,"35-44",IF(HR_Cleaned[[#This Row],[Age]]&lt;55,"45-54","55+"))))</f>
        <v>25-34</v>
      </c>
      <c r="AK19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90" t="str">
        <f>IF(HR_Cleaned[[#This Row],[MonthlyIncome]]&lt;3000,"Below 3000",IF(HR_Cleaned[[#This Row],[MonthlyIncome]]&lt;5000,"3000-4999",IF(HR_Cleaned[[#This Row],[MonthlyIncome]]&lt;8000,"5000-7999","8000+")))</f>
        <v>8000+</v>
      </c>
      <c r="AM190">
        <f>IF(HR_Cleaned[[#This Row],[Attrition]]="Yes",1,0)</f>
        <v>0</v>
      </c>
    </row>
    <row r="191" spans="1:39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>
        <f>IF(HR_Cleaned[[#This Row],[Age]]&lt;25,"18-24",IF(HR_Cleaned[[#This Row],[Age]]&lt;35,"25-34",IF(HR_Cleaned[[#This Row],[Age]]&lt;45,"35-44",IF(HR_Cleaned[[#This Row],[Age]]&lt;55,"45-54","55+"))))</f>
        <v>45-54</v>
      </c>
      <c r="AK19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91" t="str">
        <f>IF(HR_Cleaned[[#This Row],[MonthlyIncome]]&lt;3000,"Below 3000",IF(HR_Cleaned[[#This Row],[MonthlyIncome]]&lt;5000,"3000-4999",IF(HR_Cleaned[[#This Row],[MonthlyIncome]]&lt;8000,"5000-7999","8000+")))</f>
        <v>8000+</v>
      </c>
      <c r="AM191">
        <f>IF(HR_Cleaned[[#This Row],[Attrition]]="Yes",1,0)</f>
        <v>0</v>
      </c>
    </row>
    <row r="192" spans="1:39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>
        <f>IF(HR_Cleaned[[#This Row],[Age]]&lt;25,"18-24",IF(HR_Cleaned[[#This Row],[Age]]&lt;35,"25-34",IF(HR_Cleaned[[#This Row],[Age]]&lt;45,"35-44",IF(HR_Cleaned[[#This Row],[Age]]&lt;55,"45-54","55+"))))</f>
        <v>45-54</v>
      </c>
      <c r="AK19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92" t="str">
        <f>IF(HR_Cleaned[[#This Row],[MonthlyIncome]]&lt;3000,"Below 3000",IF(HR_Cleaned[[#This Row],[MonthlyIncome]]&lt;5000,"3000-4999",IF(HR_Cleaned[[#This Row],[MonthlyIncome]]&lt;8000,"5000-7999","8000+")))</f>
        <v>8000+</v>
      </c>
      <c r="AM192">
        <f>IF(HR_Cleaned[[#This Row],[Attrition]]="Yes",1,0)</f>
        <v>0</v>
      </c>
    </row>
    <row r="193" spans="1:39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>
        <f>IF(HR_Cleaned[[#This Row],[Age]]&lt;25,"18-24",IF(HR_Cleaned[[#This Row],[Age]]&lt;35,"25-34",IF(HR_Cleaned[[#This Row],[Age]]&lt;45,"35-44",IF(HR_Cleaned[[#This Row],[Age]]&lt;55,"45-54","55+"))))</f>
        <v>25-34</v>
      </c>
      <c r="AK19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93" t="str">
        <f>IF(HR_Cleaned[[#This Row],[MonthlyIncome]]&lt;3000,"Below 3000",IF(HR_Cleaned[[#This Row],[MonthlyIncome]]&lt;5000,"3000-4999",IF(HR_Cleaned[[#This Row],[MonthlyIncome]]&lt;8000,"5000-7999","8000+")))</f>
        <v>Below 3000</v>
      </c>
      <c r="AM193">
        <f>IF(HR_Cleaned[[#This Row],[Attrition]]="Yes",1,0)</f>
        <v>0</v>
      </c>
    </row>
    <row r="194" spans="1:39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>
        <f>IF(HR_Cleaned[[#This Row],[Age]]&lt;25,"18-24",IF(HR_Cleaned[[#This Row],[Age]]&lt;35,"25-34",IF(HR_Cleaned[[#This Row],[Age]]&lt;45,"35-44",IF(HR_Cleaned[[#This Row],[Age]]&lt;55,"45-54","55+"))))</f>
        <v>35-44</v>
      </c>
      <c r="AK19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94" t="str">
        <f>IF(HR_Cleaned[[#This Row],[MonthlyIncome]]&lt;3000,"Below 3000",IF(HR_Cleaned[[#This Row],[MonthlyIncome]]&lt;5000,"3000-4999",IF(HR_Cleaned[[#This Row],[MonthlyIncome]]&lt;8000,"5000-7999","8000+")))</f>
        <v>5000-7999</v>
      </c>
      <c r="AM194">
        <f>IF(HR_Cleaned[[#This Row],[Attrition]]="Yes",1,0)</f>
        <v>1</v>
      </c>
    </row>
    <row r="195" spans="1:39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>
        <f>IF(HR_Cleaned[[#This Row],[Age]]&lt;25,"18-24",IF(HR_Cleaned[[#This Row],[Age]]&lt;35,"25-34",IF(HR_Cleaned[[#This Row],[Age]]&lt;45,"35-44",IF(HR_Cleaned[[#This Row],[Age]]&lt;55,"45-54","55+"))))</f>
        <v>35-44</v>
      </c>
      <c r="AK19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95" t="str">
        <f>IF(HR_Cleaned[[#This Row],[MonthlyIncome]]&lt;3000,"Below 3000",IF(HR_Cleaned[[#This Row],[MonthlyIncome]]&lt;5000,"3000-4999",IF(HR_Cleaned[[#This Row],[MonthlyIncome]]&lt;8000,"5000-7999","8000+")))</f>
        <v>Below 3000</v>
      </c>
      <c r="AM195">
        <f>IF(HR_Cleaned[[#This Row],[Attrition]]="Yes",1,0)</f>
        <v>0</v>
      </c>
    </row>
    <row r="196" spans="1:39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>
        <f>IF(HR_Cleaned[[#This Row],[Age]]&lt;25,"18-24",IF(HR_Cleaned[[#This Row],[Age]]&lt;35,"25-34",IF(HR_Cleaned[[#This Row],[Age]]&lt;45,"35-44",IF(HR_Cleaned[[#This Row],[Age]]&lt;55,"45-54","55+"))))</f>
        <v>45-54</v>
      </c>
      <c r="AK196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96" t="str">
        <f>IF(HR_Cleaned[[#This Row],[MonthlyIncome]]&lt;3000,"Below 3000",IF(HR_Cleaned[[#This Row],[MonthlyIncome]]&lt;5000,"3000-4999",IF(HR_Cleaned[[#This Row],[MonthlyIncome]]&lt;8000,"5000-7999","8000+")))</f>
        <v>8000+</v>
      </c>
      <c r="AM196">
        <f>IF(HR_Cleaned[[#This Row],[Attrition]]="Yes",1,0)</f>
        <v>0</v>
      </c>
    </row>
    <row r="197" spans="1:39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>
        <f>IF(HR_Cleaned[[#This Row],[Age]]&lt;25,"18-24",IF(HR_Cleaned[[#This Row],[Age]]&lt;35,"25-34",IF(HR_Cleaned[[#This Row],[Age]]&lt;45,"35-44",IF(HR_Cleaned[[#This Row],[Age]]&lt;55,"45-54","55+"))))</f>
        <v>35-44</v>
      </c>
      <c r="AK19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97" t="str">
        <f>IF(HR_Cleaned[[#This Row],[MonthlyIncome]]&lt;3000,"Below 3000",IF(HR_Cleaned[[#This Row],[MonthlyIncome]]&lt;5000,"3000-4999",IF(HR_Cleaned[[#This Row],[MonthlyIncome]]&lt;8000,"5000-7999","8000+")))</f>
        <v>3000-4999</v>
      </c>
      <c r="AM197">
        <f>IF(HR_Cleaned[[#This Row],[Attrition]]="Yes",1,0)</f>
        <v>0</v>
      </c>
    </row>
    <row r="198" spans="1:39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>
        <f>IF(HR_Cleaned[[#This Row],[Age]]&lt;25,"18-24",IF(HR_Cleaned[[#This Row],[Age]]&lt;35,"25-34",IF(HR_Cleaned[[#This Row],[Age]]&lt;45,"35-44",IF(HR_Cleaned[[#This Row],[Age]]&lt;55,"45-54","55+"))))</f>
        <v>35-44</v>
      </c>
      <c r="AK19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98" t="str">
        <f>IF(HR_Cleaned[[#This Row],[MonthlyIncome]]&lt;3000,"Below 3000",IF(HR_Cleaned[[#This Row],[MonthlyIncome]]&lt;5000,"3000-4999",IF(HR_Cleaned[[#This Row],[MonthlyIncome]]&lt;8000,"5000-7999","8000+")))</f>
        <v>3000-4999</v>
      </c>
      <c r="AM198">
        <f>IF(HR_Cleaned[[#This Row],[Attrition]]="Yes",1,0)</f>
        <v>0</v>
      </c>
    </row>
    <row r="199" spans="1:39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>
        <f>IF(HR_Cleaned[[#This Row],[Age]]&lt;25,"18-24",IF(HR_Cleaned[[#This Row],[Age]]&lt;35,"25-34",IF(HR_Cleaned[[#This Row],[Age]]&lt;45,"35-44",IF(HR_Cleaned[[#This Row],[Age]]&lt;55,"45-54","55+"))))</f>
        <v>35-44</v>
      </c>
      <c r="AK19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99" t="str">
        <f>IF(HR_Cleaned[[#This Row],[MonthlyIncome]]&lt;3000,"Below 3000",IF(HR_Cleaned[[#This Row],[MonthlyIncome]]&lt;5000,"3000-4999",IF(HR_Cleaned[[#This Row],[MonthlyIncome]]&lt;8000,"5000-7999","8000+")))</f>
        <v>5000-7999</v>
      </c>
      <c r="AM199">
        <f>IF(HR_Cleaned[[#This Row],[Attrition]]="Yes",1,0)</f>
        <v>0</v>
      </c>
    </row>
    <row r="200" spans="1:39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>
        <f>IF(HR_Cleaned[[#This Row],[Age]]&lt;25,"18-24",IF(HR_Cleaned[[#This Row],[Age]]&lt;35,"25-34",IF(HR_Cleaned[[#This Row],[Age]]&lt;45,"35-44",IF(HR_Cleaned[[#This Row],[Age]]&lt;55,"45-54","55+"))))</f>
        <v>35-44</v>
      </c>
      <c r="AK20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200" t="str">
        <f>IF(HR_Cleaned[[#This Row],[MonthlyIncome]]&lt;3000,"Below 3000",IF(HR_Cleaned[[#This Row],[MonthlyIncome]]&lt;5000,"3000-4999",IF(HR_Cleaned[[#This Row],[MonthlyIncome]]&lt;8000,"5000-7999","8000+")))</f>
        <v>5000-7999</v>
      </c>
      <c r="AM200">
        <f>IF(HR_Cleaned[[#This Row],[Attrition]]="Yes",1,0)</f>
        <v>0</v>
      </c>
    </row>
    <row r="201" spans="1:39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>
        <f>IF(HR_Cleaned[[#This Row],[Age]]&lt;25,"18-24",IF(HR_Cleaned[[#This Row],[Age]]&lt;35,"25-34",IF(HR_Cleaned[[#This Row],[Age]]&lt;45,"35-44",IF(HR_Cleaned[[#This Row],[Age]]&lt;55,"45-54","55+"))))</f>
        <v>35-44</v>
      </c>
      <c r="AK20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01" t="str">
        <f>IF(HR_Cleaned[[#This Row],[MonthlyIncome]]&lt;3000,"Below 3000",IF(HR_Cleaned[[#This Row],[MonthlyIncome]]&lt;5000,"3000-4999",IF(HR_Cleaned[[#This Row],[MonthlyIncome]]&lt;8000,"5000-7999","8000+")))</f>
        <v>5000-7999</v>
      </c>
      <c r="AM201">
        <f>IF(HR_Cleaned[[#This Row],[Attrition]]="Yes",1,0)</f>
        <v>0</v>
      </c>
    </row>
    <row r="202" spans="1:39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>
        <f>IF(HR_Cleaned[[#This Row],[Age]]&lt;25,"18-24",IF(HR_Cleaned[[#This Row],[Age]]&lt;35,"25-34",IF(HR_Cleaned[[#This Row],[Age]]&lt;45,"35-44",IF(HR_Cleaned[[#This Row],[Age]]&lt;55,"45-54","55+"))))</f>
        <v>25-34</v>
      </c>
      <c r="AK20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202" t="str">
        <f>IF(HR_Cleaned[[#This Row],[MonthlyIncome]]&lt;3000,"Below 3000",IF(HR_Cleaned[[#This Row],[MonthlyIncome]]&lt;5000,"3000-4999",IF(HR_Cleaned[[#This Row],[MonthlyIncome]]&lt;8000,"5000-7999","8000+")))</f>
        <v>3000-4999</v>
      </c>
      <c r="AM202">
        <f>IF(HR_Cleaned[[#This Row],[Attrition]]="Yes",1,0)</f>
        <v>0</v>
      </c>
    </row>
    <row r="203" spans="1:39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>
        <f>IF(HR_Cleaned[[#This Row],[Age]]&lt;25,"18-24",IF(HR_Cleaned[[#This Row],[Age]]&lt;35,"25-34",IF(HR_Cleaned[[#This Row],[Age]]&lt;45,"35-44",IF(HR_Cleaned[[#This Row],[Age]]&lt;55,"45-54","55+"))))</f>
        <v>45-54</v>
      </c>
      <c r="AK20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03" t="str">
        <f>IF(HR_Cleaned[[#This Row],[MonthlyIncome]]&lt;3000,"Below 3000",IF(HR_Cleaned[[#This Row],[MonthlyIncome]]&lt;5000,"3000-4999",IF(HR_Cleaned[[#This Row],[MonthlyIncome]]&lt;8000,"5000-7999","8000+")))</f>
        <v>5000-7999</v>
      </c>
      <c r="AM203">
        <f>IF(HR_Cleaned[[#This Row],[Attrition]]="Yes",1,0)</f>
        <v>0</v>
      </c>
    </row>
    <row r="204" spans="1:39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>
        <f>IF(HR_Cleaned[[#This Row],[Age]]&lt;25,"18-24",IF(HR_Cleaned[[#This Row],[Age]]&lt;35,"25-34",IF(HR_Cleaned[[#This Row],[Age]]&lt;45,"35-44",IF(HR_Cleaned[[#This Row],[Age]]&lt;55,"45-54","55+"))))</f>
        <v>25-34</v>
      </c>
      <c r="AK20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04" t="str">
        <f>IF(HR_Cleaned[[#This Row],[MonthlyIncome]]&lt;3000,"Below 3000",IF(HR_Cleaned[[#This Row],[MonthlyIncome]]&lt;5000,"3000-4999",IF(HR_Cleaned[[#This Row],[MonthlyIncome]]&lt;8000,"5000-7999","8000+")))</f>
        <v>3000-4999</v>
      </c>
      <c r="AM204">
        <f>IF(HR_Cleaned[[#This Row],[Attrition]]="Yes",1,0)</f>
        <v>0</v>
      </c>
    </row>
    <row r="205" spans="1:39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>
        <f>IF(HR_Cleaned[[#This Row],[Age]]&lt;25,"18-24",IF(HR_Cleaned[[#This Row],[Age]]&lt;35,"25-34",IF(HR_Cleaned[[#This Row],[Age]]&lt;45,"35-44",IF(HR_Cleaned[[#This Row],[Age]]&lt;55,"45-54","55+"))))</f>
        <v>35-44</v>
      </c>
      <c r="AK20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05" t="str">
        <f>IF(HR_Cleaned[[#This Row],[MonthlyIncome]]&lt;3000,"Below 3000",IF(HR_Cleaned[[#This Row],[MonthlyIncome]]&lt;5000,"3000-4999",IF(HR_Cleaned[[#This Row],[MonthlyIncome]]&lt;8000,"5000-7999","8000+")))</f>
        <v>Below 3000</v>
      </c>
      <c r="AM205">
        <f>IF(HR_Cleaned[[#This Row],[Attrition]]="Yes",1,0)</f>
        <v>0</v>
      </c>
    </row>
    <row r="206" spans="1:39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>
        <f>IF(HR_Cleaned[[#This Row],[Age]]&lt;25,"18-24",IF(HR_Cleaned[[#This Row],[Age]]&lt;35,"25-34",IF(HR_Cleaned[[#This Row],[Age]]&lt;45,"35-44",IF(HR_Cleaned[[#This Row],[Age]]&lt;55,"45-54","55+"))))</f>
        <v>35-44</v>
      </c>
      <c r="AK20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206" t="str">
        <f>IF(HR_Cleaned[[#This Row],[MonthlyIncome]]&lt;3000,"Below 3000",IF(HR_Cleaned[[#This Row],[MonthlyIncome]]&lt;5000,"3000-4999",IF(HR_Cleaned[[#This Row],[MonthlyIncome]]&lt;8000,"5000-7999","8000+")))</f>
        <v>5000-7999</v>
      </c>
      <c r="AM206">
        <f>IF(HR_Cleaned[[#This Row],[Attrition]]="Yes",1,0)</f>
        <v>1</v>
      </c>
    </row>
    <row r="207" spans="1:39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>
        <f>IF(HR_Cleaned[[#This Row],[Age]]&lt;25,"18-24",IF(HR_Cleaned[[#This Row],[Age]]&lt;35,"25-34",IF(HR_Cleaned[[#This Row],[Age]]&lt;45,"35-44",IF(HR_Cleaned[[#This Row],[Age]]&lt;55,"45-54","55+"))))</f>
        <v>25-34</v>
      </c>
      <c r="AK20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07" t="str">
        <f>IF(HR_Cleaned[[#This Row],[MonthlyIncome]]&lt;3000,"Below 3000",IF(HR_Cleaned[[#This Row],[MonthlyIncome]]&lt;5000,"3000-4999",IF(HR_Cleaned[[#This Row],[MonthlyIncome]]&lt;8000,"5000-7999","8000+")))</f>
        <v>5000-7999</v>
      </c>
      <c r="AM207">
        <f>IF(HR_Cleaned[[#This Row],[Attrition]]="Yes",1,0)</f>
        <v>1</v>
      </c>
    </row>
    <row r="208" spans="1:39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>
        <f>IF(HR_Cleaned[[#This Row],[Age]]&lt;25,"18-24",IF(HR_Cleaned[[#This Row],[Age]]&lt;35,"25-34",IF(HR_Cleaned[[#This Row],[Age]]&lt;45,"35-44",IF(HR_Cleaned[[#This Row],[Age]]&lt;55,"45-54","55+"))))</f>
        <v>18-24</v>
      </c>
      <c r="AK20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08" t="str">
        <f>IF(HR_Cleaned[[#This Row],[MonthlyIncome]]&lt;3000,"Below 3000",IF(HR_Cleaned[[#This Row],[MonthlyIncome]]&lt;5000,"3000-4999",IF(HR_Cleaned[[#This Row],[MonthlyIncome]]&lt;8000,"5000-7999","8000+")))</f>
        <v>Below 3000</v>
      </c>
      <c r="AM208">
        <f>IF(HR_Cleaned[[#This Row],[Attrition]]="Yes",1,0)</f>
        <v>0</v>
      </c>
    </row>
    <row r="209" spans="1:39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>
        <f>IF(HR_Cleaned[[#This Row],[Age]]&lt;25,"18-24",IF(HR_Cleaned[[#This Row],[Age]]&lt;35,"25-34",IF(HR_Cleaned[[#This Row],[Age]]&lt;45,"35-44",IF(HR_Cleaned[[#This Row],[Age]]&lt;55,"45-54","55+"))))</f>
        <v>35-44</v>
      </c>
      <c r="AK20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09" t="str">
        <f>IF(HR_Cleaned[[#This Row],[MonthlyIncome]]&lt;3000,"Below 3000",IF(HR_Cleaned[[#This Row],[MonthlyIncome]]&lt;5000,"3000-4999",IF(HR_Cleaned[[#This Row],[MonthlyIncome]]&lt;8000,"5000-7999","8000+")))</f>
        <v>Below 3000</v>
      </c>
      <c r="AM209">
        <f>IF(HR_Cleaned[[#This Row],[Attrition]]="Yes",1,0)</f>
        <v>0</v>
      </c>
    </row>
    <row r="210" spans="1:39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>
        <f>IF(HR_Cleaned[[#This Row],[Age]]&lt;25,"18-24",IF(HR_Cleaned[[#This Row],[Age]]&lt;35,"25-34",IF(HR_Cleaned[[#This Row],[Age]]&lt;45,"35-44",IF(HR_Cleaned[[#This Row],[Age]]&lt;55,"45-54","55+"))))</f>
        <v>35-44</v>
      </c>
      <c r="AK21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10" t="str">
        <f>IF(HR_Cleaned[[#This Row],[MonthlyIncome]]&lt;3000,"Below 3000",IF(HR_Cleaned[[#This Row],[MonthlyIncome]]&lt;5000,"3000-4999",IF(HR_Cleaned[[#This Row],[MonthlyIncome]]&lt;8000,"5000-7999","8000+")))</f>
        <v>3000-4999</v>
      </c>
      <c r="AM210">
        <f>IF(HR_Cleaned[[#This Row],[Attrition]]="Yes",1,0)</f>
        <v>0</v>
      </c>
    </row>
    <row r="211" spans="1:39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>
        <f>IF(HR_Cleaned[[#This Row],[Age]]&lt;25,"18-24",IF(HR_Cleaned[[#This Row],[Age]]&lt;35,"25-34",IF(HR_Cleaned[[#This Row],[Age]]&lt;45,"35-44",IF(HR_Cleaned[[#This Row],[Age]]&lt;55,"45-54","55+"))))</f>
        <v>45-54</v>
      </c>
      <c r="AK21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11" t="str">
        <f>IF(HR_Cleaned[[#This Row],[MonthlyIncome]]&lt;3000,"Below 3000",IF(HR_Cleaned[[#This Row],[MonthlyIncome]]&lt;5000,"3000-4999",IF(HR_Cleaned[[#This Row],[MonthlyIncome]]&lt;8000,"5000-7999","8000+")))</f>
        <v>8000+</v>
      </c>
      <c r="AM211">
        <f>IF(HR_Cleaned[[#This Row],[Attrition]]="Yes",1,0)</f>
        <v>0</v>
      </c>
    </row>
    <row r="212" spans="1:39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>
        <f>IF(HR_Cleaned[[#This Row],[Age]]&lt;25,"18-24",IF(HR_Cleaned[[#This Row],[Age]]&lt;35,"25-34",IF(HR_Cleaned[[#This Row],[Age]]&lt;45,"35-44",IF(HR_Cleaned[[#This Row],[Age]]&lt;55,"45-54","55+"))))</f>
        <v>25-34</v>
      </c>
      <c r="AK21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212" t="str">
        <f>IF(HR_Cleaned[[#This Row],[MonthlyIncome]]&lt;3000,"Below 3000",IF(HR_Cleaned[[#This Row],[MonthlyIncome]]&lt;5000,"3000-4999",IF(HR_Cleaned[[#This Row],[MonthlyIncome]]&lt;8000,"5000-7999","8000+")))</f>
        <v>8000+</v>
      </c>
      <c r="AM212">
        <f>IF(HR_Cleaned[[#This Row],[Attrition]]="Yes",1,0)</f>
        <v>1</v>
      </c>
    </row>
    <row r="213" spans="1:39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>
        <f>IF(HR_Cleaned[[#This Row],[Age]]&lt;25,"18-24",IF(HR_Cleaned[[#This Row],[Age]]&lt;35,"25-34",IF(HR_Cleaned[[#This Row],[Age]]&lt;45,"35-44",IF(HR_Cleaned[[#This Row],[Age]]&lt;55,"45-54","55+"))))</f>
        <v>25-34</v>
      </c>
      <c r="AK21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213" t="str">
        <f>IF(HR_Cleaned[[#This Row],[MonthlyIncome]]&lt;3000,"Below 3000",IF(HR_Cleaned[[#This Row],[MonthlyIncome]]&lt;5000,"3000-4999",IF(HR_Cleaned[[#This Row],[MonthlyIncome]]&lt;8000,"5000-7999","8000+")))</f>
        <v>8000+</v>
      </c>
      <c r="AM213">
        <f>IF(HR_Cleaned[[#This Row],[Attrition]]="Yes",1,0)</f>
        <v>0</v>
      </c>
    </row>
    <row r="214" spans="1:39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>
        <f>IF(HR_Cleaned[[#This Row],[Age]]&lt;25,"18-24",IF(HR_Cleaned[[#This Row],[Age]]&lt;35,"25-34",IF(HR_Cleaned[[#This Row],[Age]]&lt;45,"35-44",IF(HR_Cleaned[[#This Row],[Age]]&lt;55,"45-54","55+"))))</f>
        <v>25-34</v>
      </c>
      <c r="AK21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14" t="str">
        <f>IF(HR_Cleaned[[#This Row],[MonthlyIncome]]&lt;3000,"Below 3000",IF(HR_Cleaned[[#This Row],[MonthlyIncome]]&lt;5000,"3000-4999",IF(HR_Cleaned[[#This Row],[MonthlyIncome]]&lt;8000,"5000-7999","8000+")))</f>
        <v>8000+</v>
      </c>
      <c r="AM214">
        <f>IF(HR_Cleaned[[#This Row],[Attrition]]="Yes",1,0)</f>
        <v>0</v>
      </c>
    </row>
    <row r="215" spans="1:39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>
        <f>IF(HR_Cleaned[[#This Row],[Age]]&lt;25,"18-24",IF(HR_Cleaned[[#This Row],[Age]]&lt;35,"25-34",IF(HR_Cleaned[[#This Row],[Age]]&lt;45,"35-44",IF(HR_Cleaned[[#This Row],[Age]]&lt;55,"45-54","55+"))))</f>
        <v>45-54</v>
      </c>
      <c r="AK21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15" t="str">
        <f>IF(HR_Cleaned[[#This Row],[MonthlyIncome]]&lt;3000,"Below 3000",IF(HR_Cleaned[[#This Row],[MonthlyIncome]]&lt;5000,"3000-4999",IF(HR_Cleaned[[#This Row],[MonthlyIncome]]&lt;8000,"5000-7999","8000+")))</f>
        <v>8000+</v>
      </c>
      <c r="AM215">
        <f>IF(HR_Cleaned[[#This Row],[Attrition]]="Yes",1,0)</f>
        <v>0</v>
      </c>
    </row>
    <row r="216" spans="1:39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>
        <f>IF(HR_Cleaned[[#This Row],[Age]]&lt;25,"18-24",IF(HR_Cleaned[[#This Row],[Age]]&lt;35,"25-34",IF(HR_Cleaned[[#This Row],[Age]]&lt;45,"35-44",IF(HR_Cleaned[[#This Row],[Age]]&lt;55,"45-54","55+"))))</f>
        <v>25-34</v>
      </c>
      <c r="AK21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16" t="str">
        <f>IF(HR_Cleaned[[#This Row],[MonthlyIncome]]&lt;3000,"Below 3000",IF(HR_Cleaned[[#This Row],[MonthlyIncome]]&lt;5000,"3000-4999",IF(HR_Cleaned[[#This Row],[MonthlyIncome]]&lt;8000,"5000-7999","8000+")))</f>
        <v>Below 3000</v>
      </c>
      <c r="AM216">
        <f>IF(HR_Cleaned[[#This Row],[Attrition]]="Yes",1,0)</f>
        <v>1</v>
      </c>
    </row>
    <row r="217" spans="1:39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>
        <f>IF(HR_Cleaned[[#This Row],[Age]]&lt;25,"18-24",IF(HR_Cleaned[[#This Row],[Age]]&lt;35,"25-34",IF(HR_Cleaned[[#This Row],[Age]]&lt;45,"35-44",IF(HR_Cleaned[[#This Row],[Age]]&lt;55,"45-54","55+"))))</f>
        <v>35-44</v>
      </c>
      <c r="AK21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217" t="str">
        <f>IF(HR_Cleaned[[#This Row],[MonthlyIncome]]&lt;3000,"Below 3000",IF(HR_Cleaned[[#This Row],[MonthlyIncome]]&lt;5000,"3000-4999",IF(HR_Cleaned[[#This Row],[MonthlyIncome]]&lt;8000,"5000-7999","8000+")))</f>
        <v>8000+</v>
      </c>
      <c r="AM217">
        <f>IF(HR_Cleaned[[#This Row],[Attrition]]="Yes",1,0)</f>
        <v>0</v>
      </c>
    </row>
    <row r="218" spans="1:39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>
        <f>IF(HR_Cleaned[[#This Row],[Age]]&lt;25,"18-24",IF(HR_Cleaned[[#This Row],[Age]]&lt;35,"25-34",IF(HR_Cleaned[[#This Row],[Age]]&lt;45,"35-44",IF(HR_Cleaned[[#This Row],[Age]]&lt;55,"45-54","55+"))))</f>
        <v>25-34</v>
      </c>
      <c r="AK21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18" t="str">
        <f>IF(HR_Cleaned[[#This Row],[MonthlyIncome]]&lt;3000,"Below 3000",IF(HR_Cleaned[[#This Row],[MonthlyIncome]]&lt;5000,"3000-4999",IF(HR_Cleaned[[#This Row],[MonthlyIncome]]&lt;8000,"5000-7999","8000+")))</f>
        <v>5000-7999</v>
      </c>
      <c r="AM218">
        <f>IF(HR_Cleaned[[#This Row],[Attrition]]="Yes",1,0)</f>
        <v>1</v>
      </c>
    </row>
    <row r="219" spans="1:39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>
        <f>IF(HR_Cleaned[[#This Row],[Age]]&lt;25,"18-24",IF(HR_Cleaned[[#This Row],[Age]]&lt;35,"25-34",IF(HR_Cleaned[[#This Row],[Age]]&lt;45,"35-44",IF(HR_Cleaned[[#This Row],[Age]]&lt;55,"45-54","55+"))))</f>
        <v>25-34</v>
      </c>
      <c r="AK21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19" t="str">
        <f>IF(HR_Cleaned[[#This Row],[MonthlyIncome]]&lt;3000,"Below 3000",IF(HR_Cleaned[[#This Row],[MonthlyIncome]]&lt;5000,"3000-4999",IF(HR_Cleaned[[#This Row],[MonthlyIncome]]&lt;8000,"5000-7999","8000+")))</f>
        <v>Below 3000</v>
      </c>
      <c r="AM219">
        <f>IF(HR_Cleaned[[#This Row],[Attrition]]="Yes",1,0)</f>
        <v>1</v>
      </c>
    </row>
    <row r="220" spans="1:39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>
        <f>IF(HR_Cleaned[[#This Row],[Age]]&lt;25,"18-24",IF(HR_Cleaned[[#This Row],[Age]]&lt;35,"25-34",IF(HR_Cleaned[[#This Row],[Age]]&lt;45,"35-44",IF(HR_Cleaned[[#This Row],[Age]]&lt;55,"45-54","55+"))))</f>
        <v>45-54</v>
      </c>
      <c r="AK22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220" t="str">
        <f>IF(HR_Cleaned[[#This Row],[MonthlyIncome]]&lt;3000,"Below 3000",IF(HR_Cleaned[[#This Row],[MonthlyIncome]]&lt;5000,"3000-4999",IF(HR_Cleaned[[#This Row],[MonthlyIncome]]&lt;8000,"5000-7999","8000+")))</f>
        <v>8000+</v>
      </c>
      <c r="AM220">
        <f>IF(HR_Cleaned[[#This Row],[Attrition]]="Yes",1,0)</f>
        <v>0</v>
      </c>
    </row>
    <row r="221" spans="1:39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>
        <f>IF(HR_Cleaned[[#This Row],[Age]]&lt;25,"18-24",IF(HR_Cleaned[[#This Row],[Age]]&lt;35,"25-34",IF(HR_Cleaned[[#This Row],[Age]]&lt;45,"35-44",IF(HR_Cleaned[[#This Row],[Age]]&lt;55,"45-54","55+"))))</f>
        <v>45-54</v>
      </c>
      <c r="AK22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21" t="str">
        <f>IF(HR_Cleaned[[#This Row],[MonthlyIncome]]&lt;3000,"Below 3000",IF(HR_Cleaned[[#This Row],[MonthlyIncome]]&lt;5000,"3000-4999",IF(HR_Cleaned[[#This Row],[MonthlyIncome]]&lt;8000,"5000-7999","8000+")))</f>
        <v>5000-7999</v>
      </c>
      <c r="AM221">
        <f>IF(HR_Cleaned[[#This Row],[Attrition]]="Yes",1,0)</f>
        <v>0</v>
      </c>
    </row>
    <row r="222" spans="1:39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>
        <f>IF(HR_Cleaned[[#This Row],[Age]]&lt;25,"18-24",IF(HR_Cleaned[[#This Row],[Age]]&lt;35,"25-34",IF(HR_Cleaned[[#This Row],[Age]]&lt;45,"35-44",IF(HR_Cleaned[[#This Row],[Age]]&lt;55,"45-54","55+"))))</f>
        <v>35-44</v>
      </c>
      <c r="AK22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222" t="str">
        <f>IF(HR_Cleaned[[#This Row],[MonthlyIncome]]&lt;3000,"Below 3000",IF(HR_Cleaned[[#This Row],[MonthlyIncome]]&lt;5000,"3000-4999",IF(HR_Cleaned[[#This Row],[MonthlyIncome]]&lt;8000,"5000-7999","8000+")))</f>
        <v>5000-7999</v>
      </c>
      <c r="AM222">
        <f>IF(HR_Cleaned[[#This Row],[Attrition]]="Yes",1,0)</f>
        <v>0</v>
      </c>
    </row>
    <row r="223" spans="1:39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>
        <f>IF(HR_Cleaned[[#This Row],[Age]]&lt;25,"18-24",IF(HR_Cleaned[[#This Row],[Age]]&lt;35,"25-34",IF(HR_Cleaned[[#This Row],[Age]]&lt;45,"35-44",IF(HR_Cleaned[[#This Row],[Age]]&lt;55,"45-54","55+"))))</f>
        <v>25-34</v>
      </c>
      <c r="AK22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23" t="str">
        <f>IF(HR_Cleaned[[#This Row],[MonthlyIncome]]&lt;3000,"Below 3000",IF(HR_Cleaned[[#This Row],[MonthlyIncome]]&lt;5000,"3000-4999",IF(HR_Cleaned[[#This Row],[MonthlyIncome]]&lt;8000,"5000-7999","8000+")))</f>
        <v>Below 3000</v>
      </c>
      <c r="AM223">
        <f>IF(HR_Cleaned[[#This Row],[Attrition]]="Yes",1,0)</f>
        <v>0</v>
      </c>
    </row>
    <row r="224" spans="1:39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>
        <f>IF(HR_Cleaned[[#This Row],[Age]]&lt;25,"18-24",IF(HR_Cleaned[[#This Row],[Age]]&lt;35,"25-34",IF(HR_Cleaned[[#This Row],[Age]]&lt;45,"35-44",IF(HR_Cleaned[[#This Row],[Age]]&lt;55,"45-54","55+"))))</f>
        <v>35-44</v>
      </c>
      <c r="AK22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24" t="str">
        <f>IF(HR_Cleaned[[#This Row],[MonthlyIncome]]&lt;3000,"Below 3000",IF(HR_Cleaned[[#This Row],[MonthlyIncome]]&lt;5000,"3000-4999",IF(HR_Cleaned[[#This Row],[MonthlyIncome]]&lt;8000,"5000-7999","8000+")))</f>
        <v>8000+</v>
      </c>
      <c r="AM224">
        <f>IF(HR_Cleaned[[#This Row],[Attrition]]="Yes",1,0)</f>
        <v>0</v>
      </c>
    </row>
    <row r="225" spans="1:39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>
        <f>IF(HR_Cleaned[[#This Row],[Age]]&lt;25,"18-24",IF(HR_Cleaned[[#This Row],[Age]]&lt;35,"25-34",IF(HR_Cleaned[[#This Row],[Age]]&lt;45,"35-44",IF(HR_Cleaned[[#This Row],[Age]]&lt;55,"45-54","55+"))))</f>
        <v>35-44</v>
      </c>
      <c r="AK22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225" t="str">
        <f>IF(HR_Cleaned[[#This Row],[MonthlyIncome]]&lt;3000,"Below 3000",IF(HR_Cleaned[[#This Row],[MonthlyIncome]]&lt;5000,"3000-4999",IF(HR_Cleaned[[#This Row],[MonthlyIncome]]&lt;8000,"5000-7999","8000+")))</f>
        <v>8000+</v>
      </c>
      <c r="AM225">
        <f>IF(HR_Cleaned[[#This Row],[Attrition]]="Yes",1,0)</f>
        <v>0</v>
      </c>
    </row>
    <row r="226" spans="1:39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>
        <f>IF(HR_Cleaned[[#This Row],[Age]]&lt;25,"18-24",IF(HR_Cleaned[[#This Row],[Age]]&lt;35,"25-34",IF(HR_Cleaned[[#This Row],[Age]]&lt;45,"35-44",IF(HR_Cleaned[[#This Row],[Age]]&lt;55,"45-54","55+"))))</f>
        <v>25-34</v>
      </c>
      <c r="AK22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26" t="str">
        <f>IF(HR_Cleaned[[#This Row],[MonthlyIncome]]&lt;3000,"Below 3000",IF(HR_Cleaned[[#This Row],[MonthlyIncome]]&lt;5000,"3000-4999",IF(HR_Cleaned[[#This Row],[MonthlyIncome]]&lt;8000,"5000-7999","8000+")))</f>
        <v>3000-4999</v>
      </c>
      <c r="AM226">
        <f>IF(HR_Cleaned[[#This Row],[Attrition]]="Yes",1,0)</f>
        <v>0</v>
      </c>
    </row>
    <row r="227" spans="1:39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>
        <f>IF(HR_Cleaned[[#This Row],[Age]]&lt;25,"18-24",IF(HR_Cleaned[[#This Row],[Age]]&lt;35,"25-34",IF(HR_Cleaned[[#This Row],[Age]]&lt;45,"35-44",IF(HR_Cleaned[[#This Row],[Age]]&lt;55,"45-54","55+"))))</f>
        <v>55+</v>
      </c>
      <c r="AK22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227" t="str">
        <f>IF(HR_Cleaned[[#This Row],[MonthlyIncome]]&lt;3000,"Below 3000",IF(HR_Cleaned[[#This Row],[MonthlyIncome]]&lt;5000,"3000-4999",IF(HR_Cleaned[[#This Row],[MonthlyIncome]]&lt;8000,"5000-7999","8000+")))</f>
        <v>Below 3000</v>
      </c>
      <c r="AM227">
        <f>IF(HR_Cleaned[[#This Row],[Attrition]]="Yes",1,0)</f>
        <v>0</v>
      </c>
    </row>
    <row r="228" spans="1:39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>
        <f>IF(HR_Cleaned[[#This Row],[Age]]&lt;25,"18-24",IF(HR_Cleaned[[#This Row],[Age]]&lt;35,"25-34",IF(HR_Cleaned[[#This Row],[Age]]&lt;45,"35-44",IF(HR_Cleaned[[#This Row],[Age]]&lt;55,"45-54","55+"))))</f>
        <v>35-44</v>
      </c>
      <c r="AK22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28" t="str">
        <f>IF(HR_Cleaned[[#This Row],[MonthlyIncome]]&lt;3000,"Below 3000",IF(HR_Cleaned[[#This Row],[MonthlyIncome]]&lt;5000,"3000-4999",IF(HR_Cleaned[[#This Row],[MonthlyIncome]]&lt;8000,"5000-7999","8000+")))</f>
        <v>Below 3000</v>
      </c>
      <c r="AM228">
        <f>IF(HR_Cleaned[[#This Row],[Attrition]]="Yes",1,0)</f>
        <v>0</v>
      </c>
    </row>
    <row r="229" spans="1:39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>
        <f>IF(HR_Cleaned[[#This Row],[Age]]&lt;25,"18-24",IF(HR_Cleaned[[#This Row],[Age]]&lt;35,"25-34",IF(HR_Cleaned[[#This Row],[Age]]&lt;45,"35-44",IF(HR_Cleaned[[#This Row],[Age]]&lt;55,"45-54","55+"))))</f>
        <v>25-34</v>
      </c>
      <c r="AK22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229" t="str">
        <f>IF(HR_Cleaned[[#This Row],[MonthlyIncome]]&lt;3000,"Below 3000",IF(HR_Cleaned[[#This Row],[MonthlyIncome]]&lt;5000,"3000-4999",IF(HR_Cleaned[[#This Row],[MonthlyIncome]]&lt;8000,"5000-7999","8000+")))</f>
        <v>5000-7999</v>
      </c>
      <c r="AM229">
        <f>IF(HR_Cleaned[[#This Row],[Attrition]]="Yes",1,0)</f>
        <v>0</v>
      </c>
    </row>
    <row r="230" spans="1:39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>
        <f>IF(HR_Cleaned[[#This Row],[Age]]&lt;25,"18-24",IF(HR_Cleaned[[#This Row],[Age]]&lt;35,"25-34",IF(HR_Cleaned[[#This Row],[Age]]&lt;45,"35-44",IF(HR_Cleaned[[#This Row],[Age]]&lt;55,"45-54","55+"))))</f>
        <v>35-44</v>
      </c>
      <c r="AK23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30" t="str">
        <f>IF(HR_Cleaned[[#This Row],[MonthlyIncome]]&lt;3000,"Below 3000",IF(HR_Cleaned[[#This Row],[MonthlyIncome]]&lt;5000,"3000-4999",IF(HR_Cleaned[[#This Row],[MonthlyIncome]]&lt;8000,"5000-7999","8000+")))</f>
        <v>8000+</v>
      </c>
      <c r="AM230">
        <f>IF(HR_Cleaned[[#This Row],[Attrition]]="Yes",1,0)</f>
        <v>0</v>
      </c>
    </row>
    <row r="231" spans="1:39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>
        <f>IF(HR_Cleaned[[#This Row],[Age]]&lt;25,"18-24",IF(HR_Cleaned[[#This Row],[Age]]&lt;35,"25-34",IF(HR_Cleaned[[#This Row],[Age]]&lt;45,"35-44",IF(HR_Cleaned[[#This Row],[Age]]&lt;55,"45-54","55+"))))</f>
        <v>25-34</v>
      </c>
      <c r="AK23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31" t="str">
        <f>IF(HR_Cleaned[[#This Row],[MonthlyIncome]]&lt;3000,"Below 3000",IF(HR_Cleaned[[#This Row],[MonthlyIncome]]&lt;5000,"3000-4999",IF(HR_Cleaned[[#This Row],[MonthlyIncome]]&lt;8000,"5000-7999","8000+")))</f>
        <v>Below 3000</v>
      </c>
      <c r="AM231">
        <f>IF(HR_Cleaned[[#This Row],[Attrition]]="Yes",1,0)</f>
        <v>1</v>
      </c>
    </row>
    <row r="232" spans="1:39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>
        <f>IF(HR_Cleaned[[#This Row],[Age]]&lt;25,"18-24",IF(HR_Cleaned[[#This Row],[Age]]&lt;35,"25-34",IF(HR_Cleaned[[#This Row],[Age]]&lt;45,"35-44",IF(HR_Cleaned[[#This Row],[Age]]&lt;55,"45-54","55+"))))</f>
        <v>45-54</v>
      </c>
      <c r="AK23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232" t="str">
        <f>IF(HR_Cleaned[[#This Row],[MonthlyIncome]]&lt;3000,"Below 3000",IF(HR_Cleaned[[#This Row],[MonthlyIncome]]&lt;5000,"3000-4999",IF(HR_Cleaned[[#This Row],[MonthlyIncome]]&lt;8000,"5000-7999","8000+")))</f>
        <v>3000-4999</v>
      </c>
      <c r="AM232">
        <f>IF(HR_Cleaned[[#This Row],[Attrition]]="Yes",1,0)</f>
        <v>0</v>
      </c>
    </row>
    <row r="233" spans="1:39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>
        <f>IF(HR_Cleaned[[#This Row],[Age]]&lt;25,"18-24",IF(HR_Cleaned[[#This Row],[Age]]&lt;35,"25-34",IF(HR_Cleaned[[#This Row],[Age]]&lt;45,"35-44",IF(HR_Cleaned[[#This Row],[Age]]&lt;55,"45-54","55+"))))</f>
        <v>35-44</v>
      </c>
      <c r="AK23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233" t="str">
        <f>IF(HR_Cleaned[[#This Row],[MonthlyIncome]]&lt;3000,"Below 3000",IF(HR_Cleaned[[#This Row],[MonthlyIncome]]&lt;5000,"3000-4999",IF(HR_Cleaned[[#This Row],[MonthlyIncome]]&lt;8000,"5000-7999","8000+")))</f>
        <v>8000+</v>
      </c>
      <c r="AM233">
        <f>IF(HR_Cleaned[[#This Row],[Attrition]]="Yes",1,0)</f>
        <v>0</v>
      </c>
    </row>
    <row r="234" spans="1:39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>
        <f>IF(HR_Cleaned[[#This Row],[Age]]&lt;25,"18-24",IF(HR_Cleaned[[#This Row],[Age]]&lt;35,"25-34",IF(HR_Cleaned[[#This Row],[Age]]&lt;45,"35-44",IF(HR_Cleaned[[#This Row],[Age]]&lt;55,"45-54","55+"))))</f>
        <v>55+</v>
      </c>
      <c r="AK23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234" t="str">
        <f>IF(HR_Cleaned[[#This Row],[MonthlyIncome]]&lt;3000,"Below 3000",IF(HR_Cleaned[[#This Row],[MonthlyIncome]]&lt;5000,"3000-4999",IF(HR_Cleaned[[#This Row],[MonthlyIncome]]&lt;8000,"5000-7999","8000+")))</f>
        <v>Below 3000</v>
      </c>
      <c r="AM234">
        <f>IF(HR_Cleaned[[#This Row],[Attrition]]="Yes",1,0)</f>
        <v>0</v>
      </c>
    </row>
    <row r="235" spans="1:39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>
        <f>IF(HR_Cleaned[[#This Row],[Age]]&lt;25,"18-24",IF(HR_Cleaned[[#This Row],[Age]]&lt;35,"25-34",IF(HR_Cleaned[[#This Row],[Age]]&lt;45,"35-44",IF(HR_Cleaned[[#This Row],[Age]]&lt;55,"45-54","55+"))))</f>
        <v>45-54</v>
      </c>
      <c r="AK23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35" t="str">
        <f>IF(HR_Cleaned[[#This Row],[MonthlyIncome]]&lt;3000,"Below 3000",IF(HR_Cleaned[[#This Row],[MonthlyIncome]]&lt;5000,"3000-4999",IF(HR_Cleaned[[#This Row],[MonthlyIncome]]&lt;8000,"5000-7999","8000+")))</f>
        <v>8000+</v>
      </c>
      <c r="AM235">
        <f>IF(HR_Cleaned[[#This Row],[Attrition]]="Yes",1,0)</f>
        <v>0</v>
      </c>
    </row>
    <row r="236" spans="1:39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>
        <f>IF(HR_Cleaned[[#This Row],[Age]]&lt;25,"18-24",IF(HR_Cleaned[[#This Row],[Age]]&lt;35,"25-34",IF(HR_Cleaned[[#This Row],[Age]]&lt;45,"35-44",IF(HR_Cleaned[[#This Row],[Age]]&lt;55,"45-54","55+"))))</f>
        <v>25-34</v>
      </c>
      <c r="AK23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36" t="str">
        <f>IF(HR_Cleaned[[#This Row],[MonthlyIncome]]&lt;3000,"Below 3000",IF(HR_Cleaned[[#This Row],[MonthlyIncome]]&lt;5000,"3000-4999",IF(HR_Cleaned[[#This Row],[MonthlyIncome]]&lt;8000,"5000-7999","8000+")))</f>
        <v>Below 3000</v>
      </c>
      <c r="AM236">
        <f>IF(HR_Cleaned[[#This Row],[Attrition]]="Yes",1,0)</f>
        <v>1</v>
      </c>
    </row>
    <row r="237" spans="1:39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>
        <f>IF(HR_Cleaned[[#This Row],[Age]]&lt;25,"18-24",IF(HR_Cleaned[[#This Row],[Age]]&lt;35,"25-34",IF(HR_Cleaned[[#This Row],[Age]]&lt;45,"35-44",IF(HR_Cleaned[[#This Row],[Age]]&lt;55,"45-54","55+"))))</f>
        <v>35-44</v>
      </c>
      <c r="AK23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237" t="str">
        <f>IF(HR_Cleaned[[#This Row],[MonthlyIncome]]&lt;3000,"Below 3000",IF(HR_Cleaned[[#This Row],[MonthlyIncome]]&lt;5000,"3000-4999",IF(HR_Cleaned[[#This Row],[MonthlyIncome]]&lt;8000,"5000-7999","8000+")))</f>
        <v>8000+</v>
      </c>
      <c r="AM237">
        <f>IF(HR_Cleaned[[#This Row],[Attrition]]="Yes",1,0)</f>
        <v>0</v>
      </c>
    </row>
    <row r="238" spans="1:39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>
        <f>IF(HR_Cleaned[[#This Row],[Age]]&lt;25,"18-24",IF(HR_Cleaned[[#This Row],[Age]]&lt;35,"25-34",IF(HR_Cleaned[[#This Row],[Age]]&lt;45,"35-44",IF(HR_Cleaned[[#This Row],[Age]]&lt;55,"45-54","55+"))))</f>
        <v>25-34</v>
      </c>
      <c r="AK23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38" t="str">
        <f>IF(HR_Cleaned[[#This Row],[MonthlyIncome]]&lt;3000,"Below 3000",IF(HR_Cleaned[[#This Row],[MonthlyIncome]]&lt;5000,"3000-4999",IF(HR_Cleaned[[#This Row],[MonthlyIncome]]&lt;8000,"5000-7999","8000+")))</f>
        <v>Below 3000</v>
      </c>
      <c r="AM238">
        <f>IF(HR_Cleaned[[#This Row],[Attrition]]="Yes",1,0)</f>
        <v>1</v>
      </c>
    </row>
    <row r="239" spans="1:39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>
        <f>IF(HR_Cleaned[[#This Row],[Age]]&lt;25,"18-24",IF(HR_Cleaned[[#This Row],[Age]]&lt;35,"25-34",IF(HR_Cleaned[[#This Row],[Age]]&lt;45,"35-44",IF(HR_Cleaned[[#This Row],[Age]]&lt;55,"45-54","55+"))))</f>
        <v>45-54</v>
      </c>
      <c r="AK23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239" t="str">
        <f>IF(HR_Cleaned[[#This Row],[MonthlyIncome]]&lt;3000,"Below 3000",IF(HR_Cleaned[[#This Row],[MonthlyIncome]]&lt;5000,"3000-4999",IF(HR_Cleaned[[#This Row],[MonthlyIncome]]&lt;8000,"5000-7999","8000+")))</f>
        <v>8000+</v>
      </c>
      <c r="AM239">
        <f>IF(HR_Cleaned[[#This Row],[Attrition]]="Yes",1,0)</f>
        <v>0</v>
      </c>
    </row>
    <row r="240" spans="1:39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>
        <f>IF(HR_Cleaned[[#This Row],[Age]]&lt;25,"18-24",IF(HR_Cleaned[[#This Row],[Age]]&lt;35,"25-34",IF(HR_Cleaned[[#This Row],[Age]]&lt;45,"35-44",IF(HR_Cleaned[[#This Row],[Age]]&lt;55,"45-54","55+"))))</f>
        <v>25-34</v>
      </c>
      <c r="AK24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40" t="str">
        <f>IF(HR_Cleaned[[#This Row],[MonthlyIncome]]&lt;3000,"Below 3000",IF(HR_Cleaned[[#This Row],[MonthlyIncome]]&lt;5000,"3000-4999",IF(HR_Cleaned[[#This Row],[MonthlyIncome]]&lt;8000,"5000-7999","8000+")))</f>
        <v>3000-4999</v>
      </c>
      <c r="AM240">
        <f>IF(HR_Cleaned[[#This Row],[Attrition]]="Yes",1,0)</f>
        <v>0</v>
      </c>
    </row>
    <row r="241" spans="1:39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>
        <f>IF(HR_Cleaned[[#This Row],[Age]]&lt;25,"18-24",IF(HR_Cleaned[[#This Row],[Age]]&lt;35,"25-34",IF(HR_Cleaned[[#This Row],[Age]]&lt;45,"35-44",IF(HR_Cleaned[[#This Row],[Age]]&lt;55,"45-54","55+"))))</f>
        <v>25-34</v>
      </c>
      <c r="AK24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41" t="str">
        <f>IF(HR_Cleaned[[#This Row],[MonthlyIncome]]&lt;3000,"Below 3000",IF(HR_Cleaned[[#This Row],[MonthlyIncome]]&lt;5000,"3000-4999",IF(HR_Cleaned[[#This Row],[MonthlyIncome]]&lt;8000,"5000-7999","8000+")))</f>
        <v>3000-4999</v>
      </c>
      <c r="AM241">
        <f>IF(HR_Cleaned[[#This Row],[Attrition]]="Yes",1,0)</f>
        <v>1</v>
      </c>
    </row>
    <row r="242" spans="1:39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>
        <f>IF(HR_Cleaned[[#This Row],[Age]]&lt;25,"18-24",IF(HR_Cleaned[[#This Row],[Age]]&lt;35,"25-34",IF(HR_Cleaned[[#This Row],[Age]]&lt;45,"35-44",IF(HR_Cleaned[[#This Row],[Age]]&lt;55,"45-54","55+"))))</f>
        <v>35-44</v>
      </c>
      <c r="AK24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42" t="str">
        <f>IF(HR_Cleaned[[#This Row],[MonthlyIncome]]&lt;3000,"Below 3000",IF(HR_Cleaned[[#This Row],[MonthlyIncome]]&lt;5000,"3000-4999",IF(HR_Cleaned[[#This Row],[MonthlyIncome]]&lt;8000,"5000-7999","8000+")))</f>
        <v>Below 3000</v>
      </c>
      <c r="AM242">
        <f>IF(HR_Cleaned[[#This Row],[Attrition]]="Yes",1,0)</f>
        <v>0</v>
      </c>
    </row>
    <row r="243" spans="1:39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>
        <f>IF(HR_Cleaned[[#This Row],[Age]]&lt;25,"18-24",IF(HR_Cleaned[[#This Row],[Age]]&lt;35,"25-34",IF(HR_Cleaned[[#This Row],[Age]]&lt;45,"35-44",IF(HR_Cleaned[[#This Row],[Age]]&lt;55,"45-54","55+"))))</f>
        <v>25-34</v>
      </c>
      <c r="AK24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43" t="str">
        <f>IF(HR_Cleaned[[#This Row],[MonthlyIncome]]&lt;3000,"Below 3000",IF(HR_Cleaned[[#This Row],[MonthlyIncome]]&lt;5000,"3000-4999",IF(HR_Cleaned[[#This Row],[MonthlyIncome]]&lt;8000,"5000-7999","8000+")))</f>
        <v>3000-4999</v>
      </c>
      <c r="AM243">
        <f>IF(HR_Cleaned[[#This Row],[Attrition]]="Yes",1,0)</f>
        <v>0</v>
      </c>
    </row>
    <row r="244" spans="1:39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>
        <f>IF(HR_Cleaned[[#This Row],[Age]]&lt;25,"18-24",IF(HR_Cleaned[[#This Row],[Age]]&lt;35,"25-34",IF(HR_Cleaned[[#This Row],[Age]]&lt;45,"35-44",IF(HR_Cleaned[[#This Row],[Age]]&lt;55,"45-54","55+"))))</f>
        <v>35-44</v>
      </c>
      <c r="AK24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244" t="str">
        <f>IF(HR_Cleaned[[#This Row],[MonthlyIncome]]&lt;3000,"Below 3000",IF(HR_Cleaned[[#This Row],[MonthlyIncome]]&lt;5000,"3000-4999",IF(HR_Cleaned[[#This Row],[MonthlyIncome]]&lt;8000,"5000-7999","8000+")))</f>
        <v>3000-4999</v>
      </c>
      <c r="AM244">
        <f>IF(HR_Cleaned[[#This Row],[Attrition]]="Yes",1,0)</f>
        <v>0</v>
      </c>
    </row>
    <row r="245" spans="1:39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>
        <f>IF(HR_Cleaned[[#This Row],[Age]]&lt;25,"18-24",IF(HR_Cleaned[[#This Row],[Age]]&lt;35,"25-34",IF(HR_Cleaned[[#This Row],[Age]]&lt;45,"35-44",IF(HR_Cleaned[[#This Row],[Age]]&lt;55,"45-54","55+"))))</f>
        <v>35-44</v>
      </c>
      <c r="AK24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45" t="str">
        <f>IF(HR_Cleaned[[#This Row],[MonthlyIncome]]&lt;3000,"Below 3000",IF(HR_Cleaned[[#This Row],[MonthlyIncome]]&lt;5000,"3000-4999",IF(HR_Cleaned[[#This Row],[MonthlyIncome]]&lt;8000,"5000-7999","8000+")))</f>
        <v>3000-4999</v>
      </c>
      <c r="AM245">
        <f>IF(HR_Cleaned[[#This Row],[Attrition]]="Yes",1,0)</f>
        <v>0</v>
      </c>
    </row>
    <row r="246" spans="1:39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>
        <f>IF(HR_Cleaned[[#This Row],[Age]]&lt;25,"18-24",IF(HR_Cleaned[[#This Row],[Age]]&lt;35,"25-34",IF(HR_Cleaned[[#This Row],[Age]]&lt;45,"35-44",IF(HR_Cleaned[[#This Row],[Age]]&lt;55,"45-54","55+"))))</f>
        <v>45-54</v>
      </c>
      <c r="AK246" t="str">
        <f>IF(HR_Cleaned[[#This Row],[YearsAtCompany]]&lt;=2,"0-2 Years",IF(HR_Cleaned[[#This Row],[YearsAtCompany]]&lt;=5,"3-5 Years",IF(HR_Cleaned[[#This Row],[YearsAtCompany]]&lt;=10,"6-10 Years","11+ Years")))</f>
        <v>11+ Years</v>
      </c>
      <c r="AL246" t="str">
        <f>IF(HR_Cleaned[[#This Row],[MonthlyIncome]]&lt;3000,"Below 3000",IF(HR_Cleaned[[#This Row],[MonthlyIncome]]&lt;5000,"3000-4999",IF(HR_Cleaned[[#This Row],[MonthlyIncome]]&lt;8000,"5000-7999","8000+")))</f>
        <v>8000+</v>
      </c>
      <c r="AM246">
        <f>IF(HR_Cleaned[[#This Row],[Attrition]]="Yes",1,0)</f>
        <v>0</v>
      </c>
    </row>
    <row r="247" spans="1:39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>
        <f>IF(HR_Cleaned[[#This Row],[Age]]&lt;25,"18-24",IF(HR_Cleaned[[#This Row],[Age]]&lt;35,"25-34",IF(HR_Cleaned[[#This Row],[Age]]&lt;45,"35-44",IF(HR_Cleaned[[#This Row],[Age]]&lt;55,"45-54","55+"))))</f>
        <v>25-34</v>
      </c>
      <c r="AK24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247" t="str">
        <f>IF(HR_Cleaned[[#This Row],[MonthlyIncome]]&lt;3000,"Below 3000",IF(HR_Cleaned[[#This Row],[MonthlyIncome]]&lt;5000,"3000-4999",IF(HR_Cleaned[[#This Row],[MonthlyIncome]]&lt;8000,"5000-7999","8000+")))</f>
        <v>8000+</v>
      </c>
      <c r="AM247">
        <f>IF(HR_Cleaned[[#This Row],[Attrition]]="Yes",1,0)</f>
        <v>0</v>
      </c>
    </row>
    <row r="248" spans="1:39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>
        <f>IF(HR_Cleaned[[#This Row],[Age]]&lt;25,"18-24",IF(HR_Cleaned[[#This Row],[Age]]&lt;35,"25-34",IF(HR_Cleaned[[#This Row],[Age]]&lt;45,"35-44",IF(HR_Cleaned[[#This Row],[Age]]&lt;55,"45-54","55+"))))</f>
        <v>25-34</v>
      </c>
      <c r="AK24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248" t="str">
        <f>IF(HR_Cleaned[[#This Row],[MonthlyIncome]]&lt;3000,"Below 3000",IF(HR_Cleaned[[#This Row],[MonthlyIncome]]&lt;5000,"3000-4999",IF(HR_Cleaned[[#This Row],[MonthlyIncome]]&lt;8000,"5000-7999","8000+")))</f>
        <v>Below 3000</v>
      </c>
      <c r="AM248">
        <f>IF(HR_Cleaned[[#This Row],[Attrition]]="Yes",1,0)</f>
        <v>0</v>
      </c>
    </row>
    <row r="249" spans="1:39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>
        <f>IF(HR_Cleaned[[#This Row],[Age]]&lt;25,"18-24",IF(HR_Cleaned[[#This Row],[Age]]&lt;35,"25-34",IF(HR_Cleaned[[#This Row],[Age]]&lt;45,"35-44",IF(HR_Cleaned[[#This Row],[Age]]&lt;55,"45-54","55+"))))</f>
        <v>25-34</v>
      </c>
      <c r="AK24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249" t="str">
        <f>IF(HR_Cleaned[[#This Row],[MonthlyIncome]]&lt;3000,"Below 3000",IF(HR_Cleaned[[#This Row],[MonthlyIncome]]&lt;5000,"3000-4999",IF(HR_Cleaned[[#This Row],[MonthlyIncome]]&lt;8000,"5000-7999","8000+")))</f>
        <v>5000-7999</v>
      </c>
      <c r="AM249">
        <f>IF(HR_Cleaned[[#This Row],[Attrition]]="Yes",1,0)</f>
        <v>0</v>
      </c>
    </row>
    <row r="250" spans="1:39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>
        <f>IF(HR_Cleaned[[#This Row],[Age]]&lt;25,"18-24",IF(HR_Cleaned[[#This Row],[Age]]&lt;35,"25-34",IF(HR_Cleaned[[#This Row],[Age]]&lt;45,"35-44",IF(HR_Cleaned[[#This Row],[Age]]&lt;55,"45-54","55+"))))</f>
        <v>35-44</v>
      </c>
      <c r="AK25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50" t="str">
        <f>IF(HR_Cleaned[[#This Row],[MonthlyIncome]]&lt;3000,"Below 3000",IF(HR_Cleaned[[#This Row],[MonthlyIncome]]&lt;5000,"3000-4999",IF(HR_Cleaned[[#This Row],[MonthlyIncome]]&lt;8000,"5000-7999","8000+")))</f>
        <v>3000-4999</v>
      </c>
      <c r="AM250">
        <f>IF(HR_Cleaned[[#This Row],[Attrition]]="Yes",1,0)</f>
        <v>0</v>
      </c>
    </row>
    <row r="251" spans="1:39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>
        <f>IF(HR_Cleaned[[#This Row],[Age]]&lt;25,"18-24",IF(HR_Cleaned[[#This Row],[Age]]&lt;35,"25-34",IF(HR_Cleaned[[#This Row],[Age]]&lt;45,"35-44",IF(HR_Cleaned[[#This Row],[Age]]&lt;55,"45-54","55+"))))</f>
        <v>45-54</v>
      </c>
      <c r="AK25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51" t="str">
        <f>IF(HR_Cleaned[[#This Row],[MonthlyIncome]]&lt;3000,"Below 3000",IF(HR_Cleaned[[#This Row],[MonthlyIncome]]&lt;5000,"3000-4999",IF(HR_Cleaned[[#This Row],[MonthlyIncome]]&lt;8000,"5000-7999","8000+")))</f>
        <v>5000-7999</v>
      </c>
      <c r="AM251">
        <f>IF(HR_Cleaned[[#This Row],[Attrition]]="Yes",1,0)</f>
        <v>0</v>
      </c>
    </row>
    <row r="252" spans="1:39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>
        <f>IF(HR_Cleaned[[#This Row],[Age]]&lt;25,"18-24",IF(HR_Cleaned[[#This Row],[Age]]&lt;35,"25-34",IF(HR_Cleaned[[#This Row],[Age]]&lt;45,"35-44",IF(HR_Cleaned[[#This Row],[Age]]&lt;55,"45-54","55+"))))</f>
        <v>35-44</v>
      </c>
      <c r="AK25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252" t="str">
        <f>IF(HR_Cleaned[[#This Row],[MonthlyIncome]]&lt;3000,"Below 3000",IF(HR_Cleaned[[#This Row],[MonthlyIncome]]&lt;5000,"3000-4999",IF(HR_Cleaned[[#This Row],[MonthlyIncome]]&lt;8000,"5000-7999","8000+")))</f>
        <v>8000+</v>
      </c>
      <c r="AM252">
        <f>IF(HR_Cleaned[[#This Row],[Attrition]]="Yes",1,0)</f>
        <v>1</v>
      </c>
    </row>
    <row r="253" spans="1:39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>
        <f>IF(HR_Cleaned[[#This Row],[Age]]&lt;25,"18-24",IF(HR_Cleaned[[#This Row],[Age]]&lt;35,"25-34",IF(HR_Cleaned[[#This Row],[Age]]&lt;45,"35-44",IF(HR_Cleaned[[#This Row],[Age]]&lt;55,"45-54","55+"))))</f>
        <v>35-44</v>
      </c>
      <c r="AK25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253" t="str">
        <f>IF(HR_Cleaned[[#This Row],[MonthlyIncome]]&lt;3000,"Below 3000",IF(HR_Cleaned[[#This Row],[MonthlyIncome]]&lt;5000,"3000-4999",IF(HR_Cleaned[[#This Row],[MonthlyIncome]]&lt;8000,"5000-7999","8000+")))</f>
        <v>8000+</v>
      </c>
      <c r="AM253">
        <f>IF(HR_Cleaned[[#This Row],[Attrition]]="Yes",1,0)</f>
        <v>0</v>
      </c>
    </row>
    <row r="254" spans="1:39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>
        <f>IF(HR_Cleaned[[#This Row],[Age]]&lt;25,"18-24",IF(HR_Cleaned[[#This Row],[Age]]&lt;35,"25-34",IF(HR_Cleaned[[#This Row],[Age]]&lt;45,"35-44",IF(HR_Cleaned[[#This Row],[Age]]&lt;55,"45-54","55+"))))</f>
        <v>25-34</v>
      </c>
      <c r="AK25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54" t="str">
        <f>IF(HR_Cleaned[[#This Row],[MonthlyIncome]]&lt;3000,"Below 3000",IF(HR_Cleaned[[#This Row],[MonthlyIncome]]&lt;5000,"3000-4999",IF(HR_Cleaned[[#This Row],[MonthlyIncome]]&lt;8000,"5000-7999","8000+")))</f>
        <v>Below 3000</v>
      </c>
      <c r="AM254">
        <f>IF(HR_Cleaned[[#This Row],[Attrition]]="Yes",1,0)</f>
        <v>0</v>
      </c>
    </row>
    <row r="255" spans="1:39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>
        <f>IF(HR_Cleaned[[#This Row],[Age]]&lt;25,"18-24",IF(HR_Cleaned[[#This Row],[Age]]&lt;35,"25-34",IF(HR_Cleaned[[#This Row],[Age]]&lt;45,"35-44",IF(HR_Cleaned[[#This Row],[Age]]&lt;55,"45-54","55+"))))</f>
        <v>35-44</v>
      </c>
      <c r="AK25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55" t="str">
        <f>IF(HR_Cleaned[[#This Row],[MonthlyIncome]]&lt;3000,"Below 3000",IF(HR_Cleaned[[#This Row],[MonthlyIncome]]&lt;5000,"3000-4999",IF(HR_Cleaned[[#This Row],[MonthlyIncome]]&lt;8000,"5000-7999","8000+")))</f>
        <v>5000-7999</v>
      </c>
      <c r="AM255">
        <f>IF(HR_Cleaned[[#This Row],[Attrition]]="Yes",1,0)</f>
        <v>0</v>
      </c>
    </row>
    <row r="256" spans="1:39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>
        <f>IF(HR_Cleaned[[#This Row],[Age]]&lt;25,"18-24",IF(HR_Cleaned[[#This Row],[Age]]&lt;35,"25-34",IF(HR_Cleaned[[#This Row],[Age]]&lt;45,"35-44",IF(HR_Cleaned[[#This Row],[Age]]&lt;55,"45-54","55+"))))</f>
        <v>25-34</v>
      </c>
      <c r="AK25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56" t="str">
        <f>IF(HR_Cleaned[[#This Row],[MonthlyIncome]]&lt;3000,"Below 3000",IF(HR_Cleaned[[#This Row],[MonthlyIncome]]&lt;5000,"3000-4999",IF(HR_Cleaned[[#This Row],[MonthlyIncome]]&lt;8000,"5000-7999","8000+")))</f>
        <v>5000-7999</v>
      </c>
      <c r="AM256">
        <f>IF(HR_Cleaned[[#This Row],[Attrition]]="Yes",1,0)</f>
        <v>0</v>
      </c>
    </row>
    <row r="257" spans="1:39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>
        <f>IF(HR_Cleaned[[#This Row],[Age]]&lt;25,"18-24",IF(HR_Cleaned[[#This Row],[Age]]&lt;35,"25-34",IF(HR_Cleaned[[#This Row],[Age]]&lt;45,"35-44",IF(HR_Cleaned[[#This Row],[Age]]&lt;55,"45-54","55+"))))</f>
        <v>25-34</v>
      </c>
      <c r="AK25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57" t="str">
        <f>IF(HR_Cleaned[[#This Row],[MonthlyIncome]]&lt;3000,"Below 3000",IF(HR_Cleaned[[#This Row],[MonthlyIncome]]&lt;5000,"3000-4999",IF(HR_Cleaned[[#This Row],[MonthlyIncome]]&lt;8000,"5000-7999","8000+")))</f>
        <v>3000-4999</v>
      </c>
      <c r="AM257">
        <f>IF(HR_Cleaned[[#This Row],[Attrition]]="Yes",1,0)</f>
        <v>0</v>
      </c>
    </row>
    <row r="258" spans="1:39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>
        <f>IF(HR_Cleaned[[#This Row],[Age]]&lt;25,"18-24",IF(HR_Cleaned[[#This Row],[Age]]&lt;35,"25-34",IF(HR_Cleaned[[#This Row],[Age]]&lt;45,"35-44",IF(HR_Cleaned[[#This Row],[Age]]&lt;55,"45-54","55+"))))</f>
        <v>35-44</v>
      </c>
      <c r="AK25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58" t="str">
        <f>IF(HR_Cleaned[[#This Row],[MonthlyIncome]]&lt;3000,"Below 3000",IF(HR_Cleaned[[#This Row],[MonthlyIncome]]&lt;5000,"3000-4999",IF(HR_Cleaned[[#This Row],[MonthlyIncome]]&lt;8000,"5000-7999","8000+")))</f>
        <v>Below 3000</v>
      </c>
      <c r="AM258">
        <f>IF(HR_Cleaned[[#This Row],[Attrition]]="Yes",1,0)</f>
        <v>0</v>
      </c>
    </row>
    <row r="259" spans="1:39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>
        <f>IF(HR_Cleaned[[#This Row],[Age]]&lt;25,"18-24",IF(HR_Cleaned[[#This Row],[Age]]&lt;35,"25-34",IF(HR_Cleaned[[#This Row],[Age]]&lt;45,"35-44",IF(HR_Cleaned[[#This Row],[Age]]&lt;55,"45-54","55+"))))</f>
        <v>35-44</v>
      </c>
      <c r="AK25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259" t="str">
        <f>IF(HR_Cleaned[[#This Row],[MonthlyIncome]]&lt;3000,"Below 3000",IF(HR_Cleaned[[#This Row],[MonthlyIncome]]&lt;5000,"3000-4999",IF(HR_Cleaned[[#This Row],[MonthlyIncome]]&lt;8000,"5000-7999","8000+")))</f>
        <v>8000+</v>
      </c>
      <c r="AM259">
        <f>IF(HR_Cleaned[[#This Row],[Attrition]]="Yes",1,0)</f>
        <v>0</v>
      </c>
    </row>
    <row r="260" spans="1:39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>
        <f>IF(HR_Cleaned[[#This Row],[Age]]&lt;25,"18-24",IF(HR_Cleaned[[#This Row],[Age]]&lt;35,"25-34",IF(HR_Cleaned[[#This Row],[Age]]&lt;45,"35-44",IF(HR_Cleaned[[#This Row],[Age]]&lt;55,"45-54","55+"))))</f>
        <v>45-54</v>
      </c>
      <c r="AK26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260" t="str">
        <f>IF(HR_Cleaned[[#This Row],[MonthlyIncome]]&lt;3000,"Below 3000",IF(HR_Cleaned[[#This Row],[MonthlyIncome]]&lt;5000,"3000-4999",IF(HR_Cleaned[[#This Row],[MonthlyIncome]]&lt;8000,"5000-7999","8000+")))</f>
        <v>Below 3000</v>
      </c>
      <c r="AM260">
        <f>IF(HR_Cleaned[[#This Row],[Attrition]]="Yes",1,0)</f>
        <v>0</v>
      </c>
    </row>
    <row r="261" spans="1:39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>
        <f>IF(HR_Cleaned[[#This Row],[Age]]&lt;25,"18-24",IF(HR_Cleaned[[#This Row],[Age]]&lt;35,"25-34",IF(HR_Cleaned[[#This Row],[Age]]&lt;45,"35-44",IF(HR_Cleaned[[#This Row],[Age]]&lt;55,"45-54","55+"))))</f>
        <v>25-34</v>
      </c>
      <c r="AK26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61" t="str">
        <f>IF(HR_Cleaned[[#This Row],[MonthlyIncome]]&lt;3000,"Below 3000",IF(HR_Cleaned[[#This Row],[MonthlyIncome]]&lt;5000,"3000-4999",IF(HR_Cleaned[[#This Row],[MonthlyIncome]]&lt;8000,"5000-7999","8000+")))</f>
        <v>3000-4999</v>
      </c>
      <c r="AM261">
        <f>IF(HR_Cleaned[[#This Row],[Attrition]]="Yes",1,0)</f>
        <v>1</v>
      </c>
    </row>
    <row r="262" spans="1:39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>
        <f>IF(HR_Cleaned[[#This Row],[Age]]&lt;25,"18-24",IF(HR_Cleaned[[#This Row],[Age]]&lt;35,"25-34",IF(HR_Cleaned[[#This Row],[Age]]&lt;45,"35-44",IF(HR_Cleaned[[#This Row],[Age]]&lt;55,"45-54","55+"))))</f>
        <v>25-34</v>
      </c>
      <c r="AK26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62" t="str">
        <f>IF(HR_Cleaned[[#This Row],[MonthlyIncome]]&lt;3000,"Below 3000",IF(HR_Cleaned[[#This Row],[MonthlyIncome]]&lt;5000,"3000-4999",IF(HR_Cleaned[[#This Row],[MonthlyIncome]]&lt;8000,"5000-7999","8000+")))</f>
        <v>Below 3000</v>
      </c>
      <c r="AM262">
        <f>IF(HR_Cleaned[[#This Row],[Attrition]]="Yes",1,0)</f>
        <v>0</v>
      </c>
    </row>
    <row r="263" spans="1:39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>
        <f>IF(HR_Cleaned[[#This Row],[Age]]&lt;25,"18-24",IF(HR_Cleaned[[#This Row],[Age]]&lt;35,"25-34",IF(HR_Cleaned[[#This Row],[Age]]&lt;45,"35-44",IF(HR_Cleaned[[#This Row],[Age]]&lt;55,"45-54","55+"))))</f>
        <v>35-44</v>
      </c>
      <c r="AK26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63" t="str">
        <f>IF(HR_Cleaned[[#This Row],[MonthlyIncome]]&lt;3000,"Below 3000",IF(HR_Cleaned[[#This Row],[MonthlyIncome]]&lt;5000,"3000-4999",IF(HR_Cleaned[[#This Row],[MonthlyIncome]]&lt;8000,"5000-7999","8000+")))</f>
        <v>5000-7999</v>
      </c>
      <c r="AM263">
        <f>IF(HR_Cleaned[[#This Row],[Attrition]]="Yes",1,0)</f>
        <v>0</v>
      </c>
    </row>
    <row r="264" spans="1:39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>
        <f>IF(HR_Cleaned[[#This Row],[Age]]&lt;25,"18-24",IF(HR_Cleaned[[#This Row],[Age]]&lt;35,"25-34",IF(HR_Cleaned[[#This Row],[Age]]&lt;45,"35-44",IF(HR_Cleaned[[#This Row],[Age]]&lt;55,"45-54","55+"))))</f>
        <v>25-34</v>
      </c>
      <c r="AK26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64" t="str">
        <f>IF(HR_Cleaned[[#This Row],[MonthlyIncome]]&lt;3000,"Below 3000",IF(HR_Cleaned[[#This Row],[MonthlyIncome]]&lt;5000,"3000-4999",IF(HR_Cleaned[[#This Row],[MonthlyIncome]]&lt;8000,"5000-7999","8000+")))</f>
        <v>Below 3000</v>
      </c>
      <c r="AM264">
        <f>IF(HR_Cleaned[[#This Row],[Attrition]]="Yes",1,0)</f>
        <v>0</v>
      </c>
    </row>
    <row r="265" spans="1:39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>
        <f>IF(HR_Cleaned[[#This Row],[Age]]&lt;25,"18-24",IF(HR_Cleaned[[#This Row],[Age]]&lt;35,"25-34",IF(HR_Cleaned[[#This Row],[Age]]&lt;45,"35-44",IF(HR_Cleaned[[#This Row],[Age]]&lt;55,"45-54","55+"))))</f>
        <v>45-54</v>
      </c>
      <c r="AK26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65" t="str">
        <f>IF(HR_Cleaned[[#This Row],[MonthlyIncome]]&lt;3000,"Below 3000",IF(HR_Cleaned[[#This Row],[MonthlyIncome]]&lt;5000,"3000-4999",IF(HR_Cleaned[[#This Row],[MonthlyIncome]]&lt;8000,"5000-7999","8000+")))</f>
        <v>8000+</v>
      </c>
      <c r="AM265">
        <f>IF(HR_Cleaned[[#This Row],[Attrition]]="Yes",1,0)</f>
        <v>0</v>
      </c>
    </row>
    <row r="266" spans="1:39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>
        <f>IF(HR_Cleaned[[#This Row],[Age]]&lt;25,"18-24",IF(HR_Cleaned[[#This Row],[Age]]&lt;35,"25-34",IF(HR_Cleaned[[#This Row],[Age]]&lt;45,"35-44",IF(HR_Cleaned[[#This Row],[Age]]&lt;55,"45-54","55+"))))</f>
        <v>25-34</v>
      </c>
      <c r="AK26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266" t="str">
        <f>IF(HR_Cleaned[[#This Row],[MonthlyIncome]]&lt;3000,"Below 3000",IF(HR_Cleaned[[#This Row],[MonthlyIncome]]&lt;5000,"3000-4999",IF(HR_Cleaned[[#This Row],[MonthlyIncome]]&lt;8000,"5000-7999","8000+")))</f>
        <v>3000-4999</v>
      </c>
      <c r="AM266">
        <f>IF(HR_Cleaned[[#This Row],[Attrition]]="Yes",1,0)</f>
        <v>1</v>
      </c>
    </row>
    <row r="267" spans="1:39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>
        <f>IF(HR_Cleaned[[#This Row],[Age]]&lt;25,"18-24",IF(HR_Cleaned[[#This Row],[Age]]&lt;35,"25-34",IF(HR_Cleaned[[#This Row],[Age]]&lt;45,"35-44",IF(HR_Cleaned[[#This Row],[Age]]&lt;55,"45-54","55+"))))</f>
        <v>25-34</v>
      </c>
      <c r="AK26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267" t="str">
        <f>IF(HR_Cleaned[[#This Row],[MonthlyIncome]]&lt;3000,"Below 3000",IF(HR_Cleaned[[#This Row],[MonthlyIncome]]&lt;5000,"3000-4999",IF(HR_Cleaned[[#This Row],[MonthlyIncome]]&lt;8000,"5000-7999","8000+")))</f>
        <v>5000-7999</v>
      </c>
      <c r="AM267">
        <f>IF(HR_Cleaned[[#This Row],[Attrition]]="Yes",1,0)</f>
        <v>0</v>
      </c>
    </row>
    <row r="268" spans="1:39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>
        <f>IF(HR_Cleaned[[#This Row],[Age]]&lt;25,"18-24",IF(HR_Cleaned[[#This Row],[Age]]&lt;35,"25-34",IF(HR_Cleaned[[#This Row],[Age]]&lt;45,"35-44",IF(HR_Cleaned[[#This Row],[Age]]&lt;55,"45-54","55+"))))</f>
        <v>25-34</v>
      </c>
      <c r="AK26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68" t="str">
        <f>IF(HR_Cleaned[[#This Row],[MonthlyIncome]]&lt;3000,"Below 3000",IF(HR_Cleaned[[#This Row],[MonthlyIncome]]&lt;5000,"3000-4999",IF(HR_Cleaned[[#This Row],[MonthlyIncome]]&lt;8000,"5000-7999","8000+")))</f>
        <v>5000-7999</v>
      </c>
      <c r="AM268">
        <f>IF(HR_Cleaned[[#This Row],[Attrition]]="Yes",1,0)</f>
        <v>0</v>
      </c>
    </row>
    <row r="269" spans="1:39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>
        <f>IF(HR_Cleaned[[#This Row],[Age]]&lt;25,"18-24",IF(HR_Cleaned[[#This Row],[Age]]&lt;35,"25-34",IF(HR_Cleaned[[#This Row],[Age]]&lt;45,"35-44",IF(HR_Cleaned[[#This Row],[Age]]&lt;55,"45-54","55+"))))</f>
        <v>25-34</v>
      </c>
      <c r="AK26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69" t="str">
        <f>IF(HR_Cleaned[[#This Row],[MonthlyIncome]]&lt;3000,"Below 3000",IF(HR_Cleaned[[#This Row],[MonthlyIncome]]&lt;5000,"3000-4999",IF(HR_Cleaned[[#This Row],[MonthlyIncome]]&lt;8000,"5000-7999","8000+")))</f>
        <v>3000-4999</v>
      </c>
      <c r="AM269">
        <f>IF(HR_Cleaned[[#This Row],[Attrition]]="Yes",1,0)</f>
        <v>0</v>
      </c>
    </row>
    <row r="270" spans="1:39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>
        <f>IF(HR_Cleaned[[#This Row],[Age]]&lt;25,"18-24",IF(HR_Cleaned[[#This Row],[Age]]&lt;35,"25-34",IF(HR_Cleaned[[#This Row],[Age]]&lt;45,"35-44",IF(HR_Cleaned[[#This Row],[Age]]&lt;55,"45-54","55+"))))</f>
        <v>45-54</v>
      </c>
      <c r="AK27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270" t="str">
        <f>IF(HR_Cleaned[[#This Row],[MonthlyIncome]]&lt;3000,"Below 3000",IF(HR_Cleaned[[#This Row],[MonthlyIncome]]&lt;5000,"3000-4999",IF(HR_Cleaned[[#This Row],[MonthlyIncome]]&lt;8000,"5000-7999","8000+")))</f>
        <v>8000+</v>
      </c>
      <c r="AM270">
        <f>IF(HR_Cleaned[[#This Row],[Attrition]]="Yes",1,0)</f>
        <v>0</v>
      </c>
    </row>
    <row r="271" spans="1:39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>
        <f>IF(HR_Cleaned[[#This Row],[Age]]&lt;25,"18-24",IF(HR_Cleaned[[#This Row],[Age]]&lt;35,"25-34",IF(HR_Cleaned[[#This Row],[Age]]&lt;45,"35-44",IF(HR_Cleaned[[#This Row],[Age]]&lt;55,"45-54","55+"))))</f>
        <v>35-44</v>
      </c>
      <c r="AK271" t="str">
        <f>IF(HR_Cleaned[[#This Row],[YearsAtCompany]]&lt;=2,"0-2 Years",IF(HR_Cleaned[[#This Row],[YearsAtCompany]]&lt;=5,"3-5 Years",IF(HR_Cleaned[[#This Row],[YearsAtCompany]]&lt;=10,"6-10 Years","11+ Years")))</f>
        <v>11+ Years</v>
      </c>
      <c r="AL271" t="str">
        <f>IF(HR_Cleaned[[#This Row],[MonthlyIncome]]&lt;3000,"Below 3000",IF(HR_Cleaned[[#This Row],[MonthlyIncome]]&lt;5000,"3000-4999",IF(HR_Cleaned[[#This Row],[MonthlyIncome]]&lt;8000,"5000-7999","8000+")))</f>
        <v>3000-4999</v>
      </c>
      <c r="AM271">
        <f>IF(HR_Cleaned[[#This Row],[Attrition]]="Yes",1,0)</f>
        <v>0</v>
      </c>
    </row>
    <row r="272" spans="1:39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>
        <f>IF(HR_Cleaned[[#This Row],[Age]]&lt;25,"18-24",IF(HR_Cleaned[[#This Row],[Age]]&lt;35,"25-34",IF(HR_Cleaned[[#This Row],[Age]]&lt;45,"35-44",IF(HR_Cleaned[[#This Row],[Age]]&lt;55,"45-54","55+"))))</f>
        <v>55+</v>
      </c>
      <c r="AK27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272" t="str">
        <f>IF(HR_Cleaned[[#This Row],[MonthlyIncome]]&lt;3000,"Below 3000",IF(HR_Cleaned[[#This Row],[MonthlyIncome]]&lt;5000,"3000-4999",IF(HR_Cleaned[[#This Row],[MonthlyIncome]]&lt;8000,"5000-7999","8000+")))</f>
        <v>8000+</v>
      </c>
      <c r="AM272">
        <f>IF(HR_Cleaned[[#This Row],[Attrition]]="Yes",1,0)</f>
        <v>0</v>
      </c>
    </row>
    <row r="273" spans="1:39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>
        <f>IF(HR_Cleaned[[#This Row],[Age]]&lt;25,"18-24",IF(HR_Cleaned[[#This Row],[Age]]&lt;35,"25-34",IF(HR_Cleaned[[#This Row],[Age]]&lt;45,"35-44",IF(HR_Cleaned[[#This Row],[Age]]&lt;55,"45-54","55+"))))</f>
        <v>45-54</v>
      </c>
      <c r="AK27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73" t="str">
        <f>IF(HR_Cleaned[[#This Row],[MonthlyIncome]]&lt;3000,"Below 3000",IF(HR_Cleaned[[#This Row],[MonthlyIncome]]&lt;5000,"3000-4999",IF(HR_Cleaned[[#This Row],[MonthlyIncome]]&lt;8000,"5000-7999","8000+")))</f>
        <v>8000+</v>
      </c>
      <c r="AM273">
        <f>IF(HR_Cleaned[[#This Row],[Attrition]]="Yes",1,0)</f>
        <v>1</v>
      </c>
    </row>
    <row r="274" spans="1:39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>
        <f>IF(HR_Cleaned[[#This Row],[Age]]&lt;25,"18-24",IF(HR_Cleaned[[#This Row],[Age]]&lt;35,"25-34",IF(HR_Cleaned[[#This Row],[Age]]&lt;45,"35-44",IF(HR_Cleaned[[#This Row],[Age]]&lt;55,"45-54","55+"))))</f>
        <v>25-34</v>
      </c>
      <c r="AK27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74" t="str">
        <f>IF(HR_Cleaned[[#This Row],[MonthlyIncome]]&lt;3000,"Below 3000",IF(HR_Cleaned[[#This Row],[MonthlyIncome]]&lt;5000,"3000-4999",IF(HR_Cleaned[[#This Row],[MonthlyIncome]]&lt;8000,"5000-7999","8000+")))</f>
        <v>Below 3000</v>
      </c>
      <c r="AM274">
        <f>IF(HR_Cleaned[[#This Row],[Attrition]]="Yes",1,0)</f>
        <v>0</v>
      </c>
    </row>
    <row r="275" spans="1:39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>
        <f>IF(HR_Cleaned[[#This Row],[Age]]&lt;25,"18-24",IF(HR_Cleaned[[#This Row],[Age]]&lt;35,"25-34",IF(HR_Cleaned[[#This Row],[Age]]&lt;45,"35-44",IF(HR_Cleaned[[#This Row],[Age]]&lt;55,"45-54","55+"))))</f>
        <v>35-44</v>
      </c>
      <c r="AK27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75" t="str">
        <f>IF(HR_Cleaned[[#This Row],[MonthlyIncome]]&lt;3000,"Below 3000",IF(HR_Cleaned[[#This Row],[MonthlyIncome]]&lt;5000,"3000-4999",IF(HR_Cleaned[[#This Row],[MonthlyIncome]]&lt;8000,"5000-7999","8000+")))</f>
        <v>5000-7999</v>
      </c>
      <c r="AM275">
        <f>IF(HR_Cleaned[[#This Row],[Attrition]]="Yes",1,0)</f>
        <v>0</v>
      </c>
    </row>
    <row r="276" spans="1:39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>
        <f>IF(HR_Cleaned[[#This Row],[Age]]&lt;25,"18-24",IF(HR_Cleaned[[#This Row],[Age]]&lt;35,"25-34",IF(HR_Cleaned[[#This Row],[Age]]&lt;45,"35-44",IF(HR_Cleaned[[#This Row],[Age]]&lt;55,"45-54","55+"))))</f>
        <v>18-24</v>
      </c>
      <c r="AK27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76" t="str">
        <f>IF(HR_Cleaned[[#This Row],[MonthlyIncome]]&lt;3000,"Below 3000",IF(HR_Cleaned[[#This Row],[MonthlyIncome]]&lt;5000,"3000-4999",IF(HR_Cleaned[[#This Row],[MonthlyIncome]]&lt;8000,"5000-7999","8000+")))</f>
        <v>3000-4999</v>
      </c>
      <c r="AM276">
        <f>IF(HR_Cleaned[[#This Row],[Attrition]]="Yes",1,0)</f>
        <v>0</v>
      </c>
    </row>
    <row r="277" spans="1:39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>
        <f>IF(HR_Cleaned[[#This Row],[Age]]&lt;25,"18-24",IF(HR_Cleaned[[#This Row],[Age]]&lt;35,"25-34",IF(HR_Cleaned[[#This Row],[Age]]&lt;45,"35-44",IF(HR_Cleaned[[#This Row],[Age]]&lt;55,"45-54","55+"))))</f>
        <v>35-44</v>
      </c>
      <c r="AK27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77" t="str">
        <f>IF(HR_Cleaned[[#This Row],[MonthlyIncome]]&lt;3000,"Below 3000",IF(HR_Cleaned[[#This Row],[MonthlyIncome]]&lt;5000,"3000-4999",IF(HR_Cleaned[[#This Row],[MonthlyIncome]]&lt;8000,"5000-7999","8000+")))</f>
        <v>8000+</v>
      </c>
      <c r="AM277">
        <f>IF(HR_Cleaned[[#This Row],[Attrition]]="Yes",1,0)</f>
        <v>0</v>
      </c>
    </row>
    <row r="278" spans="1:39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>
        <f>IF(HR_Cleaned[[#This Row],[Age]]&lt;25,"18-24",IF(HR_Cleaned[[#This Row],[Age]]&lt;35,"25-34",IF(HR_Cleaned[[#This Row],[Age]]&lt;45,"35-44",IF(HR_Cleaned[[#This Row],[Age]]&lt;55,"45-54","55+"))))</f>
        <v>35-44</v>
      </c>
      <c r="AK27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78" t="str">
        <f>IF(HR_Cleaned[[#This Row],[MonthlyIncome]]&lt;3000,"Below 3000",IF(HR_Cleaned[[#This Row],[MonthlyIncome]]&lt;5000,"3000-4999",IF(HR_Cleaned[[#This Row],[MonthlyIncome]]&lt;8000,"5000-7999","8000+")))</f>
        <v>8000+</v>
      </c>
      <c r="AM278">
        <f>IF(HR_Cleaned[[#This Row],[Attrition]]="Yes",1,0)</f>
        <v>0</v>
      </c>
    </row>
    <row r="279" spans="1:39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>
        <f>IF(HR_Cleaned[[#This Row],[Age]]&lt;25,"18-24",IF(HR_Cleaned[[#This Row],[Age]]&lt;35,"25-34",IF(HR_Cleaned[[#This Row],[Age]]&lt;45,"35-44",IF(HR_Cleaned[[#This Row],[Age]]&lt;55,"45-54","55+"))))</f>
        <v>35-44</v>
      </c>
      <c r="AK27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79" t="str">
        <f>IF(HR_Cleaned[[#This Row],[MonthlyIncome]]&lt;3000,"Below 3000",IF(HR_Cleaned[[#This Row],[MonthlyIncome]]&lt;5000,"3000-4999",IF(HR_Cleaned[[#This Row],[MonthlyIncome]]&lt;8000,"5000-7999","8000+")))</f>
        <v>5000-7999</v>
      </c>
      <c r="AM279">
        <f>IF(HR_Cleaned[[#This Row],[Attrition]]="Yes",1,0)</f>
        <v>0</v>
      </c>
    </row>
    <row r="280" spans="1:39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>
        <f>IF(HR_Cleaned[[#This Row],[Age]]&lt;25,"18-24",IF(HR_Cleaned[[#This Row],[Age]]&lt;35,"25-34",IF(HR_Cleaned[[#This Row],[Age]]&lt;45,"35-44",IF(HR_Cleaned[[#This Row],[Age]]&lt;55,"45-54","55+"))))</f>
        <v>25-34</v>
      </c>
      <c r="AK28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80" t="str">
        <f>IF(HR_Cleaned[[#This Row],[MonthlyIncome]]&lt;3000,"Below 3000",IF(HR_Cleaned[[#This Row],[MonthlyIncome]]&lt;5000,"3000-4999",IF(HR_Cleaned[[#This Row],[MonthlyIncome]]&lt;8000,"5000-7999","8000+")))</f>
        <v>5000-7999</v>
      </c>
      <c r="AM280">
        <f>IF(HR_Cleaned[[#This Row],[Attrition]]="Yes",1,0)</f>
        <v>0</v>
      </c>
    </row>
    <row r="281" spans="1:39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>
        <f>IF(HR_Cleaned[[#This Row],[Age]]&lt;25,"18-24",IF(HR_Cleaned[[#This Row],[Age]]&lt;35,"25-34",IF(HR_Cleaned[[#This Row],[Age]]&lt;45,"35-44",IF(HR_Cleaned[[#This Row],[Age]]&lt;55,"45-54","55+"))))</f>
        <v>45-54</v>
      </c>
      <c r="AK28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81" t="str">
        <f>IF(HR_Cleaned[[#This Row],[MonthlyIncome]]&lt;3000,"Below 3000",IF(HR_Cleaned[[#This Row],[MonthlyIncome]]&lt;5000,"3000-4999",IF(HR_Cleaned[[#This Row],[MonthlyIncome]]&lt;8000,"5000-7999","8000+")))</f>
        <v>8000+</v>
      </c>
      <c r="AM281">
        <f>IF(HR_Cleaned[[#This Row],[Attrition]]="Yes",1,0)</f>
        <v>0</v>
      </c>
    </row>
    <row r="282" spans="1:39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>
        <f>IF(HR_Cleaned[[#This Row],[Age]]&lt;25,"18-24",IF(HR_Cleaned[[#This Row],[Age]]&lt;35,"25-34",IF(HR_Cleaned[[#This Row],[Age]]&lt;45,"35-44",IF(HR_Cleaned[[#This Row],[Age]]&lt;55,"45-54","55+"))))</f>
        <v>45-54</v>
      </c>
      <c r="AK28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82" t="str">
        <f>IF(HR_Cleaned[[#This Row],[MonthlyIncome]]&lt;3000,"Below 3000",IF(HR_Cleaned[[#This Row],[MonthlyIncome]]&lt;5000,"3000-4999",IF(HR_Cleaned[[#This Row],[MonthlyIncome]]&lt;8000,"5000-7999","8000+")))</f>
        <v>8000+</v>
      </c>
      <c r="AM282">
        <f>IF(HR_Cleaned[[#This Row],[Attrition]]="Yes",1,0)</f>
        <v>0</v>
      </c>
    </row>
    <row r="283" spans="1:39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>
        <f>IF(HR_Cleaned[[#This Row],[Age]]&lt;25,"18-24",IF(HR_Cleaned[[#This Row],[Age]]&lt;35,"25-34",IF(HR_Cleaned[[#This Row],[Age]]&lt;45,"35-44",IF(HR_Cleaned[[#This Row],[Age]]&lt;55,"45-54","55+"))))</f>
        <v>35-44</v>
      </c>
      <c r="AK28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283" t="str">
        <f>IF(HR_Cleaned[[#This Row],[MonthlyIncome]]&lt;3000,"Below 3000",IF(HR_Cleaned[[#This Row],[MonthlyIncome]]&lt;5000,"3000-4999",IF(HR_Cleaned[[#This Row],[MonthlyIncome]]&lt;8000,"5000-7999","8000+")))</f>
        <v>3000-4999</v>
      </c>
      <c r="AM283">
        <f>IF(HR_Cleaned[[#This Row],[Attrition]]="Yes",1,0)</f>
        <v>0</v>
      </c>
    </row>
    <row r="284" spans="1:39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>
        <f>IF(HR_Cleaned[[#This Row],[Age]]&lt;25,"18-24",IF(HR_Cleaned[[#This Row],[Age]]&lt;35,"25-34",IF(HR_Cleaned[[#This Row],[Age]]&lt;45,"35-44",IF(HR_Cleaned[[#This Row],[Age]]&lt;55,"45-54","55+"))))</f>
        <v>25-34</v>
      </c>
      <c r="AK28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84" t="str">
        <f>IF(HR_Cleaned[[#This Row],[MonthlyIncome]]&lt;3000,"Below 3000",IF(HR_Cleaned[[#This Row],[MonthlyIncome]]&lt;5000,"3000-4999",IF(HR_Cleaned[[#This Row],[MonthlyIncome]]&lt;8000,"5000-7999","8000+")))</f>
        <v>3000-4999</v>
      </c>
      <c r="AM284">
        <f>IF(HR_Cleaned[[#This Row],[Attrition]]="Yes",1,0)</f>
        <v>0</v>
      </c>
    </row>
    <row r="285" spans="1:39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>
        <f>IF(HR_Cleaned[[#This Row],[Age]]&lt;25,"18-24",IF(HR_Cleaned[[#This Row],[Age]]&lt;35,"25-34",IF(HR_Cleaned[[#This Row],[Age]]&lt;45,"35-44",IF(HR_Cleaned[[#This Row],[Age]]&lt;55,"45-54","55+"))))</f>
        <v>55+</v>
      </c>
      <c r="AK28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85" t="str">
        <f>IF(HR_Cleaned[[#This Row],[MonthlyIncome]]&lt;3000,"Below 3000",IF(HR_Cleaned[[#This Row],[MonthlyIncome]]&lt;5000,"3000-4999",IF(HR_Cleaned[[#This Row],[MonthlyIncome]]&lt;8000,"5000-7999","8000+")))</f>
        <v>5000-7999</v>
      </c>
      <c r="AM285">
        <f>IF(HR_Cleaned[[#This Row],[Attrition]]="Yes",1,0)</f>
        <v>0</v>
      </c>
    </row>
    <row r="286" spans="1:39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>
        <f>IF(HR_Cleaned[[#This Row],[Age]]&lt;25,"18-24",IF(HR_Cleaned[[#This Row],[Age]]&lt;35,"25-34",IF(HR_Cleaned[[#This Row],[Age]]&lt;45,"35-44",IF(HR_Cleaned[[#This Row],[Age]]&lt;55,"45-54","55+"))))</f>
        <v>25-34</v>
      </c>
      <c r="AK28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86" t="str">
        <f>IF(HR_Cleaned[[#This Row],[MonthlyIncome]]&lt;3000,"Below 3000",IF(HR_Cleaned[[#This Row],[MonthlyIncome]]&lt;5000,"3000-4999",IF(HR_Cleaned[[#This Row],[MonthlyIncome]]&lt;8000,"5000-7999","8000+")))</f>
        <v>3000-4999</v>
      </c>
      <c r="AM286">
        <f>IF(HR_Cleaned[[#This Row],[Attrition]]="Yes",1,0)</f>
        <v>0</v>
      </c>
    </row>
    <row r="287" spans="1:39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>
        <f>IF(HR_Cleaned[[#This Row],[Age]]&lt;25,"18-24",IF(HR_Cleaned[[#This Row],[Age]]&lt;35,"25-34",IF(HR_Cleaned[[#This Row],[Age]]&lt;45,"35-44",IF(HR_Cleaned[[#This Row],[Age]]&lt;55,"45-54","55+"))))</f>
        <v>35-44</v>
      </c>
      <c r="AK28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287" t="str">
        <f>IF(HR_Cleaned[[#This Row],[MonthlyIncome]]&lt;3000,"Below 3000",IF(HR_Cleaned[[#This Row],[MonthlyIncome]]&lt;5000,"3000-4999",IF(HR_Cleaned[[#This Row],[MonthlyIncome]]&lt;8000,"5000-7999","8000+")))</f>
        <v>Below 3000</v>
      </c>
      <c r="AM287">
        <f>IF(HR_Cleaned[[#This Row],[Attrition]]="Yes",1,0)</f>
        <v>0</v>
      </c>
    </row>
    <row r="288" spans="1:39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>
        <f>IF(HR_Cleaned[[#This Row],[Age]]&lt;25,"18-24",IF(HR_Cleaned[[#This Row],[Age]]&lt;35,"25-34",IF(HR_Cleaned[[#This Row],[Age]]&lt;45,"35-44",IF(HR_Cleaned[[#This Row],[Age]]&lt;55,"45-54","55+"))))</f>
        <v>35-44</v>
      </c>
      <c r="AK28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288" t="str">
        <f>IF(HR_Cleaned[[#This Row],[MonthlyIncome]]&lt;3000,"Below 3000",IF(HR_Cleaned[[#This Row],[MonthlyIncome]]&lt;5000,"3000-4999",IF(HR_Cleaned[[#This Row],[MonthlyIncome]]&lt;8000,"5000-7999","8000+")))</f>
        <v>3000-4999</v>
      </c>
      <c r="AM288">
        <f>IF(HR_Cleaned[[#This Row],[Attrition]]="Yes",1,0)</f>
        <v>1</v>
      </c>
    </row>
    <row r="289" spans="1:39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>
        <f>IF(HR_Cleaned[[#This Row],[Age]]&lt;25,"18-24",IF(HR_Cleaned[[#This Row],[Age]]&lt;35,"25-34",IF(HR_Cleaned[[#This Row],[Age]]&lt;45,"35-44",IF(HR_Cleaned[[#This Row],[Age]]&lt;55,"45-54","55+"))))</f>
        <v>35-44</v>
      </c>
      <c r="AK28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289" t="str">
        <f>IF(HR_Cleaned[[#This Row],[MonthlyIncome]]&lt;3000,"Below 3000",IF(HR_Cleaned[[#This Row],[MonthlyIncome]]&lt;5000,"3000-4999",IF(HR_Cleaned[[#This Row],[MonthlyIncome]]&lt;8000,"5000-7999","8000+")))</f>
        <v>5000-7999</v>
      </c>
      <c r="AM289">
        <f>IF(HR_Cleaned[[#This Row],[Attrition]]="Yes",1,0)</f>
        <v>0</v>
      </c>
    </row>
    <row r="290" spans="1:39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>
        <f>IF(HR_Cleaned[[#This Row],[Age]]&lt;25,"18-24",IF(HR_Cleaned[[#This Row],[Age]]&lt;35,"25-34",IF(HR_Cleaned[[#This Row],[Age]]&lt;45,"35-44",IF(HR_Cleaned[[#This Row],[Age]]&lt;55,"45-54","55+"))))</f>
        <v>25-34</v>
      </c>
      <c r="AK29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90" t="str">
        <f>IF(HR_Cleaned[[#This Row],[MonthlyIncome]]&lt;3000,"Below 3000",IF(HR_Cleaned[[#This Row],[MonthlyIncome]]&lt;5000,"3000-4999",IF(HR_Cleaned[[#This Row],[MonthlyIncome]]&lt;8000,"5000-7999","8000+")))</f>
        <v>Below 3000</v>
      </c>
      <c r="AM290">
        <f>IF(HR_Cleaned[[#This Row],[Attrition]]="Yes",1,0)</f>
        <v>1</v>
      </c>
    </row>
    <row r="291" spans="1:39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>
        <f>IF(HR_Cleaned[[#This Row],[Age]]&lt;25,"18-24",IF(HR_Cleaned[[#This Row],[Age]]&lt;35,"25-34",IF(HR_Cleaned[[#This Row],[Age]]&lt;45,"35-44",IF(HR_Cleaned[[#This Row],[Age]]&lt;55,"45-54","55+"))))</f>
        <v>25-34</v>
      </c>
      <c r="AK29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91" t="str">
        <f>IF(HR_Cleaned[[#This Row],[MonthlyIncome]]&lt;3000,"Below 3000",IF(HR_Cleaned[[#This Row],[MonthlyIncome]]&lt;5000,"3000-4999",IF(HR_Cleaned[[#This Row],[MonthlyIncome]]&lt;8000,"5000-7999","8000+")))</f>
        <v>3000-4999</v>
      </c>
      <c r="AM291">
        <f>IF(HR_Cleaned[[#This Row],[Attrition]]="Yes",1,0)</f>
        <v>0</v>
      </c>
    </row>
    <row r="292" spans="1:39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>
        <f>IF(HR_Cleaned[[#This Row],[Age]]&lt;25,"18-24",IF(HR_Cleaned[[#This Row],[Age]]&lt;35,"25-34",IF(HR_Cleaned[[#This Row],[Age]]&lt;45,"35-44",IF(HR_Cleaned[[#This Row],[Age]]&lt;55,"45-54","55+"))))</f>
        <v>45-54</v>
      </c>
      <c r="AK29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92" t="str">
        <f>IF(HR_Cleaned[[#This Row],[MonthlyIncome]]&lt;3000,"Below 3000",IF(HR_Cleaned[[#This Row],[MonthlyIncome]]&lt;5000,"3000-4999",IF(HR_Cleaned[[#This Row],[MonthlyIncome]]&lt;8000,"5000-7999","8000+")))</f>
        <v>8000+</v>
      </c>
      <c r="AM292">
        <f>IF(HR_Cleaned[[#This Row],[Attrition]]="Yes",1,0)</f>
        <v>0</v>
      </c>
    </row>
    <row r="293" spans="1:39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>
        <f>IF(HR_Cleaned[[#This Row],[Age]]&lt;25,"18-24",IF(HR_Cleaned[[#This Row],[Age]]&lt;35,"25-34",IF(HR_Cleaned[[#This Row],[Age]]&lt;45,"35-44",IF(HR_Cleaned[[#This Row],[Age]]&lt;55,"45-54","55+"))))</f>
        <v>35-44</v>
      </c>
      <c r="AK29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93" t="str">
        <f>IF(HR_Cleaned[[#This Row],[MonthlyIncome]]&lt;3000,"Below 3000",IF(HR_Cleaned[[#This Row],[MonthlyIncome]]&lt;5000,"3000-4999",IF(HR_Cleaned[[#This Row],[MonthlyIncome]]&lt;8000,"5000-7999","8000+")))</f>
        <v>3000-4999</v>
      </c>
      <c r="AM293">
        <f>IF(HR_Cleaned[[#This Row],[Attrition]]="Yes",1,0)</f>
        <v>0</v>
      </c>
    </row>
    <row r="294" spans="1:39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>
        <f>IF(HR_Cleaned[[#This Row],[Age]]&lt;25,"18-24",IF(HR_Cleaned[[#This Row],[Age]]&lt;35,"25-34",IF(HR_Cleaned[[#This Row],[Age]]&lt;45,"35-44",IF(HR_Cleaned[[#This Row],[Age]]&lt;55,"45-54","55+"))))</f>
        <v>25-34</v>
      </c>
      <c r="AK29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294" t="str">
        <f>IF(HR_Cleaned[[#This Row],[MonthlyIncome]]&lt;3000,"Below 3000",IF(HR_Cleaned[[#This Row],[MonthlyIncome]]&lt;5000,"3000-4999",IF(HR_Cleaned[[#This Row],[MonthlyIncome]]&lt;8000,"5000-7999","8000+")))</f>
        <v>Below 3000</v>
      </c>
      <c r="AM294">
        <f>IF(HR_Cleaned[[#This Row],[Attrition]]="Yes",1,0)</f>
        <v>0</v>
      </c>
    </row>
    <row r="295" spans="1:39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>
        <f>IF(HR_Cleaned[[#This Row],[Age]]&lt;25,"18-24",IF(HR_Cleaned[[#This Row],[Age]]&lt;35,"25-34",IF(HR_Cleaned[[#This Row],[Age]]&lt;45,"35-44",IF(HR_Cleaned[[#This Row],[Age]]&lt;55,"45-54","55+"))))</f>
        <v>25-34</v>
      </c>
      <c r="AK29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295" t="str">
        <f>IF(HR_Cleaned[[#This Row],[MonthlyIncome]]&lt;3000,"Below 3000",IF(HR_Cleaned[[#This Row],[MonthlyIncome]]&lt;5000,"3000-4999",IF(HR_Cleaned[[#This Row],[MonthlyIncome]]&lt;8000,"5000-7999","8000+")))</f>
        <v>5000-7999</v>
      </c>
      <c r="AM295">
        <f>IF(HR_Cleaned[[#This Row],[Attrition]]="Yes",1,0)</f>
        <v>1</v>
      </c>
    </row>
    <row r="296" spans="1:39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>
        <f>IF(HR_Cleaned[[#This Row],[Age]]&lt;25,"18-24",IF(HR_Cleaned[[#This Row],[Age]]&lt;35,"25-34",IF(HR_Cleaned[[#This Row],[Age]]&lt;45,"35-44",IF(HR_Cleaned[[#This Row],[Age]]&lt;55,"45-54","55+"))))</f>
        <v>35-44</v>
      </c>
      <c r="AK29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296" t="str">
        <f>IF(HR_Cleaned[[#This Row],[MonthlyIncome]]&lt;3000,"Below 3000",IF(HR_Cleaned[[#This Row],[MonthlyIncome]]&lt;5000,"3000-4999",IF(HR_Cleaned[[#This Row],[MonthlyIncome]]&lt;8000,"5000-7999","8000+")))</f>
        <v>Below 3000</v>
      </c>
      <c r="AM296">
        <f>IF(HR_Cleaned[[#This Row],[Attrition]]="Yes",1,0)</f>
        <v>0</v>
      </c>
    </row>
    <row r="297" spans="1:39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>
        <f>IF(HR_Cleaned[[#This Row],[Age]]&lt;25,"18-24",IF(HR_Cleaned[[#This Row],[Age]]&lt;35,"25-34",IF(HR_Cleaned[[#This Row],[Age]]&lt;45,"35-44",IF(HR_Cleaned[[#This Row],[Age]]&lt;55,"45-54","55+"))))</f>
        <v>35-44</v>
      </c>
      <c r="AK29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297" t="str">
        <f>IF(HR_Cleaned[[#This Row],[MonthlyIncome]]&lt;3000,"Below 3000",IF(HR_Cleaned[[#This Row],[MonthlyIncome]]&lt;5000,"3000-4999",IF(HR_Cleaned[[#This Row],[MonthlyIncome]]&lt;8000,"5000-7999","8000+")))</f>
        <v>8000+</v>
      </c>
      <c r="AM297">
        <f>IF(HR_Cleaned[[#This Row],[Attrition]]="Yes",1,0)</f>
        <v>0</v>
      </c>
    </row>
    <row r="298" spans="1:39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>
        <f>IF(HR_Cleaned[[#This Row],[Age]]&lt;25,"18-24",IF(HR_Cleaned[[#This Row],[Age]]&lt;35,"25-34",IF(HR_Cleaned[[#This Row],[Age]]&lt;45,"35-44",IF(HR_Cleaned[[#This Row],[Age]]&lt;55,"45-54","55+"))))</f>
        <v>18-24</v>
      </c>
      <c r="AK29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298" t="str">
        <f>IF(HR_Cleaned[[#This Row],[MonthlyIncome]]&lt;3000,"Below 3000",IF(HR_Cleaned[[#This Row],[MonthlyIncome]]&lt;5000,"3000-4999",IF(HR_Cleaned[[#This Row],[MonthlyIncome]]&lt;8000,"5000-7999","8000+")))</f>
        <v>Below 3000</v>
      </c>
      <c r="AM298">
        <f>IF(HR_Cleaned[[#This Row],[Attrition]]="Yes",1,0)</f>
        <v>1</v>
      </c>
    </row>
    <row r="299" spans="1:39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>
        <f>IF(HR_Cleaned[[#This Row],[Age]]&lt;25,"18-24",IF(HR_Cleaned[[#This Row],[Age]]&lt;35,"25-34",IF(HR_Cleaned[[#This Row],[Age]]&lt;45,"35-44",IF(HR_Cleaned[[#This Row],[Age]]&lt;55,"45-54","55+"))))</f>
        <v>35-44</v>
      </c>
      <c r="AK29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299" t="str">
        <f>IF(HR_Cleaned[[#This Row],[MonthlyIncome]]&lt;3000,"Below 3000",IF(HR_Cleaned[[#This Row],[MonthlyIncome]]&lt;5000,"3000-4999",IF(HR_Cleaned[[#This Row],[MonthlyIncome]]&lt;8000,"5000-7999","8000+")))</f>
        <v>8000+</v>
      </c>
      <c r="AM299">
        <f>IF(HR_Cleaned[[#This Row],[Attrition]]="Yes",1,0)</f>
        <v>0</v>
      </c>
    </row>
    <row r="300" spans="1:39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>
        <f>IF(HR_Cleaned[[#This Row],[Age]]&lt;25,"18-24",IF(HR_Cleaned[[#This Row],[Age]]&lt;35,"25-34",IF(HR_Cleaned[[#This Row],[Age]]&lt;45,"35-44",IF(HR_Cleaned[[#This Row],[Age]]&lt;55,"45-54","55+"))))</f>
        <v>35-44</v>
      </c>
      <c r="AK30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00" t="str">
        <f>IF(HR_Cleaned[[#This Row],[MonthlyIncome]]&lt;3000,"Below 3000",IF(HR_Cleaned[[#This Row],[MonthlyIncome]]&lt;5000,"3000-4999",IF(HR_Cleaned[[#This Row],[MonthlyIncome]]&lt;8000,"5000-7999","8000+")))</f>
        <v>3000-4999</v>
      </c>
      <c r="AM300">
        <f>IF(HR_Cleaned[[#This Row],[Attrition]]="Yes",1,0)</f>
        <v>0</v>
      </c>
    </row>
    <row r="301" spans="1:39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>
        <f>IF(HR_Cleaned[[#This Row],[Age]]&lt;25,"18-24",IF(HR_Cleaned[[#This Row],[Age]]&lt;35,"25-34",IF(HR_Cleaned[[#This Row],[Age]]&lt;45,"35-44",IF(HR_Cleaned[[#This Row],[Age]]&lt;55,"45-54","55+"))))</f>
        <v>45-54</v>
      </c>
      <c r="AK30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01" t="str">
        <f>IF(HR_Cleaned[[#This Row],[MonthlyIncome]]&lt;3000,"Below 3000",IF(HR_Cleaned[[#This Row],[MonthlyIncome]]&lt;5000,"3000-4999",IF(HR_Cleaned[[#This Row],[MonthlyIncome]]&lt;8000,"5000-7999","8000+")))</f>
        <v>5000-7999</v>
      </c>
      <c r="AM301">
        <f>IF(HR_Cleaned[[#This Row],[Attrition]]="Yes",1,0)</f>
        <v>0</v>
      </c>
    </row>
    <row r="302" spans="1:39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>
        <f>IF(HR_Cleaned[[#This Row],[Age]]&lt;25,"18-24",IF(HR_Cleaned[[#This Row],[Age]]&lt;35,"25-34",IF(HR_Cleaned[[#This Row],[Age]]&lt;45,"35-44",IF(HR_Cleaned[[#This Row],[Age]]&lt;55,"45-54","55+"))))</f>
        <v>35-44</v>
      </c>
      <c r="AK30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302" t="str">
        <f>IF(HR_Cleaned[[#This Row],[MonthlyIncome]]&lt;3000,"Below 3000",IF(HR_Cleaned[[#This Row],[MonthlyIncome]]&lt;5000,"3000-4999",IF(HR_Cleaned[[#This Row],[MonthlyIncome]]&lt;8000,"5000-7999","8000+")))</f>
        <v>8000+</v>
      </c>
      <c r="AM302">
        <f>IF(HR_Cleaned[[#This Row],[Attrition]]="Yes",1,0)</f>
        <v>0</v>
      </c>
    </row>
    <row r="303" spans="1:39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>
        <f>IF(HR_Cleaned[[#This Row],[Age]]&lt;25,"18-24",IF(HR_Cleaned[[#This Row],[Age]]&lt;35,"25-34",IF(HR_Cleaned[[#This Row],[Age]]&lt;45,"35-44",IF(HR_Cleaned[[#This Row],[Age]]&lt;55,"45-54","55+"))))</f>
        <v>18-24</v>
      </c>
      <c r="AK30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03" t="str">
        <f>IF(HR_Cleaned[[#This Row],[MonthlyIncome]]&lt;3000,"Below 3000",IF(HR_Cleaned[[#This Row],[MonthlyIncome]]&lt;5000,"3000-4999",IF(HR_Cleaned[[#This Row],[MonthlyIncome]]&lt;8000,"5000-7999","8000+")))</f>
        <v>Below 3000</v>
      </c>
      <c r="AM303">
        <f>IF(HR_Cleaned[[#This Row],[Attrition]]="Yes",1,0)</f>
        <v>0</v>
      </c>
    </row>
    <row r="304" spans="1:39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>
        <f>IF(HR_Cleaned[[#This Row],[Age]]&lt;25,"18-24",IF(HR_Cleaned[[#This Row],[Age]]&lt;35,"25-34",IF(HR_Cleaned[[#This Row],[Age]]&lt;45,"35-44",IF(HR_Cleaned[[#This Row],[Age]]&lt;55,"45-54","55+"))))</f>
        <v>25-34</v>
      </c>
      <c r="AK30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04" t="str">
        <f>IF(HR_Cleaned[[#This Row],[MonthlyIncome]]&lt;3000,"Below 3000",IF(HR_Cleaned[[#This Row],[MonthlyIncome]]&lt;5000,"3000-4999",IF(HR_Cleaned[[#This Row],[MonthlyIncome]]&lt;8000,"5000-7999","8000+")))</f>
        <v>5000-7999</v>
      </c>
      <c r="AM304">
        <f>IF(HR_Cleaned[[#This Row],[Attrition]]="Yes",1,0)</f>
        <v>0</v>
      </c>
    </row>
    <row r="305" spans="1:39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>
        <f>IF(HR_Cleaned[[#This Row],[Age]]&lt;25,"18-24",IF(HR_Cleaned[[#This Row],[Age]]&lt;35,"25-34",IF(HR_Cleaned[[#This Row],[Age]]&lt;45,"35-44",IF(HR_Cleaned[[#This Row],[Age]]&lt;55,"45-54","55+"))))</f>
        <v>25-34</v>
      </c>
      <c r="AK30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05" t="str">
        <f>IF(HR_Cleaned[[#This Row],[MonthlyIncome]]&lt;3000,"Below 3000",IF(HR_Cleaned[[#This Row],[MonthlyIncome]]&lt;5000,"3000-4999",IF(HR_Cleaned[[#This Row],[MonthlyIncome]]&lt;8000,"5000-7999","8000+")))</f>
        <v>5000-7999</v>
      </c>
      <c r="AM305">
        <f>IF(HR_Cleaned[[#This Row],[Attrition]]="Yes",1,0)</f>
        <v>0</v>
      </c>
    </row>
    <row r="306" spans="1:39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>
        <f>IF(HR_Cleaned[[#This Row],[Age]]&lt;25,"18-24",IF(HR_Cleaned[[#This Row],[Age]]&lt;35,"25-34",IF(HR_Cleaned[[#This Row],[Age]]&lt;45,"35-44",IF(HR_Cleaned[[#This Row],[Age]]&lt;55,"45-54","55+"))))</f>
        <v>35-44</v>
      </c>
      <c r="AK306" t="str">
        <f>IF(HR_Cleaned[[#This Row],[YearsAtCompany]]&lt;=2,"0-2 Years",IF(HR_Cleaned[[#This Row],[YearsAtCompany]]&lt;=5,"3-5 Years",IF(HR_Cleaned[[#This Row],[YearsAtCompany]]&lt;=10,"6-10 Years","11+ Years")))</f>
        <v>11+ Years</v>
      </c>
      <c r="AL306" t="str">
        <f>IF(HR_Cleaned[[#This Row],[MonthlyIncome]]&lt;3000,"Below 3000",IF(HR_Cleaned[[#This Row],[MonthlyIncome]]&lt;5000,"3000-4999",IF(HR_Cleaned[[#This Row],[MonthlyIncome]]&lt;8000,"5000-7999","8000+")))</f>
        <v>8000+</v>
      </c>
      <c r="AM306">
        <f>IF(HR_Cleaned[[#This Row],[Attrition]]="Yes",1,0)</f>
        <v>0</v>
      </c>
    </row>
    <row r="307" spans="1:39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>
        <f>IF(HR_Cleaned[[#This Row],[Age]]&lt;25,"18-24",IF(HR_Cleaned[[#This Row],[Age]]&lt;35,"25-34",IF(HR_Cleaned[[#This Row],[Age]]&lt;45,"35-44",IF(HR_Cleaned[[#This Row],[Age]]&lt;55,"45-54","55+"))))</f>
        <v>35-44</v>
      </c>
      <c r="AK30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07" t="str">
        <f>IF(HR_Cleaned[[#This Row],[MonthlyIncome]]&lt;3000,"Below 3000",IF(HR_Cleaned[[#This Row],[MonthlyIncome]]&lt;5000,"3000-4999",IF(HR_Cleaned[[#This Row],[MonthlyIncome]]&lt;8000,"5000-7999","8000+")))</f>
        <v>5000-7999</v>
      </c>
      <c r="AM307">
        <f>IF(HR_Cleaned[[#This Row],[Attrition]]="Yes",1,0)</f>
        <v>0</v>
      </c>
    </row>
    <row r="308" spans="1:39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>
        <f>IF(HR_Cleaned[[#This Row],[Age]]&lt;25,"18-24",IF(HR_Cleaned[[#This Row],[Age]]&lt;35,"25-34",IF(HR_Cleaned[[#This Row],[Age]]&lt;45,"35-44",IF(HR_Cleaned[[#This Row],[Age]]&lt;55,"45-54","55+"))))</f>
        <v>25-34</v>
      </c>
      <c r="AK30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308" t="str">
        <f>IF(HR_Cleaned[[#This Row],[MonthlyIncome]]&lt;3000,"Below 3000",IF(HR_Cleaned[[#This Row],[MonthlyIncome]]&lt;5000,"3000-4999",IF(HR_Cleaned[[#This Row],[MonthlyIncome]]&lt;8000,"5000-7999","8000+")))</f>
        <v>5000-7999</v>
      </c>
      <c r="AM308">
        <f>IF(HR_Cleaned[[#This Row],[Attrition]]="Yes",1,0)</f>
        <v>0</v>
      </c>
    </row>
    <row r="309" spans="1:39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>
        <f>IF(HR_Cleaned[[#This Row],[Age]]&lt;25,"18-24",IF(HR_Cleaned[[#This Row],[Age]]&lt;35,"25-34",IF(HR_Cleaned[[#This Row],[Age]]&lt;45,"35-44",IF(HR_Cleaned[[#This Row],[Age]]&lt;55,"45-54","55+"))))</f>
        <v>35-44</v>
      </c>
      <c r="AK30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09" t="str">
        <f>IF(HR_Cleaned[[#This Row],[MonthlyIncome]]&lt;3000,"Below 3000",IF(HR_Cleaned[[#This Row],[MonthlyIncome]]&lt;5000,"3000-4999",IF(HR_Cleaned[[#This Row],[MonthlyIncome]]&lt;8000,"5000-7999","8000+")))</f>
        <v>8000+</v>
      </c>
      <c r="AM309">
        <f>IF(HR_Cleaned[[#This Row],[Attrition]]="Yes",1,0)</f>
        <v>0</v>
      </c>
    </row>
    <row r="310" spans="1:39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>
        <f>IF(HR_Cleaned[[#This Row],[Age]]&lt;25,"18-24",IF(HR_Cleaned[[#This Row],[Age]]&lt;35,"25-34",IF(HR_Cleaned[[#This Row],[Age]]&lt;45,"35-44",IF(HR_Cleaned[[#This Row],[Age]]&lt;55,"45-54","55+"))))</f>
        <v>55+</v>
      </c>
      <c r="AK31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10" t="str">
        <f>IF(HR_Cleaned[[#This Row],[MonthlyIncome]]&lt;3000,"Below 3000",IF(HR_Cleaned[[#This Row],[MonthlyIncome]]&lt;5000,"3000-4999",IF(HR_Cleaned[[#This Row],[MonthlyIncome]]&lt;8000,"5000-7999","8000+")))</f>
        <v>5000-7999</v>
      </c>
      <c r="AM310">
        <f>IF(HR_Cleaned[[#This Row],[Attrition]]="Yes",1,0)</f>
        <v>0</v>
      </c>
    </row>
    <row r="311" spans="1:39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>
        <f>IF(HR_Cleaned[[#This Row],[Age]]&lt;25,"18-24",IF(HR_Cleaned[[#This Row],[Age]]&lt;35,"25-34",IF(HR_Cleaned[[#This Row],[Age]]&lt;45,"35-44",IF(HR_Cleaned[[#This Row],[Age]]&lt;55,"45-54","55+"))))</f>
        <v>25-34</v>
      </c>
      <c r="AK31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11" t="str">
        <f>IF(HR_Cleaned[[#This Row],[MonthlyIncome]]&lt;3000,"Below 3000",IF(HR_Cleaned[[#This Row],[MonthlyIncome]]&lt;5000,"3000-4999",IF(HR_Cleaned[[#This Row],[MonthlyIncome]]&lt;8000,"5000-7999","8000+")))</f>
        <v>3000-4999</v>
      </c>
      <c r="AM311">
        <f>IF(HR_Cleaned[[#This Row],[Attrition]]="Yes",1,0)</f>
        <v>0</v>
      </c>
    </row>
    <row r="312" spans="1:39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>
        <f>IF(HR_Cleaned[[#This Row],[Age]]&lt;25,"18-24",IF(HR_Cleaned[[#This Row],[Age]]&lt;35,"25-34",IF(HR_Cleaned[[#This Row],[Age]]&lt;45,"35-44",IF(HR_Cleaned[[#This Row],[Age]]&lt;55,"45-54","55+"))))</f>
        <v>25-34</v>
      </c>
      <c r="AK31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12" t="str">
        <f>IF(HR_Cleaned[[#This Row],[MonthlyIncome]]&lt;3000,"Below 3000",IF(HR_Cleaned[[#This Row],[MonthlyIncome]]&lt;5000,"3000-4999",IF(HR_Cleaned[[#This Row],[MonthlyIncome]]&lt;8000,"5000-7999","8000+")))</f>
        <v>5000-7999</v>
      </c>
      <c r="AM312">
        <f>IF(HR_Cleaned[[#This Row],[Attrition]]="Yes",1,0)</f>
        <v>0</v>
      </c>
    </row>
    <row r="313" spans="1:39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>
        <f>IF(HR_Cleaned[[#This Row],[Age]]&lt;25,"18-24",IF(HR_Cleaned[[#This Row],[Age]]&lt;35,"25-34",IF(HR_Cleaned[[#This Row],[Age]]&lt;45,"35-44",IF(HR_Cleaned[[#This Row],[Age]]&lt;55,"45-54","55+"))))</f>
        <v>45-54</v>
      </c>
      <c r="AK31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313" t="str">
        <f>IF(HR_Cleaned[[#This Row],[MonthlyIncome]]&lt;3000,"Below 3000",IF(HR_Cleaned[[#This Row],[MonthlyIncome]]&lt;5000,"3000-4999",IF(HR_Cleaned[[#This Row],[MonthlyIncome]]&lt;8000,"5000-7999","8000+")))</f>
        <v>5000-7999</v>
      </c>
      <c r="AM313">
        <f>IF(HR_Cleaned[[#This Row],[Attrition]]="Yes",1,0)</f>
        <v>0</v>
      </c>
    </row>
    <row r="314" spans="1:39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>
        <f>IF(HR_Cleaned[[#This Row],[Age]]&lt;25,"18-24",IF(HR_Cleaned[[#This Row],[Age]]&lt;35,"25-34",IF(HR_Cleaned[[#This Row],[Age]]&lt;45,"35-44",IF(HR_Cleaned[[#This Row],[Age]]&lt;55,"45-54","55+"))))</f>
        <v>25-34</v>
      </c>
      <c r="AK31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14" t="str">
        <f>IF(HR_Cleaned[[#This Row],[MonthlyIncome]]&lt;3000,"Below 3000",IF(HR_Cleaned[[#This Row],[MonthlyIncome]]&lt;5000,"3000-4999",IF(HR_Cleaned[[#This Row],[MonthlyIncome]]&lt;8000,"5000-7999","8000+")))</f>
        <v>Below 3000</v>
      </c>
      <c r="AM314">
        <f>IF(HR_Cleaned[[#This Row],[Attrition]]="Yes",1,0)</f>
        <v>0</v>
      </c>
    </row>
    <row r="315" spans="1:39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>
        <f>IF(HR_Cleaned[[#This Row],[Age]]&lt;25,"18-24",IF(HR_Cleaned[[#This Row],[Age]]&lt;35,"25-34",IF(HR_Cleaned[[#This Row],[Age]]&lt;45,"35-44",IF(HR_Cleaned[[#This Row],[Age]]&lt;55,"45-54","55+"))))</f>
        <v>25-34</v>
      </c>
      <c r="AK31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15" t="str">
        <f>IF(HR_Cleaned[[#This Row],[MonthlyIncome]]&lt;3000,"Below 3000",IF(HR_Cleaned[[#This Row],[MonthlyIncome]]&lt;5000,"3000-4999",IF(HR_Cleaned[[#This Row],[MonthlyIncome]]&lt;8000,"5000-7999","8000+")))</f>
        <v>8000+</v>
      </c>
      <c r="AM315">
        <f>IF(HR_Cleaned[[#This Row],[Attrition]]="Yes",1,0)</f>
        <v>0</v>
      </c>
    </row>
    <row r="316" spans="1:39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>
        <f>IF(HR_Cleaned[[#This Row],[Age]]&lt;25,"18-24",IF(HR_Cleaned[[#This Row],[Age]]&lt;35,"25-34",IF(HR_Cleaned[[#This Row],[Age]]&lt;45,"35-44",IF(HR_Cleaned[[#This Row],[Age]]&lt;55,"45-54","55+"))))</f>
        <v>35-44</v>
      </c>
      <c r="AK316" t="str">
        <f>IF(HR_Cleaned[[#This Row],[YearsAtCompany]]&lt;=2,"0-2 Years",IF(HR_Cleaned[[#This Row],[YearsAtCompany]]&lt;=5,"3-5 Years",IF(HR_Cleaned[[#This Row],[YearsAtCompany]]&lt;=10,"6-10 Years","11+ Years")))</f>
        <v>11+ Years</v>
      </c>
      <c r="AL316" t="str">
        <f>IF(HR_Cleaned[[#This Row],[MonthlyIncome]]&lt;3000,"Below 3000",IF(HR_Cleaned[[#This Row],[MonthlyIncome]]&lt;5000,"3000-4999",IF(HR_Cleaned[[#This Row],[MonthlyIncome]]&lt;8000,"5000-7999","8000+")))</f>
        <v>8000+</v>
      </c>
      <c r="AM316">
        <f>IF(HR_Cleaned[[#This Row],[Attrition]]="Yes",1,0)</f>
        <v>0</v>
      </c>
    </row>
    <row r="317" spans="1:39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>
        <f>IF(HR_Cleaned[[#This Row],[Age]]&lt;25,"18-24",IF(HR_Cleaned[[#This Row],[Age]]&lt;35,"25-34",IF(HR_Cleaned[[#This Row],[Age]]&lt;45,"35-44",IF(HR_Cleaned[[#This Row],[Age]]&lt;55,"45-54","55+"))))</f>
        <v>35-44</v>
      </c>
      <c r="AK31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17" t="str">
        <f>IF(HR_Cleaned[[#This Row],[MonthlyIncome]]&lt;3000,"Below 3000",IF(HR_Cleaned[[#This Row],[MonthlyIncome]]&lt;5000,"3000-4999",IF(HR_Cleaned[[#This Row],[MonthlyIncome]]&lt;8000,"5000-7999","8000+")))</f>
        <v>Below 3000</v>
      </c>
      <c r="AM317">
        <f>IF(HR_Cleaned[[#This Row],[Attrition]]="Yes",1,0)</f>
        <v>0</v>
      </c>
    </row>
    <row r="318" spans="1:39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>
        <f>IF(HR_Cleaned[[#This Row],[Age]]&lt;25,"18-24",IF(HR_Cleaned[[#This Row],[Age]]&lt;35,"25-34",IF(HR_Cleaned[[#This Row],[Age]]&lt;45,"35-44",IF(HR_Cleaned[[#This Row],[Age]]&lt;55,"45-54","55+"))))</f>
        <v>45-54</v>
      </c>
      <c r="AK31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18" t="str">
        <f>IF(HR_Cleaned[[#This Row],[MonthlyIncome]]&lt;3000,"Below 3000",IF(HR_Cleaned[[#This Row],[MonthlyIncome]]&lt;5000,"3000-4999",IF(HR_Cleaned[[#This Row],[MonthlyIncome]]&lt;8000,"5000-7999","8000+")))</f>
        <v>8000+</v>
      </c>
      <c r="AM318">
        <f>IF(HR_Cleaned[[#This Row],[Attrition]]="Yes",1,0)</f>
        <v>0</v>
      </c>
    </row>
    <row r="319" spans="1:39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>
        <f>IF(HR_Cleaned[[#This Row],[Age]]&lt;25,"18-24",IF(HR_Cleaned[[#This Row],[Age]]&lt;35,"25-34",IF(HR_Cleaned[[#This Row],[Age]]&lt;45,"35-44",IF(HR_Cleaned[[#This Row],[Age]]&lt;55,"45-54","55+"))))</f>
        <v>45-54</v>
      </c>
      <c r="AK31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19" t="str">
        <f>IF(HR_Cleaned[[#This Row],[MonthlyIncome]]&lt;3000,"Below 3000",IF(HR_Cleaned[[#This Row],[MonthlyIncome]]&lt;5000,"3000-4999",IF(HR_Cleaned[[#This Row],[MonthlyIncome]]&lt;8000,"5000-7999","8000+")))</f>
        <v>3000-4999</v>
      </c>
      <c r="AM319">
        <f>IF(HR_Cleaned[[#This Row],[Attrition]]="Yes",1,0)</f>
        <v>1</v>
      </c>
    </row>
    <row r="320" spans="1:39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>
        <f>IF(HR_Cleaned[[#This Row],[Age]]&lt;25,"18-24",IF(HR_Cleaned[[#This Row],[Age]]&lt;35,"25-34",IF(HR_Cleaned[[#This Row],[Age]]&lt;45,"35-44",IF(HR_Cleaned[[#This Row],[Age]]&lt;55,"45-54","55+"))))</f>
        <v>25-34</v>
      </c>
      <c r="AK32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20" t="str">
        <f>IF(HR_Cleaned[[#This Row],[MonthlyIncome]]&lt;3000,"Below 3000",IF(HR_Cleaned[[#This Row],[MonthlyIncome]]&lt;5000,"3000-4999",IF(HR_Cleaned[[#This Row],[MonthlyIncome]]&lt;8000,"5000-7999","8000+")))</f>
        <v>Below 3000</v>
      </c>
      <c r="AM320">
        <f>IF(HR_Cleaned[[#This Row],[Attrition]]="Yes",1,0)</f>
        <v>0</v>
      </c>
    </row>
    <row r="321" spans="1:39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>
        <f>IF(HR_Cleaned[[#This Row],[Age]]&lt;25,"18-24",IF(HR_Cleaned[[#This Row],[Age]]&lt;35,"25-34",IF(HR_Cleaned[[#This Row],[Age]]&lt;45,"35-44",IF(HR_Cleaned[[#This Row],[Age]]&lt;55,"45-54","55+"))))</f>
        <v>25-34</v>
      </c>
      <c r="AK321" t="str">
        <f>IF(HR_Cleaned[[#This Row],[YearsAtCompany]]&lt;=2,"0-2 Years",IF(HR_Cleaned[[#This Row],[YearsAtCompany]]&lt;=5,"3-5 Years",IF(HR_Cleaned[[#This Row],[YearsAtCompany]]&lt;=10,"6-10 Years","11+ Years")))</f>
        <v>11+ Years</v>
      </c>
      <c r="AL321" t="str">
        <f>IF(HR_Cleaned[[#This Row],[MonthlyIncome]]&lt;3000,"Below 3000",IF(HR_Cleaned[[#This Row],[MonthlyIncome]]&lt;5000,"3000-4999",IF(HR_Cleaned[[#This Row],[MonthlyIncome]]&lt;8000,"5000-7999","8000+")))</f>
        <v>5000-7999</v>
      </c>
      <c r="AM321">
        <f>IF(HR_Cleaned[[#This Row],[Attrition]]="Yes",1,0)</f>
        <v>0</v>
      </c>
    </row>
    <row r="322" spans="1:39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>
        <f>IF(HR_Cleaned[[#This Row],[Age]]&lt;25,"18-24",IF(HR_Cleaned[[#This Row],[Age]]&lt;35,"25-34",IF(HR_Cleaned[[#This Row],[Age]]&lt;45,"35-44",IF(HR_Cleaned[[#This Row],[Age]]&lt;55,"45-54","55+"))))</f>
        <v>25-34</v>
      </c>
      <c r="AK32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22" t="str">
        <f>IF(HR_Cleaned[[#This Row],[MonthlyIncome]]&lt;3000,"Below 3000",IF(HR_Cleaned[[#This Row],[MonthlyIncome]]&lt;5000,"3000-4999",IF(HR_Cleaned[[#This Row],[MonthlyIncome]]&lt;8000,"5000-7999","8000+")))</f>
        <v>3000-4999</v>
      </c>
      <c r="AM322">
        <f>IF(HR_Cleaned[[#This Row],[Attrition]]="Yes",1,0)</f>
        <v>0</v>
      </c>
    </row>
    <row r="323" spans="1:39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>
        <f>IF(HR_Cleaned[[#This Row],[Age]]&lt;25,"18-24",IF(HR_Cleaned[[#This Row],[Age]]&lt;35,"25-34",IF(HR_Cleaned[[#This Row],[Age]]&lt;45,"35-44",IF(HR_Cleaned[[#This Row],[Age]]&lt;55,"45-54","55+"))))</f>
        <v>25-34</v>
      </c>
      <c r="AK32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23" t="str">
        <f>IF(HR_Cleaned[[#This Row],[MonthlyIncome]]&lt;3000,"Below 3000",IF(HR_Cleaned[[#This Row],[MonthlyIncome]]&lt;5000,"3000-4999",IF(HR_Cleaned[[#This Row],[MonthlyIncome]]&lt;8000,"5000-7999","8000+")))</f>
        <v>5000-7999</v>
      </c>
      <c r="AM323">
        <f>IF(HR_Cleaned[[#This Row],[Attrition]]="Yes",1,0)</f>
        <v>0</v>
      </c>
    </row>
    <row r="324" spans="1:39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>
        <f>IF(HR_Cleaned[[#This Row],[Age]]&lt;25,"18-24",IF(HR_Cleaned[[#This Row],[Age]]&lt;35,"25-34",IF(HR_Cleaned[[#This Row],[Age]]&lt;45,"35-44",IF(HR_Cleaned[[#This Row],[Age]]&lt;55,"45-54","55+"))))</f>
        <v>25-34</v>
      </c>
      <c r="AK32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24" t="str">
        <f>IF(HR_Cleaned[[#This Row],[MonthlyIncome]]&lt;3000,"Below 3000",IF(HR_Cleaned[[#This Row],[MonthlyIncome]]&lt;5000,"3000-4999",IF(HR_Cleaned[[#This Row],[MonthlyIncome]]&lt;8000,"5000-7999","8000+")))</f>
        <v>5000-7999</v>
      </c>
      <c r="AM324">
        <f>IF(HR_Cleaned[[#This Row],[Attrition]]="Yes",1,0)</f>
        <v>0</v>
      </c>
    </row>
    <row r="325" spans="1:39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>
        <f>IF(HR_Cleaned[[#This Row],[Age]]&lt;25,"18-24",IF(HR_Cleaned[[#This Row],[Age]]&lt;35,"25-34",IF(HR_Cleaned[[#This Row],[Age]]&lt;45,"35-44",IF(HR_Cleaned[[#This Row],[Age]]&lt;55,"45-54","55+"))))</f>
        <v>25-34</v>
      </c>
      <c r="AK32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25" t="str">
        <f>IF(HR_Cleaned[[#This Row],[MonthlyIncome]]&lt;3000,"Below 3000",IF(HR_Cleaned[[#This Row],[MonthlyIncome]]&lt;5000,"3000-4999",IF(HR_Cleaned[[#This Row],[MonthlyIncome]]&lt;8000,"5000-7999","8000+")))</f>
        <v>3000-4999</v>
      </c>
      <c r="AM325">
        <f>IF(HR_Cleaned[[#This Row],[Attrition]]="Yes",1,0)</f>
        <v>1</v>
      </c>
    </row>
    <row r="326" spans="1:39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>
        <f>IF(HR_Cleaned[[#This Row],[Age]]&lt;25,"18-24",IF(HR_Cleaned[[#This Row],[Age]]&lt;35,"25-34",IF(HR_Cleaned[[#This Row],[Age]]&lt;45,"35-44",IF(HR_Cleaned[[#This Row],[Age]]&lt;55,"45-54","55+"))))</f>
        <v>25-34</v>
      </c>
      <c r="AK32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26" t="str">
        <f>IF(HR_Cleaned[[#This Row],[MonthlyIncome]]&lt;3000,"Below 3000",IF(HR_Cleaned[[#This Row],[MonthlyIncome]]&lt;5000,"3000-4999",IF(HR_Cleaned[[#This Row],[MonthlyIncome]]&lt;8000,"5000-7999","8000+")))</f>
        <v>5000-7999</v>
      </c>
      <c r="AM326">
        <f>IF(HR_Cleaned[[#This Row],[Attrition]]="Yes",1,0)</f>
        <v>0</v>
      </c>
    </row>
    <row r="327" spans="1:39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>
        <f>IF(HR_Cleaned[[#This Row],[Age]]&lt;25,"18-24",IF(HR_Cleaned[[#This Row],[Age]]&lt;35,"25-34",IF(HR_Cleaned[[#This Row],[Age]]&lt;45,"35-44",IF(HR_Cleaned[[#This Row],[Age]]&lt;55,"45-54","55+"))))</f>
        <v>25-34</v>
      </c>
      <c r="AK32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27" t="str">
        <f>IF(HR_Cleaned[[#This Row],[MonthlyIncome]]&lt;3000,"Below 3000",IF(HR_Cleaned[[#This Row],[MonthlyIncome]]&lt;5000,"3000-4999",IF(HR_Cleaned[[#This Row],[MonthlyIncome]]&lt;8000,"5000-7999","8000+")))</f>
        <v>8000+</v>
      </c>
      <c r="AM327">
        <f>IF(HR_Cleaned[[#This Row],[Attrition]]="Yes",1,0)</f>
        <v>0</v>
      </c>
    </row>
    <row r="328" spans="1:39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>
        <f>IF(HR_Cleaned[[#This Row],[Age]]&lt;25,"18-24",IF(HR_Cleaned[[#This Row],[Age]]&lt;35,"25-34",IF(HR_Cleaned[[#This Row],[Age]]&lt;45,"35-44",IF(HR_Cleaned[[#This Row],[Age]]&lt;55,"45-54","55+"))))</f>
        <v>35-44</v>
      </c>
      <c r="AK32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328" t="str">
        <f>IF(HR_Cleaned[[#This Row],[MonthlyIncome]]&lt;3000,"Below 3000",IF(HR_Cleaned[[#This Row],[MonthlyIncome]]&lt;5000,"3000-4999",IF(HR_Cleaned[[#This Row],[MonthlyIncome]]&lt;8000,"5000-7999","8000+")))</f>
        <v>8000+</v>
      </c>
      <c r="AM328">
        <f>IF(HR_Cleaned[[#This Row],[Attrition]]="Yes",1,0)</f>
        <v>0</v>
      </c>
    </row>
    <row r="329" spans="1:39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>
        <f>IF(HR_Cleaned[[#This Row],[Age]]&lt;25,"18-24",IF(HR_Cleaned[[#This Row],[Age]]&lt;35,"25-34",IF(HR_Cleaned[[#This Row],[Age]]&lt;45,"35-44",IF(HR_Cleaned[[#This Row],[Age]]&lt;55,"45-54","55+"))))</f>
        <v>35-44</v>
      </c>
      <c r="AK32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29" t="str">
        <f>IF(HR_Cleaned[[#This Row],[MonthlyIncome]]&lt;3000,"Below 3000",IF(HR_Cleaned[[#This Row],[MonthlyIncome]]&lt;5000,"3000-4999",IF(HR_Cleaned[[#This Row],[MonthlyIncome]]&lt;8000,"5000-7999","8000+")))</f>
        <v>5000-7999</v>
      </c>
      <c r="AM329">
        <f>IF(HR_Cleaned[[#This Row],[Attrition]]="Yes",1,0)</f>
        <v>1</v>
      </c>
    </row>
    <row r="330" spans="1:39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>
        <f>IF(HR_Cleaned[[#This Row],[Age]]&lt;25,"18-24",IF(HR_Cleaned[[#This Row],[Age]]&lt;35,"25-34",IF(HR_Cleaned[[#This Row],[Age]]&lt;45,"35-44",IF(HR_Cleaned[[#This Row],[Age]]&lt;55,"45-54","55+"))))</f>
        <v>25-34</v>
      </c>
      <c r="AK33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30" t="str">
        <f>IF(HR_Cleaned[[#This Row],[MonthlyIncome]]&lt;3000,"Below 3000",IF(HR_Cleaned[[#This Row],[MonthlyIncome]]&lt;5000,"3000-4999",IF(HR_Cleaned[[#This Row],[MonthlyIncome]]&lt;8000,"5000-7999","8000+")))</f>
        <v>3000-4999</v>
      </c>
      <c r="AM330">
        <f>IF(HR_Cleaned[[#This Row],[Attrition]]="Yes",1,0)</f>
        <v>0</v>
      </c>
    </row>
    <row r="331" spans="1:39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>
        <f>IF(HR_Cleaned[[#This Row],[Age]]&lt;25,"18-24",IF(HR_Cleaned[[#This Row],[Age]]&lt;35,"25-34",IF(HR_Cleaned[[#This Row],[Age]]&lt;45,"35-44",IF(HR_Cleaned[[#This Row],[Age]]&lt;55,"45-54","55+"))))</f>
        <v>45-54</v>
      </c>
      <c r="AK33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31" t="str">
        <f>IF(HR_Cleaned[[#This Row],[MonthlyIncome]]&lt;3000,"Below 3000",IF(HR_Cleaned[[#This Row],[MonthlyIncome]]&lt;5000,"3000-4999",IF(HR_Cleaned[[#This Row],[MonthlyIncome]]&lt;8000,"5000-7999","8000+")))</f>
        <v>8000+</v>
      </c>
      <c r="AM331">
        <f>IF(HR_Cleaned[[#This Row],[Attrition]]="Yes",1,0)</f>
        <v>0</v>
      </c>
    </row>
    <row r="332" spans="1:39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>
        <f>IF(HR_Cleaned[[#This Row],[Age]]&lt;25,"18-24",IF(HR_Cleaned[[#This Row],[Age]]&lt;35,"25-34",IF(HR_Cleaned[[#This Row],[Age]]&lt;45,"35-44",IF(HR_Cleaned[[#This Row],[Age]]&lt;55,"45-54","55+"))))</f>
        <v>35-44</v>
      </c>
      <c r="AK33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32" t="str">
        <f>IF(HR_Cleaned[[#This Row],[MonthlyIncome]]&lt;3000,"Below 3000",IF(HR_Cleaned[[#This Row],[MonthlyIncome]]&lt;5000,"3000-4999",IF(HR_Cleaned[[#This Row],[MonthlyIncome]]&lt;8000,"5000-7999","8000+")))</f>
        <v>5000-7999</v>
      </c>
      <c r="AM332">
        <f>IF(HR_Cleaned[[#This Row],[Attrition]]="Yes",1,0)</f>
        <v>0</v>
      </c>
    </row>
    <row r="333" spans="1:39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>
        <f>IF(HR_Cleaned[[#This Row],[Age]]&lt;25,"18-24",IF(HR_Cleaned[[#This Row],[Age]]&lt;35,"25-34",IF(HR_Cleaned[[#This Row],[Age]]&lt;45,"35-44",IF(HR_Cleaned[[#This Row],[Age]]&lt;55,"45-54","55+"))))</f>
        <v>25-34</v>
      </c>
      <c r="AK33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33" t="str">
        <f>IF(HR_Cleaned[[#This Row],[MonthlyIncome]]&lt;3000,"Below 3000",IF(HR_Cleaned[[#This Row],[MonthlyIncome]]&lt;5000,"3000-4999",IF(HR_Cleaned[[#This Row],[MonthlyIncome]]&lt;8000,"5000-7999","8000+")))</f>
        <v>5000-7999</v>
      </c>
      <c r="AM333">
        <f>IF(HR_Cleaned[[#This Row],[Attrition]]="Yes",1,0)</f>
        <v>0</v>
      </c>
    </row>
    <row r="334" spans="1:39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>
        <f>IF(HR_Cleaned[[#This Row],[Age]]&lt;25,"18-24",IF(HR_Cleaned[[#This Row],[Age]]&lt;35,"25-34",IF(HR_Cleaned[[#This Row],[Age]]&lt;45,"35-44",IF(HR_Cleaned[[#This Row],[Age]]&lt;55,"45-54","55+"))))</f>
        <v>45-54</v>
      </c>
      <c r="AK33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34" t="str">
        <f>IF(HR_Cleaned[[#This Row],[MonthlyIncome]]&lt;3000,"Below 3000",IF(HR_Cleaned[[#This Row],[MonthlyIncome]]&lt;5000,"3000-4999",IF(HR_Cleaned[[#This Row],[MonthlyIncome]]&lt;8000,"5000-7999","8000+")))</f>
        <v>3000-4999</v>
      </c>
      <c r="AM334">
        <f>IF(HR_Cleaned[[#This Row],[Attrition]]="Yes",1,0)</f>
        <v>0</v>
      </c>
    </row>
    <row r="335" spans="1:39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>
        <f>IF(HR_Cleaned[[#This Row],[Age]]&lt;25,"18-24",IF(HR_Cleaned[[#This Row],[Age]]&lt;35,"25-34",IF(HR_Cleaned[[#This Row],[Age]]&lt;45,"35-44",IF(HR_Cleaned[[#This Row],[Age]]&lt;55,"45-54","55+"))))</f>
        <v>35-44</v>
      </c>
      <c r="AK335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35" t="str">
        <f>IF(HR_Cleaned[[#This Row],[MonthlyIncome]]&lt;3000,"Below 3000",IF(HR_Cleaned[[#This Row],[MonthlyIncome]]&lt;5000,"3000-4999",IF(HR_Cleaned[[#This Row],[MonthlyIncome]]&lt;8000,"5000-7999","8000+")))</f>
        <v>8000+</v>
      </c>
      <c r="AM335">
        <f>IF(HR_Cleaned[[#This Row],[Attrition]]="Yes",1,0)</f>
        <v>0</v>
      </c>
    </row>
    <row r="336" spans="1:39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>
        <f>IF(HR_Cleaned[[#This Row],[Age]]&lt;25,"18-24",IF(HR_Cleaned[[#This Row],[Age]]&lt;35,"25-34",IF(HR_Cleaned[[#This Row],[Age]]&lt;45,"35-44",IF(HR_Cleaned[[#This Row],[Age]]&lt;55,"45-54","55+"))))</f>
        <v>45-54</v>
      </c>
      <c r="AK33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36" t="str">
        <f>IF(HR_Cleaned[[#This Row],[MonthlyIncome]]&lt;3000,"Below 3000",IF(HR_Cleaned[[#This Row],[MonthlyIncome]]&lt;5000,"3000-4999",IF(HR_Cleaned[[#This Row],[MonthlyIncome]]&lt;8000,"5000-7999","8000+")))</f>
        <v>3000-4999</v>
      </c>
      <c r="AM336">
        <f>IF(HR_Cleaned[[#This Row],[Attrition]]="Yes",1,0)</f>
        <v>0</v>
      </c>
    </row>
    <row r="337" spans="1:39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>
        <f>IF(HR_Cleaned[[#This Row],[Age]]&lt;25,"18-24",IF(HR_Cleaned[[#This Row],[Age]]&lt;35,"25-34",IF(HR_Cleaned[[#This Row],[Age]]&lt;45,"35-44",IF(HR_Cleaned[[#This Row],[Age]]&lt;55,"45-54","55+"))))</f>
        <v>35-44</v>
      </c>
      <c r="AK33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37" t="str">
        <f>IF(HR_Cleaned[[#This Row],[MonthlyIncome]]&lt;3000,"Below 3000",IF(HR_Cleaned[[#This Row],[MonthlyIncome]]&lt;5000,"3000-4999",IF(HR_Cleaned[[#This Row],[MonthlyIncome]]&lt;8000,"5000-7999","8000+")))</f>
        <v>5000-7999</v>
      </c>
      <c r="AM337">
        <f>IF(HR_Cleaned[[#This Row],[Attrition]]="Yes",1,0)</f>
        <v>0</v>
      </c>
    </row>
    <row r="338" spans="1:39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>
        <f>IF(HR_Cleaned[[#This Row],[Age]]&lt;25,"18-24",IF(HR_Cleaned[[#This Row],[Age]]&lt;35,"25-34",IF(HR_Cleaned[[#This Row],[Age]]&lt;45,"35-44",IF(HR_Cleaned[[#This Row],[Age]]&lt;55,"45-54","55+"))))</f>
        <v>25-34</v>
      </c>
      <c r="AK33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38" t="str">
        <f>IF(HR_Cleaned[[#This Row],[MonthlyIncome]]&lt;3000,"Below 3000",IF(HR_Cleaned[[#This Row],[MonthlyIncome]]&lt;5000,"3000-4999",IF(HR_Cleaned[[#This Row],[MonthlyIncome]]&lt;8000,"5000-7999","8000+")))</f>
        <v>Below 3000</v>
      </c>
      <c r="AM338">
        <f>IF(HR_Cleaned[[#This Row],[Attrition]]="Yes",1,0)</f>
        <v>1</v>
      </c>
    </row>
    <row r="339" spans="1:39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>
        <f>IF(HR_Cleaned[[#This Row],[Age]]&lt;25,"18-24",IF(HR_Cleaned[[#This Row],[Age]]&lt;35,"25-34",IF(HR_Cleaned[[#This Row],[Age]]&lt;45,"35-44",IF(HR_Cleaned[[#This Row],[Age]]&lt;55,"45-54","55+"))))</f>
        <v>25-34</v>
      </c>
      <c r="AK33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39" t="str">
        <f>IF(HR_Cleaned[[#This Row],[MonthlyIncome]]&lt;3000,"Below 3000",IF(HR_Cleaned[[#This Row],[MonthlyIncome]]&lt;5000,"3000-4999",IF(HR_Cleaned[[#This Row],[MonthlyIncome]]&lt;8000,"5000-7999","8000+")))</f>
        <v>3000-4999</v>
      </c>
      <c r="AM339">
        <f>IF(HR_Cleaned[[#This Row],[Attrition]]="Yes",1,0)</f>
        <v>0</v>
      </c>
    </row>
    <row r="340" spans="1:39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>
        <f>IF(HR_Cleaned[[#This Row],[Age]]&lt;25,"18-24",IF(HR_Cleaned[[#This Row],[Age]]&lt;35,"25-34",IF(HR_Cleaned[[#This Row],[Age]]&lt;45,"35-44",IF(HR_Cleaned[[#This Row],[Age]]&lt;55,"45-54","55+"))))</f>
        <v>25-34</v>
      </c>
      <c r="AK34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40" t="str">
        <f>IF(HR_Cleaned[[#This Row],[MonthlyIncome]]&lt;3000,"Below 3000",IF(HR_Cleaned[[#This Row],[MonthlyIncome]]&lt;5000,"3000-4999",IF(HR_Cleaned[[#This Row],[MonthlyIncome]]&lt;8000,"5000-7999","8000+")))</f>
        <v>5000-7999</v>
      </c>
      <c r="AM340">
        <f>IF(HR_Cleaned[[#This Row],[Attrition]]="Yes",1,0)</f>
        <v>0</v>
      </c>
    </row>
    <row r="341" spans="1:39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>
        <f>IF(HR_Cleaned[[#This Row],[Age]]&lt;25,"18-24",IF(HR_Cleaned[[#This Row],[Age]]&lt;35,"25-34",IF(HR_Cleaned[[#This Row],[Age]]&lt;45,"35-44",IF(HR_Cleaned[[#This Row],[Age]]&lt;55,"45-54","55+"))))</f>
        <v>25-34</v>
      </c>
      <c r="AK34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41" t="str">
        <f>IF(HR_Cleaned[[#This Row],[MonthlyIncome]]&lt;3000,"Below 3000",IF(HR_Cleaned[[#This Row],[MonthlyIncome]]&lt;5000,"3000-4999",IF(HR_Cleaned[[#This Row],[MonthlyIncome]]&lt;8000,"5000-7999","8000+")))</f>
        <v>5000-7999</v>
      </c>
      <c r="AM341">
        <f>IF(HR_Cleaned[[#This Row],[Attrition]]="Yes",1,0)</f>
        <v>0</v>
      </c>
    </row>
    <row r="342" spans="1:39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>
        <f>IF(HR_Cleaned[[#This Row],[Age]]&lt;25,"18-24",IF(HR_Cleaned[[#This Row],[Age]]&lt;35,"25-34",IF(HR_Cleaned[[#This Row],[Age]]&lt;45,"35-44",IF(HR_Cleaned[[#This Row],[Age]]&lt;55,"45-54","55+"))))</f>
        <v>35-44</v>
      </c>
      <c r="AK34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42" t="str">
        <f>IF(HR_Cleaned[[#This Row],[MonthlyIncome]]&lt;3000,"Below 3000",IF(HR_Cleaned[[#This Row],[MonthlyIncome]]&lt;5000,"3000-4999",IF(HR_Cleaned[[#This Row],[MonthlyIncome]]&lt;8000,"5000-7999","8000+")))</f>
        <v>5000-7999</v>
      </c>
      <c r="AM342">
        <f>IF(HR_Cleaned[[#This Row],[Attrition]]="Yes",1,0)</f>
        <v>0</v>
      </c>
    </row>
    <row r="343" spans="1:39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>
        <f>IF(HR_Cleaned[[#This Row],[Age]]&lt;25,"18-24",IF(HR_Cleaned[[#This Row],[Age]]&lt;35,"25-34",IF(HR_Cleaned[[#This Row],[Age]]&lt;45,"35-44",IF(HR_Cleaned[[#This Row],[Age]]&lt;55,"45-54","55+"))))</f>
        <v>35-44</v>
      </c>
      <c r="AK34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343" t="str">
        <f>IF(HR_Cleaned[[#This Row],[MonthlyIncome]]&lt;3000,"Below 3000",IF(HR_Cleaned[[#This Row],[MonthlyIncome]]&lt;5000,"3000-4999",IF(HR_Cleaned[[#This Row],[MonthlyIncome]]&lt;8000,"5000-7999","8000+")))</f>
        <v>8000+</v>
      </c>
      <c r="AM343">
        <f>IF(HR_Cleaned[[#This Row],[Attrition]]="Yes",1,0)</f>
        <v>0</v>
      </c>
    </row>
    <row r="344" spans="1:39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>
        <f>IF(HR_Cleaned[[#This Row],[Age]]&lt;25,"18-24",IF(HR_Cleaned[[#This Row],[Age]]&lt;35,"25-34",IF(HR_Cleaned[[#This Row],[Age]]&lt;45,"35-44",IF(HR_Cleaned[[#This Row],[Age]]&lt;55,"45-54","55+"))))</f>
        <v>25-34</v>
      </c>
      <c r="AK344" t="str">
        <f>IF(HR_Cleaned[[#This Row],[YearsAtCompany]]&lt;=2,"0-2 Years",IF(HR_Cleaned[[#This Row],[YearsAtCompany]]&lt;=5,"3-5 Years",IF(HR_Cleaned[[#This Row],[YearsAtCompany]]&lt;=10,"6-10 Years","11+ Years")))</f>
        <v>11+ Years</v>
      </c>
      <c r="AL344" t="str">
        <f>IF(HR_Cleaned[[#This Row],[MonthlyIncome]]&lt;3000,"Below 3000",IF(HR_Cleaned[[#This Row],[MonthlyIncome]]&lt;5000,"3000-4999",IF(HR_Cleaned[[#This Row],[MonthlyIncome]]&lt;8000,"5000-7999","8000+")))</f>
        <v>5000-7999</v>
      </c>
      <c r="AM344">
        <f>IF(HR_Cleaned[[#This Row],[Attrition]]="Yes",1,0)</f>
        <v>0</v>
      </c>
    </row>
    <row r="345" spans="1:39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>
        <f>IF(HR_Cleaned[[#This Row],[Age]]&lt;25,"18-24",IF(HR_Cleaned[[#This Row],[Age]]&lt;35,"25-34",IF(HR_Cleaned[[#This Row],[Age]]&lt;45,"35-44",IF(HR_Cleaned[[#This Row],[Age]]&lt;55,"45-54","55+"))))</f>
        <v>25-34</v>
      </c>
      <c r="AK34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45" t="str">
        <f>IF(HR_Cleaned[[#This Row],[MonthlyIncome]]&lt;3000,"Below 3000",IF(HR_Cleaned[[#This Row],[MonthlyIncome]]&lt;5000,"3000-4999",IF(HR_Cleaned[[#This Row],[MonthlyIncome]]&lt;8000,"5000-7999","8000+")))</f>
        <v>8000+</v>
      </c>
      <c r="AM345">
        <f>IF(HR_Cleaned[[#This Row],[Attrition]]="Yes",1,0)</f>
        <v>0</v>
      </c>
    </row>
    <row r="346" spans="1:39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>
        <f>IF(HR_Cleaned[[#This Row],[Age]]&lt;25,"18-24",IF(HR_Cleaned[[#This Row],[Age]]&lt;35,"25-34",IF(HR_Cleaned[[#This Row],[Age]]&lt;45,"35-44",IF(HR_Cleaned[[#This Row],[Age]]&lt;55,"45-54","55+"))))</f>
        <v>35-44</v>
      </c>
      <c r="AK346" t="str">
        <f>IF(HR_Cleaned[[#This Row],[YearsAtCompany]]&lt;=2,"0-2 Years",IF(HR_Cleaned[[#This Row],[YearsAtCompany]]&lt;=5,"3-5 Years",IF(HR_Cleaned[[#This Row],[YearsAtCompany]]&lt;=10,"6-10 Years","11+ Years")))</f>
        <v>11+ Years</v>
      </c>
      <c r="AL346" t="str">
        <f>IF(HR_Cleaned[[#This Row],[MonthlyIncome]]&lt;3000,"Below 3000",IF(HR_Cleaned[[#This Row],[MonthlyIncome]]&lt;5000,"3000-4999",IF(HR_Cleaned[[#This Row],[MonthlyIncome]]&lt;8000,"5000-7999","8000+")))</f>
        <v>8000+</v>
      </c>
      <c r="AM346">
        <f>IF(HR_Cleaned[[#This Row],[Attrition]]="Yes",1,0)</f>
        <v>0</v>
      </c>
    </row>
    <row r="347" spans="1:39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>
        <f>IF(HR_Cleaned[[#This Row],[Age]]&lt;25,"18-24",IF(HR_Cleaned[[#This Row],[Age]]&lt;35,"25-34",IF(HR_Cleaned[[#This Row],[Age]]&lt;45,"35-44",IF(HR_Cleaned[[#This Row],[Age]]&lt;55,"45-54","55+"))))</f>
        <v>18-24</v>
      </c>
      <c r="AK34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47" t="str">
        <f>IF(HR_Cleaned[[#This Row],[MonthlyIncome]]&lt;3000,"Below 3000",IF(HR_Cleaned[[#This Row],[MonthlyIncome]]&lt;5000,"3000-4999",IF(HR_Cleaned[[#This Row],[MonthlyIncome]]&lt;8000,"5000-7999","8000+")))</f>
        <v>Below 3000</v>
      </c>
      <c r="AM347">
        <f>IF(HR_Cleaned[[#This Row],[Attrition]]="Yes",1,0)</f>
        <v>0</v>
      </c>
    </row>
    <row r="348" spans="1:39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>
        <f>IF(HR_Cleaned[[#This Row],[Age]]&lt;25,"18-24",IF(HR_Cleaned[[#This Row],[Age]]&lt;35,"25-34",IF(HR_Cleaned[[#This Row],[Age]]&lt;45,"35-44",IF(HR_Cleaned[[#This Row],[Age]]&lt;55,"45-54","55+"))))</f>
        <v>35-44</v>
      </c>
      <c r="AK34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48" t="str">
        <f>IF(HR_Cleaned[[#This Row],[MonthlyIncome]]&lt;3000,"Below 3000",IF(HR_Cleaned[[#This Row],[MonthlyIncome]]&lt;5000,"3000-4999",IF(HR_Cleaned[[#This Row],[MonthlyIncome]]&lt;8000,"5000-7999","8000+")))</f>
        <v>5000-7999</v>
      </c>
      <c r="AM348">
        <f>IF(HR_Cleaned[[#This Row],[Attrition]]="Yes",1,0)</f>
        <v>0</v>
      </c>
    </row>
    <row r="349" spans="1:39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>
        <f>IF(HR_Cleaned[[#This Row],[Age]]&lt;25,"18-24",IF(HR_Cleaned[[#This Row],[Age]]&lt;35,"25-34",IF(HR_Cleaned[[#This Row],[Age]]&lt;45,"35-44",IF(HR_Cleaned[[#This Row],[Age]]&lt;55,"45-54","55+"))))</f>
        <v>45-54</v>
      </c>
      <c r="AK34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49" t="str">
        <f>IF(HR_Cleaned[[#This Row],[MonthlyIncome]]&lt;3000,"Below 3000",IF(HR_Cleaned[[#This Row],[MonthlyIncome]]&lt;5000,"3000-4999",IF(HR_Cleaned[[#This Row],[MonthlyIncome]]&lt;8000,"5000-7999","8000+")))</f>
        <v>Below 3000</v>
      </c>
      <c r="AM349">
        <f>IF(HR_Cleaned[[#This Row],[Attrition]]="Yes",1,0)</f>
        <v>0</v>
      </c>
    </row>
    <row r="350" spans="1:39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>
        <f>IF(HR_Cleaned[[#This Row],[Age]]&lt;25,"18-24",IF(HR_Cleaned[[#This Row],[Age]]&lt;35,"25-34",IF(HR_Cleaned[[#This Row],[Age]]&lt;45,"35-44",IF(HR_Cleaned[[#This Row],[Age]]&lt;55,"45-54","55+"))))</f>
        <v>35-44</v>
      </c>
      <c r="AK35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50" t="str">
        <f>IF(HR_Cleaned[[#This Row],[MonthlyIncome]]&lt;3000,"Below 3000",IF(HR_Cleaned[[#This Row],[MonthlyIncome]]&lt;5000,"3000-4999",IF(HR_Cleaned[[#This Row],[MonthlyIncome]]&lt;8000,"5000-7999","8000+")))</f>
        <v>8000+</v>
      </c>
      <c r="AM350">
        <f>IF(HR_Cleaned[[#This Row],[Attrition]]="Yes",1,0)</f>
        <v>0</v>
      </c>
    </row>
    <row r="351" spans="1:39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>
        <f>IF(HR_Cleaned[[#This Row],[Age]]&lt;25,"18-24",IF(HR_Cleaned[[#This Row],[Age]]&lt;35,"25-34",IF(HR_Cleaned[[#This Row],[Age]]&lt;45,"35-44",IF(HR_Cleaned[[#This Row],[Age]]&lt;55,"45-54","55+"))))</f>
        <v>25-34</v>
      </c>
      <c r="AK35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51" t="str">
        <f>IF(HR_Cleaned[[#This Row],[MonthlyIncome]]&lt;3000,"Below 3000",IF(HR_Cleaned[[#This Row],[MonthlyIncome]]&lt;5000,"3000-4999",IF(HR_Cleaned[[#This Row],[MonthlyIncome]]&lt;8000,"5000-7999","8000+")))</f>
        <v>3000-4999</v>
      </c>
      <c r="AM351">
        <f>IF(HR_Cleaned[[#This Row],[Attrition]]="Yes",1,0)</f>
        <v>0</v>
      </c>
    </row>
    <row r="352" spans="1:39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>
        <f>IF(HR_Cleaned[[#This Row],[Age]]&lt;25,"18-24",IF(HR_Cleaned[[#This Row],[Age]]&lt;35,"25-34",IF(HR_Cleaned[[#This Row],[Age]]&lt;45,"35-44",IF(HR_Cleaned[[#This Row],[Age]]&lt;55,"45-54","55+"))))</f>
        <v>35-44</v>
      </c>
      <c r="AK35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52" t="str">
        <f>IF(HR_Cleaned[[#This Row],[MonthlyIncome]]&lt;3000,"Below 3000",IF(HR_Cleaned[[#This Row],[MonthlyIncome]]&lt;5000,"3000-4999",IF(HR_Cleaned[[#This Row],[MonthlyIncome]]&lt;8000,"5000-7999","8000+")))</f>
        <v>Below 3000</v>
      </c>
      <c r="AM352">
        <f>IF(HR_Cleaned[[#This Row],[Attrition]]="Yes",1,0)</f>
        <v>0</v>
      </c>
    </row>
    <row r="353" spans="1:39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>
        <f>IF(HR_Cleaned[[#This Row],[Age]]&lt;25,"18-24",IF(HR_Cleaned[[#This Row],[Age]]&lt;35,"25-34",IF(HR_Cleaned[[#This Row],[Age]]&lt;45,"35-44",IF(HR_Cleaned[[#This Row],[Age]]&lt;55,"45-54","55+"))))</f>
        <v>25-34</v>
      </c>
      <c r="AK35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53" t="str">
        <f>IF(HR_Cleaned[[#This Row],[MonthlyIncome]]&lt;3000,"Below 3000",IF(HR_Cleaned[[#This Row],[MonthlyIncome]]&lt;5000,"3000-4999",IF(HR_Cleaned[[#This Row],[MonthlyIncome]]&lt;8000,"5000-7999","8000+")))</f>
        <v>Below 3000</v>
      </c>
      <c r="AM353">
        <f>IF(HR_Cleaned[[#This Row],[Attrition]]="Yes",1,0)</f>
        <v>0</v>
      </c>
    </row>
    <row r="354" spans="1:39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>
        <f>IF(HR_Cleaned[[#This Row],[Age]]&lt;25,"18-24",IF(HR_Cleaned[[#This Row],[Age]]&lt;35,"25-34",IF(HR_Cleaned[[#This Row],[Age]]&lt;45,"35-44",IF(HR_Cleaned[[#This Row],[Age]]&lt;55,"45-54","55+"))))</f>
        <v>45-54</v>
      </c>
      <c r="AK35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54" t="str">
        <f>IF(HR_Cleaned[[#This Row],[MonthlyIncome]]&lt;3000,"Below 3000",IF(HR_Cleaned[[#This Row],[MonthlyIncome]]&lt;5000,"3000-4999",IF(HR_Cleaned[[#This Row],[MonthlyIncome]]&lt;8000,"5000-7999","8000+")))</f>
        <v>8000+</v>
      </c>
      <c r="AM354">
        <f>IF(HR_Cleaned[[#This Row],[Attrition]]="Yes",1,0)</f>
        <v>0</v>
      </c>
    </row>
    <row r="355" spans="1:39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>
        <f>IF(HR_Cleaned[[#This Row],[Age]]&lt;25,"18-24",IF(HR_Cleaned[[#This Row],[Age]]&lt;35,"25-34",IF(HR_Cleaned[[#This Row],[Age]]&lt;45,"35-44",IF(HR_Cleaned[[#This Row],[Age]]&lt;55,"45-54","55+"))))</f>
        <v>35-44</v>
      </c>
      <c r="AK35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55" t="str">
        <f>IF(HR_Cleaned[[#This Row],[MonthlyIncome]]&lt;3000,"Below 3000",IF(HR_Cleaned[[#This Row],[MonthlyIncome]]&lt;5000,"3000-4999",IF(HR_Cleaned[[#This Row],[MonthlyIncome]]&lt;8000,"5000-7999","8000+")))</f>
        <v>5000-7999</v>
      </c>
      <c r="AM355">
        <f>IF(HR_Cleaned[[#This Row],[Attrition]]="Yes",1,0)</f>
        <v>0</v>
      </c>
    </row>
    <row r="356" spans="1:39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>
        <f>IF(HR_Cleaned[[#This Row],[Age]]&lt;25,"18-24",IF(HR_Cleaned[[#This Row],[Age]]&lt;35,"25-34",IF(HR_Cleaned[[#This Row],[Age]]&lt;45,"35-44",IF(HR_Cleaned[[#This Row],[Age]]&lt;55,"45-54","55+"))))</f>
        <v>25-34</v>
      </c>
      <c r="AK35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56" t="str">
        <f>IF(HR_Cleaned[[#This Row],[MonthlyIncome]]&lt;3000,"Below 3000",IF(HR_Cleaned[[#This Row],[MonthlyIncome]]&lt;5000,"3000-4999",IF(HR_Cleaned[[#This Row],[MonthlyIncome]]&lt;8000,"5000-7999","8000+")))</f>
        <v>3000-4999</v>
      </c>
      <c r="AM356">
        <f>IF(HR_Cleaned[[#This Row],[Attrition]]="Yes",1,0)</f>
        <v>0</v>
      </c>
    </row>
    <row r="357" spans="1:39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>
        <f>IF(HR_Cleaned[[#This Row],[Age]]&lt;25,"18-24",IF(HR_Cleaned[[#This Row],[Age]]&lt;35,"25-34",IF(HR_Cleaned[[#This Row],[Age]]&lt;45,"35-44",IF(HR_Cleaned[[#This Row],[Age]]&lt;55,"45-54","55+"))))</f>
        <v>25-34</v>
      </c>
      <c r="AK35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57" t="str">
        <f>IF(HR_Cleaned[[#This Row],[MonthlyIncome]]&lt;3000,"Below 3000",IF(HR_Cleaned[[#This Row],[MonthlyIncome]]&lt;5000,"3000-4999",IF(HR_Cleaned[[#This Row],[MonthlyIncome]]&lt;8000,"5000-7999","8000+")))</f>
        <v>5000-7999</v>
      </c>
      <c r="AM357">
        <f>IF(HR_Cleaned[[#This Row],[Attrition]]="Yes",1,0)</f>
        <v>0</v>
      </c>
    </row>
    <row r="358" spans="1:39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>
        <f>IF(HR_Cleaned[[#This Row],[Age]]&lt;25,"18-24",IF(HR_Cleaned[[#This Row],[Age]]&lt;35,"25-34",IF(HR_Cleaned[[#This Row],[Age]]&lt;45,"35-44",IF(HR_Cleaned[[#This Row],[Age]]&lt;55,"45-54","55+"))))</f>
        <v>35-44</v>
      </c>
      <c r="AK35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58" t="str">
        <f>IF(HR_Cleaned[[#This Row],[MonthlyIncome]]&lt;3000,"Below 3000",IF(HR_Cleaned[[#This Row],[MonthlyIncome]]&lt;5000,"3000-4999",IF(HR_Cleaned[[#This Row],[MonthlyIncome]]&lt;8000,"5000-7999","8000+")))</f>
        <v>5000-7999</v>
      </c>
      <c r="AM358">
        <f>IF(HR_Cleaned[[#This Row],[Attrition]]="Yes",1,0)</f>
        <v>0</v>
      </c>
    </row>
    <row r="359" spans="1:39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>
        <f>IF(HR_Cleaned[[#This Row],[Age]]&lt;25,"18-24",IF(HR_Cleaned[[#This Row],[Age]]&lt;35,"25-34",IF(HR_Cleaned[[#This Row],[Age]]&lt;45,"35-44",IF(HR_Cleaned[[#This Row],[Age]]&lt;55,"45-54","55+"))))</f>
        <v>18-24</v>
      </c>
      <c r="AK35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59" t="str">
        <f>IF(HR_Cleaned[[#This Row],[MonthlyIncome]]&lt;3000,"Below 3000",IF(HR_Cleaned[[#This Row],[MonthlyIncome]]&lt;5000,"3000-4999",IF(HR_Cleaned[[#This Row],[MonthlyIncome]]&lt;8000,"5000-7999","8000+")))</f>
        <v>Below 3000</v>
      </c>
      <c r="AM359">
        <f>IF(HR_Cleaned[[#This Row],[Attrition]]="Yes",1,0)</f>
        <v>1</v>
      </c>
    </row>
    <row r="360" spans="1:39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>
        <f>IF(HR_Cleaned[[#This Row],[Age]]&lt;25,"18-24",IF(HR_Cleaned[[#This Row],[Age]]&lt;35,"25-34",IF(HR_Cleaned[[#This Row],[Age]]&lt;45,"35-44",IF(HR_Cleaned[[#This Row],[Age]]&lt;55,"45-54","55+"))))</f>
        <v>35-44</v>
      </c>
      <c r="AK36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60" t="str">
        <f>IF(HR_Cleaned[[#This Row],[MonthlyIncome]]&lt;3000,"Below 3000",IF(HR_Cleaned[[#This Row],[MonthlyIncome]]&lt;5000,"3000-4999",IF(HR_Cleaned[[#This Row],[MonthlyIncome]]&lt;8000,"5000-7999","8000+")))</f>
        <v>5000-7999</v>
      </c>
      <c r="AM360">
        <f>IF(HR_Cleaned[[#This Row],[Attrition]]="Yes",1,0)</f>
        <v>0</v>
      </c>
    </row>
    <row r="361" spans="1:39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>
        <f>IF(HR_Cleaned[[#This Row],[Age]]&lt;25,"18-24",IF(HR_Cleaned[[#This Row],[Age]]&lt;35,"25-34",IF(HR_Cleaned[[#This Row],[Age]]&lt;45,"35-44",IF(HR_Cleaned[[#This Row],[Age]]&lt;55,"45-54","55+"))))</f>
        <v>35-44</v>
      </c>
      <c r="AK361" t="str">
        <f>IF(HR_Cleaned[[#This Row],[YearsAtCompany]]&lt;=2,"0-2 Years",IF(HR_Cleaned[[#This Row],[YearsAtCompany]]&lt;=5,"3-5 Years",IF(HR_Cleaned[[#This Row],[YearsAtCompany]]&lt;=10,"6-10 Years","11+ Years")))</f>
        <v>11+ Years</v>
      </c>
      <c r="AL361" t="str">
        <f>IF(HR_Cleaned[[#This Row],[MonthlyIncome]]&lt;3000,"Below 3000",IF(HR_Cleaned[[#This Row],[MonthlyIncome]]&lt;5000,"3000-4999",IF(HR_Cleaned[[#This Row],[MonthlyIncome]]&lt;8000,"5000-7999","8000+")))</f>
        <v>8000+</v>
      </c>
      <c r="AM361">
        <f>IF(HR_Cleaned[[#This Row],[Attrition]]="Yes",1,0)</f>
        <v>0</v>
      </c>
    </row>
    <row r="362" spans="1:39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>
        <f>IF(HR_Cleaned[[#This Row],[Age]]&lt;25,"18-24",IF(HR_Cleaned[[#This Row],[Age]]&lt;35,"25-34",IF(HR_Cleaned[[#This Row],[Age]]&lt;45,"35-44",IF(HR_Cleaned[[#This Row],[Age]]&lt;55,"45-54","55+"))))</f>
        <v>55+</v>
      </c>
      <c r="AK36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62" t="str">
        <f>IF(HR_Cleaned[[#This Row],[MonthlyIncome]]&lt;3000,"Below 3000",IF(HR_Cleaned[[#This Row],[MonthlyIncome]]&lt;5000,"3000-4999",IF(HR_Cleaned[[#This Row],[MonthlyIncome]]&lt;8000,"5000-7999","8000+")))</f>
        <v>5000-7999</v>
      </c>
      <c r="AM362">
        <f>IF(HR_Cleaned[[#This Row],[Attrition]]="Yes",1,0)</f>
        <v>0</v>
      </c>
    </row>
    <row r="363" spans="1:39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>
        <f>IF(HR_Cleaned[[#This Row],[Age]]&lt;25,"18-24",IF(HR_Cleaned[[#This Row],[Age]]&lt;35,"25-34",IF(HR_Cleaned[[#This Row],[Age]]&lt;45,"35-44",IF(HR_Cleaned[[#This Row],[Age]]&lt;55,"45-54","55+"))))</f>
        <v>35-44</v>
      </c>
      <c r="AK36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63" t="str">
        <f>IF(HR_Cleaned[[#This Row],[MonthlyIncome]]&lt;3000,"Below 3000",IF(HR_Cleaned[[#This Row],[MonthlyIncome]]&lt;5000,"3000-4999",IF(HR_Cleaned[[#This Row],[MonthlyIncome]]&lt;8000,"5000-7999","8000+")))</f>
        <v>Below 3000</v>
      </c>
      <c r="AM363">
        <f>IF(HR_Cleaned[[#This Row],[Attrition]]="Yes",1,0)</f>
        <v>0</v>
      </c>
    </row>
    <row r="364" spans="1:39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>
        <f>IF(HR_Cleaned[[#This Row],[Age]]&lt;25,"18-24",IF(HR_Cleaned[[#This Row],[Age]]&lt;35,"25-34",IF(HR_Cleaned[[#This Row],[Age]]&lt;45,"35-44",IF(HR_Cleaned[[#This Row],[Age]]&lt;55,"45-54","55+"))))</f>
        <v>18-24</v>
      </c>
      <c r="AK36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64" t="str">
        <f>IF(HR_Cleaned[[#This Row],[MonthlyIncome]]&lt;3000,"Below 3000",IF(HR_Cleaned[[#This Row],[MonthlyIncome]]&lt;5000,"3000-4999",IF(HR_Cleaned[[#This Row],[MonthlyIncome]]&lt;8000,"5000-7999","8000+")))</f>
        <v>Below 3000</v>
      </c>
      <c r="AM364">
        <f>IF(HR_Cleaned[[#This Row],[Attrition]]="Yes",1,0)</f>
        <v>0</v>
      </c>
    </row>
    <row r="365" spans="1:39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>
        <f>IF(HR_Cleaned[[#This Row],[Age]]&lt;25,"18-24",IF(HR_Cleaned[[#This Row],[Age]]&lt;35,"25-34",IF(HR_Cleaned[[#This Row],[Age]]&lt;45,"35-44",IF(HR_Cleaned[[#This Row],[Age]]&lt;55,"45-54","55+"))))</f>
        <v>25-34</v>
      </c>
      <c r="AK365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65" t="str">
        <f>IF(HR_Cleaned[[#This Row],[MonthlyIncome]]&lt;3000,"Below 3000",IF(HR_Cleaned[[#This Row],[MonthlyIncome]]&lt;5000,"3000-4999",IF(HR_Cleaned[[#This Row],[MonthlyIncome]]&lt;8000,"5000-7999","8000+")))</f>
        <v>Below 3000</v>
      </c>
      <c r="AM365">
        <f>IF(HR_Cleaned[[#This Row],[Attrition]]="Yes",1,0)</f>
        <v>1</v>
      </c>
    </row>
    <row r="366" spans="1:39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>
        <f>IF(HR_Cleaned[[#This Row],[Age]]&lt;25,"18-24",IF(HR_Cleaned[[#This Row],[Age]]&lt;35,"25-34",IF(HR_Cleaned[[#This Row],[Age]]&lt;45,"35-44",IF(HR_Cleaned[[#This Row],[Age]]&lt;55,"45-54","55+"))))</f>
        <v>35-44</v>
      </c>
      <c r="AK36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66" t="str">
        <f>IF(HR_Cleaned[[#This Row],[MonthlyIncome]]&lt;3000,"Below 3000",IF(HR_Cleaned[[#This Row],[MonthlyIncome]]&lt;5000,"3000-4999",IF(HR_Cleaned[[#This Row],[MonthlyIncome]]&lt;8000,"5000-7999","8000+")))</f>
        <v>3000-4999</v>
      </c>
      <c r="AM366">
        <f>IF(HR_Cleaned[[#This Row],[Attrition]]="Yes",1,0)</f>
        <v>0</v>
      </c>
    </row>
    <row r="367" spans="1:39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>
        <f>IF(HR_Cleaned[[#This Row],[Age]]&lt;25,"18-24",IF(HR_Cleaned[[#This Row],[Age]]&lt;35,"25-34",IF(HR_Cleaned[[#This Row],[Age]]&lt;45,"35-44",IF(HR_Cleaned[[#This Row],[Age]]&lt;55,"45-54","55+"))))</f>
        <v>45-54</v>
      </c>
      <c r="AK36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67" t="str">
        <f>IF(HR_Cleaned[[#This Row],[MonthlyIncome]]&lt;3000,"Below 3000",IF(HR_Cleaned[[#This Row],[MonthlyIncome]]&lt;5000,"3000-4999",IF(HR_Cleaned[[#This Row],[MonthlyIncome]]&lt;8000,"5000-7999","8000+")))</f>
        <v>5000-7999</v>
      </c>
      <c r="AM367">
        <f>IF(HR_Cleaned[[#This Row],[Attrition]]="Yes",1,0)</f>
        <v>0</v>
      </c>
    </row>
    <row r="368" spans="1:39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>
        <f>IF(HR_Cleaned[[#This Row],[Age]]&lt;25,"18-24",IF(HR_Cleaned[[#This Row],[Age]]&lt;35,"25-34",IF(HR_Cleaned[[#This Row],[Age]]&lt;45,"35-44",IF(HR_Cleaned[[#This Row],[Age]]&lt;55,"45-54","55+"))))</f>
        <v>35-44</v>
      </c>
      <c r="AK36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68" t="str">
        <f>IF(HR_Cleaned[[#This Row],[MonthlyIncome]]&lt;3000,"Below 3000",IF(HR_Cleaned[[#This Row],[MonthlyIncome]]&lt;5000,"3000-4999",IF(HR_Cleaned[[#This Row],[MonthlyIncome]]&lt;8000,"5000-7999","8000+")))</f>
        <v>8000+</v>
      </c>
      <c r="AM368">
        <f>IF(HR_Cleaned[[#This Row],[Attrition]]="Yes",1,0)</f>
        <v>1</v>
      </c>
    </row>
    <row r="369" spans="1:39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>
        <f>IF(HR_Cleaned[[#This Row],[Age]]&lt;25,"18-24",IF(HR_Cleaned[[#This Row],[Age]]&lt;35,"25-34",IF(HR_Cleaned[[#This Row],[Age]]&lt;45,"35-44",IF(HR_Cleaned[[#This Row],[Age]]&lt;55,"45-54","55+"))))</f>
        <v>45-54</v>
      </c>
      <c r="AK36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69" t="str">
        <f>IF(HR_Cleaned[[#This Row],[MonthlyIncome]]&lt;3000,"Below 3000",IF(HR_Cleaned[[#This Row],[MonthlyIncome]]&lt;5000,"3000-4999",IF(HR_Cleaned[[#This Row],[MonthlyIncome]]&lt;8000,"5000-7999","8000+")))</f>
        <v>8000+</v>
      </c>
      <c r="AM369">
        <f>IF(HR_Cleaned[[#This Row],[Attrition]]="Yes",1,0)</f>
        <v>0</v>
      </c>
    </row>
    <row r="370" spans="1:39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>
        <f>IF(HR_Cleaned[[#This Row],[Age]]&lt;25,"18-24",IF(HR_Cleaned[[#This Row],[Age]]&lt;35,"25-34",IF(HR_Cleaned[[#This Row],[Age]]&lt;45,"35-44",IF(HR_Cleaned[[#This Row],[Age]]&lt;55,"45-54","55+"))))</f>
        <v>35-44</v>
      </c>
      <c r="AK37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70" t="str">
        <f>IF(HR_Cleaned[[#This Row],[MonthlyIncome]]&lt;3000,"Below 3000",IF(HR_Cleaned[[#This Row],[MonthlyIncome]]&lt;5000,"3000-4999",IF(HR_Cleaned[[#This Row],[MonthlyIncome]]&lt;8000,"5000-7999","8000+")))</f>
        <v>5000-7999</v>
      </c>
      <c r="AM370">
        <f>IF(HR_Cleaned[[#This Row],[Attrition]]="Yes",1,0)</f>
        <v>1</v>
      </c>
    </row>
    <row r="371" spans="1:39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>
        <f>IF(HR_Cleaned[[#This Row],[Age]]&lt;25,"18-24",IF(HR_Cleaned[[#This Row],[Age]]&lt;35,"25-34",IF(HR_Cleaned[[#This Row],[Age]]&lt;45,"35-44",IF(HR_Cleaned[[#This Row],[Age]]&lt;55,"45-54","55+"))))</f>
        <v>25-34</v>
      </c>
      <c r="AK37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71" t="str">
        <f>IF(HR_Cleaned[[#This Row],[MonthlyIncome]]&lt;3000,"Below 3000",IF(HR_Cleaned[[#This Row],[MonthlyIncome]]&lt;5000,"3000-4999",IF(HR_Cleaned[[#This Row],[MonthlyIncome]]&lt;8000,"5000-7999","8000+")))</f>
        <v>Below 3000</v>
      </c>
      <c r="AM371">
        <f>IF(HR_Cleaned[[#This Row],[Attrition]]="Yes",1,0)</f>
        <v>0</v>
      </c>
    </row>
    <row r="372" spans="1:39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>
        <f>IF(HR_Cleaned[[#This Row],[Age]]&lt;25,"18-24",IF(HR_Cleaned[[#This Row],[Age]]&lt;35,"25-34",IF(HR_Cleaned[[#This Row],[Age]]&lt;45,"35-44",IF(HR_Cleaned[[#This Row],[Age]]&lt;55,"45-54","55+"))))</f>
        <v>18-24</v>
      </c>
      <c r="AK37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72" t="str">
        <f>IF(HR_Cleaned[[#This Row],[MonthlyIncome]]&lt;3000,"Below 3000",IF(HR_Cleaned[[#This Row],[MonthlyIncome]]&lt;5000,"3000-4999",IF(HR_Cleaned[[#This Row],[MonthlyIncome]]&lt;8000,"5000-7999","8000+")))</f>
        <v>Below 3000</v>
      </c>
      <c r="AM372">
        <f>IF(HR_Cleaned[[#This Row],[Attrition]]="Yes",1,0)</f>
        <v>1</v>
      </c>
    </row>
    <row r="373" spans="1:39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>
        <f>IF(HR_Cleaned[[#This Row],[Age]]&lt;25,"18-24",IF(HR_Cleaned[[#This Row],[Age]]&lt;35,"25-34",IF(HR_Cleaned[[#This Row],[Age]]&lt;45,"35-44",IF(HR_Cleaned[[#This Row],[Age]]&lt;55,"45-54","55+"))))</f>
        <v>25-34</v>
      </c>
      <c r="AK37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73" t="str">
        <f>IF(HR_Cleaned[[#This Row],[MonthlyIncome]]&lt;3000,"Below 3000",IF(HR_Cleaned[[#This Row],[MonthlyIncome]]&lt;5000,"3000-4999",IF(HR_Cleaned[[#This Row],[MonthlyIncome]]&lt;8000,"5000-7999","8000+")))</f>
        <v>Below 3000</v>
      </c>
      <c r="AM373">
        <f>IF(HR_Cleaned[[#This Row],[Attrition]]="Yes",1,0)</f>
        <v>0</v>
      </c>
    </row>
    <row r="374" spans="1:39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>
        <f>IF(HR_Cleaned[[#This Row],[Age]]&lt;25,"18-24",IF(HR_Cleaned[[#This Row],[Age]]&lt;35,"25-34",IF(HR_Cleaned[[#This Row],[Age]]&lt;45,"35-44",IF(HR_Cleaned[[#This Row],[Age]]&lt;55,"45-54","55+"))))</f>
        <v>35-44</v>
      </c>
      <c r="AK37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74" t="str">
        <f>IF(HR_Cleaned[[#This Row],[MonthlyIncome]]&lt;3000,"Below 3000",IF(HR_Cleaned[[#This Row],[MonthlyIncome]]&lt;5000,"3000-4999",IF(HR_Cleaned[[#This Row],[MonthlyIncome]]&lt;8000,"5000-7999","8000+")))</f>
        <v>5000-7999</v>
      </c>
      <c r="AM374">
        <f>IF(HR_Cleaned[[#This Row],[Attrition]]="Yes",1,0)</f>
        <v>0</v>
      </c>
    </row>
    <row r="375" spans="1:39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>
        <f>IF(HR_Cleaned[[#This Row],[Age]]&lt;25,"18-24",IF(HR_Cleaned[[#This Row],[Age]]&lt;35,"25-34",IF(HR_Cleaned[[#This Row],[Age]]&lt;45,"35-44",IF(HR_Cleaned[[#This Row],[Age]]&lt;55,"45-54","55+"))))</f>
        <v>25-34</v>
      </c>
      <c r="AK37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75" t="str">
        <f>IF(HR_Cleaned[[#This Row],[MonthlyIncome]]&lt;3000,"Below 3000",IF(HR_Cleaned[[#This Row],[MonthlyIncome]]&lt;5000,"3000-4999",IF(HR_Cleaned[[#This Row],[MonthlyIncome]]&lt;8000,"5000-7999","8000+")))</f>
        <v>3000-4999</v>
      </c>
      <c r="AM375">
        <f>IF(HR_Cleaned[[#This Row],[Attrition]]="Yes",1,0)</f>
        <v>0</v>
      </c>
    </row>
    <row r="376" spans="1:39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>
        <f>IF(HR_Cleaned[[#This Row],[Age]]&lt;25,"18-24",IF(HR_Cleaned[[#This Row],[Age]]&lt;35,"25-34",IF(HR_Cleaned[[#This Row],[Age]]&lt;45,"35-44",IF(HR_Cleaned[[#This Row],[Age]]&lt;55,"45-54","55+"))))</f>
        <v>25-34</v>
      </c>
      <c r="AK37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76" t="str">
        <f>IF(HR_Cleaned[[#This Row],[MonthlyIncome]]&lt;3000,"Below 3000",IF(HR_Cleaned[[#This Row],[MonthlyIncome]]&lt;5000,"3000-4999",IF(HR_Cleaned[[#This Row],[MonthlyIncome]]&lt;8000,"5000-7999","8000+")))</f>
        <v>5000-7999</v>
      </c>
      <c r="AM376">
        <f>IF(HR_Cleaned[[#This Row],[Attrition]]="Yes",1,0)</f>
        <v>0</v>
      </c>
    </row>
    <row r="377" spans="1:39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>
        <f>IF(HR_Cleaned[[#This Row],[Age]]&lt;25,"18-24",IF(HR_Cleaned[[#This Row],[Age]]&lt;35,"25-34",IF(HR_Cleaned[[#This Row],[Age]]&lt;45,"35-44",IF(HR_Cleaned[[#This Row],[Age]]&lt;55,"45-54","55+"))))</f>
        <v>45-54</v>
      </c>
      <c r="AK37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77" t="str">
        <f>IF(HR_Cleaned[[#This Row],[MonthlyIncome]]&lt;3000,"Below 3000",IF(HR_Cleaned[[#This Row],[MonthlyIncome]]&lt;5000,"3000-4999",IF(HR_Cleaned[[#This Row],[MonthlyIncome]]&lt;8000,"5000-7999","8000+")))</f>
        <v>8000+</v>
      </c>
      <c r="AM377">
        <f>IF(HR_Cleaned[[#This Row],[Attrition]]="Yes",1,0)</f>
        <v>0</v>
      </c>
    </row>
    <row r="378" spans="1:39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>
        <f>IF(HR_Cleaned[[#This Row],[Age]]&lt;25,"18-24",IF(HR_Cleaned[[#This Row],[Age]]&lt;35,"25-34",IF(HR_Cleaned[[#This Row],[Age]]&lt;45,"35-44",IF(HR_Cleaned[[#This Row],[Age]]&lt;55,"45-54","55+"))))</f>
        <v>45-54</v>
      </c>
      <c r="AK37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78" t="str">
        <f>IF(HR_Cleaned[[#This Row],[MonthlyIncome]]&lt;3000,"Below 3000",IF(HR_Cleaned[[#This Row],[MonthlyIncome]]&lt;5000,"3000-4999",IF(HR_Cleaned[[#This Row],[MonthlyIncome]]&lt;8000,"5000-7999","8000+")))</f>
        <v>3000-4999</v>
      </c>
      <c r="AM378">
        <f>IF(HR_Cleaned[[#This Row],[Attrition]]="Yes",1,0)</f>
        <v>0</v>
      </c>
    </row>
    <row r="379" spans="1:39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>
        <f>IF(HR_Cleaned[[#This Row],[Age]]&lt;25,"18-24",IF(HR_Cleaned[[#This Row],[Age]]&lt;35,"25-34",IF(HR_Cleaned[[#This Row],[Age]]&lt;45,"35-44",IF(HR_Cleaned[[#This Row],[Age]]&lt;55,"45-54","55+"))))</f>
        <v>35-44</v>
      </c>
      <c r="AK37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79" t="str">
        <f>IF(HR_Cleaned[[#This Row],[MonthlyIncome]]&lt;3000,"Below 3000",IF(HR_Cleaned[[#This Row],[MonthlyIncome]]&lt;5000,"3000-4999",IF(HR_Cleaned[[#This Row],[MonthlyIncome]]&lt;8000,"5000-7999","8000+")))</f>
        <v>Below 3000</v>
      </c>
      <c r="AM379">
        <f>IF(HR_Cleaned[[#This Row],[Attrition]]="Yes",1,0)</f>
        <v>0</v>
      </c>
    </row>
    <row r="380" spans="1:39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>
        <f>IF(HR_Cleaned[[#This Row],[Age]]&lt;25,"18-24",IF(HR_Cleaned[[#This Row],[Age]]&lt;35,"25-34",IF(HR_Cleaned[[#This Row],[Age]]&lt;45,"35-44",IF(HR_Cleaned[[#This Row],[Age]]&lt;55,"45-54","55+"))))</f>
        <v>25-34</v>
      </c>
      <c r="AK38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80" t="str">
        <f>IF(HR_Cleaned[[#This Row],[MonthlyIncome]]&lt;3000,"Below 3000",IF(HR_Cleaned[[#This Row],[MonthlyIncome]]&lt;5000,"3000-4999",IF(HR_Cleaned[[#This Row],[MonthlyIncome]]&lt;8000,"5000-7999","8000+")))</f>
        <v>5000-7999</v>
      </c>
      <c r="AM380">
        <f>IF(HR_Cleaned[[#This Row],[Attrition]]="Yes",1,0)</f>
        <v>1</v>
      </c>
    </row>
    <row r="381" spans="1:39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>
        <f>IF(HR_Cleaned[[#This Row],[Age]]&lt;25,"18-24",IF(HR_Cleaned[[#This Row],[Age]]&lt;35,"25-34",IF(HR_Cleaned[[#This Row],[Age]]&lt;45,"35-44",IF(HR_Cleaned[[#This Row],[Age]]&lt;55,"45-54","55+"))))</f>
        <v>55+</v>
      </c>
      <c r="AK38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81" t="str">
        <f>IF(HR_Cleaned[[#This Row],[MonthlyIncome]]&lt;3000,"Below 3000",IF(HR_Cleaned[[#This Row],[MonthlyIncome]]&lt;5000,"3000-4999",IF(HR_Cleaned[[#This Row],[MonthlyIncome]]&lt;8000,"5000-7999","8000+")))</f>
        <v>8000+</v>
      </c>
      <c r="AM381">
        <f>IF(HR_Cleaned[[#This Row],[Attrition]]="Yes",1,0)</f>
        <v>0</v>
      </c>
    </row>
    <row r="382" spans="1:39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>
        <f>IF(HR_Cleaned[[#This Row],[Age]]&lt;25,"18-24",IF(HR_Cleaned[[#This Row],[Age]]&lt;35,"25-34",IF(HR_Cleaned[[#This Row],[Age]]&lt;45,"35-44",IF(HR_Cleaned[[#This Row],[Age]]&lt;55,"45-54","55+"))))</f>
        <v>18-24</v>
      </c>
      <c r="AK38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82" t="str">
        <f>IF(HR_Cleaned[[#This Row],[MonthlyIncome]]&lt;3000,"Below 3000",IF(HR_Cleaned[[#This Row],[MonthlyIncome]]&lt;5000,"3000-4999",IF(HR_Cleaned[[#This Row],[MonthlyIncome]]&lt;8000,"5000-7999","8000+")))</f>
        <v>3000-4999</v>
      </c>
      <c r="AM382">
        <f>IF(HR_Cleaned[[#This Row],[Attrition]]="Yes",1,0)</f>
        <v>0</v>
      </c>
    </row>
    <row r="383" spans="1:39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>
        <f>IF(HR_Cleaned[[#This Row],[Age]]&lt;25,"18-24",IF(HR_Cleaned[[#This Row],[Age]]&lt;35,"25-34",IF(HR_Cleaned[[#This Row],[Age]]&lt;45,"35-44",IF(HR_Cleaned[[#This Row],[Age]]&lt;55,"45-54","55+"))))</f>
        <v>25-34</v>
      </c>
      <c r="AK38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83" t="str">
        <f>IF(HR_Cleaned[[#This Row],[MonthlyIncome]]&lt;3000,"Below 3000",IF(HR_Cleaned[[#This Row],[MonthlyIncome]]&lt;5000,"3000-4999",IF(HR_Cleaned[[#This Row],[MonthlyIncome]]&lt;8000,"5000-7999","8000+")))</f>
        <v>Below 3000</v>
      </c>
      <c r="AM383">
        <f>IF(HR_Cleaned[[#This Row],[Attrition]]="Yes",1,0)</f>
        <v>0</v>
      </c>
    </row>
    <row r="384" spans="1:39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>
        <f>IF(HR_Cleaned[[#This Row],[Age]]&lt;25,"18-24",IF(HR_Cleaned[[#This Row],[Age]]&lt;35,"25-34",IF(HR_Cleaned[[#This Row],[Age]]&lt;45,"35-44",IF(HR_Cleaned[[#This Row],[Age]]&lt;55,"45-54","55+"))))</f>
        <v>25-34</v>
      </c>
      <c r="AK38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84" t="str">
        <f>IF(HR_Cleaned[[#This Row],[MonthlyIncome]]&lt;3000,"Below 3000",IF(HR_Cleaned[[#This Row],[MonthlyIncome]]&lt;5000,"3000-4999",IF(HR_Cleaned[[#This Row],[MonthlyIncome]]&lt;8000,"5000-7999","8000+")))</f>
        <v>3000-4999</v>
      </c>
      <c r="AM384">
        <f>IF(HR_Cleaned[[#This Row],[Attrition]]="Yes",1,0)</f>
        <v>1</v>
      </c>
    </row>
    <row r="385" spans="1:39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>
        <f>IF(HR_Cleaned[[#This Row],[Age]]&lt;25,"18-24",IF(HR_Cleaned[[#This Row],[Age]]&lt;35,"25-34",IF(HR_Cleaned[[#This Row],[Age]]&lt;45,"35-44",IF(HR_Cleaned[[#This Row],[Age]]&lt;55,"45-54","55+"))))</f>
        <v>18-24</v>
      </c>
      <c r="AK385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85" t="str">
        <f>IF(HR_Cleaned[[#This Row],[MonthlyIncome]]&lt;3000,"Below 3000",IF(HR_Cleaned[[#This Row],[MonthlyIncome]]&lt;5000,"3000-4999",IF(HR_Cleaned[[#This Row],[MonthlyIncome]]&lt;8000,"5000-7999","8000+")))</f>
        <v>Below 3000</v>
      </c>
      <c r="AM385">
        <f>IF(HR_Cleaned[[#This Row],[Attrition]]="Yes",1,0)</f>
        <v>0</v>
      </c>
    </row>
    <row r="386" spans="1:39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>
        <f>IF(HR_Cleaned[[#This Row],[Age]]&lt;25,"18-24",IF(HR_Cleaned[[#This Row],[Age]]&lt;35,"25-34",IF(HR_Cleaned[[#This Row],[Age]]&lt;45,"35-44",IF(HR_Cleaned[[#This Row],[Age]]&lt;55,"45-54","55+"))))</f>
        <v>35-44</v>
      </c>
      <c r="AK38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386" t="str">
        <f>IF(HR_Cleaned[[#This Row],[MonthlyIncome]]&lt;3000,"Below 3000",IF(HR_Cleaned[[#This Row],[MonthlyIncome]]&lt;5000,"3000-4999",IF(HR_Cleaned[[#This Row],[MonthlyIncome]]&lt;8000,"5000-7999","8000+")))</f>
        <v>5000-7999</v>
      </c>
      <c r="AM386">
        <f>IF(HR_Cleaned[[#This Row],[Attrition]]="Yes",1,0)</f>
        <v>0</v>
      </c>
    </row>
    <row r="387" spans="1:39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>
        <f>IF(HR_Cleaned[[#This Row],[Age]]&lt;25,"18-24",IF(HR_Cleaned[[#This Row],[Age]]&lt;35,"25-34",IF(HR_Cleaned[[#This Row],[Age]]&lt;45,"35-44",IF(HR_Cleaned[[#This Row],[Age]]&lt;55,"45-54","55+"))))</f>
        <v>25-34</v>
      </c>
      <c r="AK38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87" t="str">
        <f>IF(HR_Cleaned[[#This Row],[MonthlyIncome]]&lt;3000,"Below 3000",IF(HR_Cleaned[[#This Row],[MonthlyIncome]]&lt;5000,"3000-4999",IF(HR_Cleaned[[#This Row],[MonthlyIncome]]&lt;8000,"5000-7999","8000+")))</f>
        <v>Below 3000</v>
      </c>
      <c r="AM387">
        <f>IF(HR_Cleaned[[#This Row],[Attrition]]="Yes",1,0)</f>
        <v>1</v>
      </c>
    </row>
    <row r="388" spans="1:39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>
        <f>IF(HR_Cleaned[[#This Row],[Age]]&lt;25,"18-24",IF(HR_Cleaned[[#This Row],[Age]]&lt;35,"25-34",IF(HR_Cleaned[[#This Row],[Age]]&lt;45,"35-44",IF(HR_Cleaned[[#This Row],[Age]]&lt;55,"45-54","55+"))))</f>
        <v>35-44</v>
      </c>
      <c r="AK38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388" t="str">
        <f>IF(HR_Cleaned[[#This Row],[MonthlyIncome]]&lt;3000,"Below 3000",IF(HR_Cleaned[[#This Row],[MonthlyIncome]]&lt;5000,"3000-4999",IF(HR_Cleaned[[#This Row],[MonthlyIncome]]&lt;8000,"5000-7999","8000+")))</f>
        <v>3000-4999</v>
      </c>
      <c r="AM388">
        <f>IF(HR_Cleaned[[#This Row],[Attrition]]="Yes",1,0)</f>
        <v>0</v>
      </c>
    </row>
    <row r="389" spans="1:39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>
        <f>IF(HR_Cleaned[[#This Row],[Age]]&lt;25,"18-24",IF(HR_Cleaned[[#This Row],[Age]]&lt;35,"25-34",IF(HR_Cleaned[[#This Row],[Age]]&lt;45,"35-44",IF(HR_Cleaned[[#This Row],[Age]]&lt;55,"45-54","55+"))))</f>
        <v>35-44</v>
      </c>
      <c r="AK38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89" t="str">
        <f>IF(HR_Cleaned[[#This Row],[MonthlyIncome]]&lt;3000,"Below 3000",IF(HR_Cleaned[[#This Row],[MonthlyIncome]]&lt;5000,"3000-4999",IF(HR_Cleaned[[#This Row],[MonthlyIncome]]&lt;8000,"5000-7999","8000+")))</f>
        <v>5000-7999</v>
      </c>
      <c r="AM389">
        <f>IF(HR_Cleaned[[#This Row],[Attrition]]="Yes",1,0)</f>
        <v>0</v>
      </c>
    </row>
    <row r="390" spans="1:39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>
        <f>IF(HR_Cleaned[[#This Row],[Age]]&lt;25,"18-24",IF(HR_Cleaned[[#This Row],[Age]]&lt;35,"25-34",IF(HR_Cleaned[[#This Row],[Age]]&lt;45,"35-44",IF(HR_Cleaned[[#This Row],[Age]]&lt;55,"45-54","55+"))))</f>
        <v>35-44</v>
      </c>
      <c r="AK39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90" t="str">
        <f>IF(HR_Cleaned[[#This Row],[MonthlyIncome]]&lt;3000,"Below 3000",IF(HR_Cleaned[[#This Row],[MonthlyIncome]]&lt;5000,"3000-4999",IF(HR_Cleaned[[#This Row],[MonthlyIncome]]&lt;8000,"5000-7999","8000+")))</f>
        <v>Below 3000</v>
      </c>
      <c r="AM390">
        <f>IF(HR_Cleaned[[#This Row],[Attrition]]="Yes",1,0)</f>
        <v>0</v>
      </c>
    </row>
    <row r="391" spans="1:39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>
        <f>IF(HR_Cleaned[[#This Row],[Age]]&lt;25,"18-24",IF(HR_Cleaned[[#This Row],[Age]]&lt;35,"25-34",IF(HR_Cleaned[[#This Row],[Age]]&lt;45,"35-44",IF(HR_Cleaned[[#This Row],[Age]]&lt;55,"45-54","55+"))))</f>
        <v>35-44</v>
      </c>
      <c r="AK39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91" t="str">
        <f>IF(HR_Cleaned[[#This Row],[MonthlyIncome]]&lt;3000,"Below 3000",IF(HR_Cleaned[[#This Row],[MonthlyIncome]]&lt;5000,"3000-4999",IF(HR_Cleaned[[#This Row],[MonthlyIncome]]&lt;8000,"5000-7999","8000+")))</f>
        <v>3000-4999</v>
      </c>
      <c r="AM391">
        <f>IF(HR_Cleaned[[#This Row],[Attrition]]="Yes",1,0)</f>
        <v>0</v>
      </c>
    </row>
    <row r="392" spans="1:39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>
        <f>IF(HR_Cleaned[[#This Row],[Age]]&lt;25,"18-24",IF(HR_Cleaned[[#This Row],[Age]]&lt;35,"25-34",IF(HR_Cleaned[[#This Row],[Age]]&lt;45,"35-44",IF(HR_Cleaned[[#This Row],[Age]]&lt;55,"45-54","55+"))))</f>
        <v>35-44</v>
      </c>
      <c r="AK39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392" t="str">
        <f>IF(HR_Cleaned[[#This Row],[MonthlyIncome]]&lt;3000,"Below 3000",IF(HR_Cleaned[[#This Row],[MonthlyIncome]]&lt;5000,"3000-4999",IF(HR_Cleaned[[#This Row],[MonthlyIncome]]&lt;8000,"5000-7999","8000+")))</f>
        <v>8000+</v>
      </c>
      <c r="AM392">
        <f>IF(HR_Cleaned[[#This Row],[Attrition]]="Yes",1,0)</f>
        <v>0</v>
      </c>
    </row>
    <row r="393" spans="1:39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>
        <f>IF(HR_Cleaned[[#This Row],[Age]]&lt;25,"18-24",IF(HR_Cleaned[[#This Row],[Age]]&lt;35,"25-34",IF(HR_Cleaned[[#This Row],[Age]]&lt;45,"35-44",IF(HR_Cleaned[[#This Row],[Age]]&lt;55,"45-54","55+"))))</f>
        <v>35-44</v>
      </c>
      <c r="AK39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393" t="str">
        <f>IF(HR_Cleaned[[#This Row],[MonthlyIncome]]&lt;3000,"Below 3000",IF(HR_Cleaned[[#This Row],[MonthlyIncome]]&lt;5000,"3000-4999",IF(HR_Cleaned[[#This Row],[MonthlyIncome]]&lt;8000,"5000-7999","8000+")))</f>
        <v>3000-4999</v>
      </c>
      <c r="AM393">
        <f>IF(HR_Cleaned[[#This Row],[Attrition]]="Yes",1,0)</f>
        <v>0</v>
      </c>
    </row>
    <row r="394" spans="1:39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>
        <f>IF(HR_Cleaned[[#This Row],[Age]]&lt;25,"18-24",IF(HR_Cleaned[[#This Row],[Age]]&lt;35,"25-34",IF(HR_Cleaned[[#This Row],[Age]]&lt;45,"35-44",IF(HR_Cleaned[[#This Row],[Age]]&lt;55,"45-54","55+"))))</f>
        <v>45-54</v>
      </c>
      <c r="AK39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94" t="str">
        <f>IF(HR_Cleaned[[#This Row],[MonthlyIncome]]&lt;3000,"Below 3000",IF(HR_Cleaned[[#This Row],[MonthlyIncome]]&lt;5000,"3000-4999",IF(HR_Cleaned[[#This Row],[MonthlyIncome]]&lt;8000,"5000-7999","8000+")))</f>
        <v>8000+</v>
      </c>
      <c r="AM394">
        <f>IF(HR_Cleaned[[#This Row],[Attrition]]="Yes",1,0)</f>
        <v>0</v>
      </c>
    </row>
    <row r="395" spans="1:39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>
        <f>IF(HR_Cleaned[[#This Row],[Age]]&lt;25,"18-24",IF(HR_Cleaned[[#This Row],[Age]]&lt;35,"25-34",IF(HR_Cleaned[[#This Row],[Age]]&lt;45,"35-44",IF(HR_Cleaned[[#This Row],[Age]]&lt;55,"45-54","55+"))))</f>
        <v>25-34</v>
      </c>
      <c r="AK39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95" t="str">
        <f>IF(HR_Cleaned[[#This Row],[MonthlyIncome]]&lt;3000,"Below 3000",IF(HR_Cleaned[[#This Row],[MonthlyIncome]]&lt;5000,"3000-4999",IF(HR_Cleaned[[#This Row],[MonthlyIncome]]&lt;8000,"5000-7999","8000+")))</f>
        <v>5000-7999</v>
      </c>
      <c r="AM395">
        <f>IF(HR_Cleaned[[#This Row],[Attrition]]="Yes",1,0)</f>
        <v>0</v>
      </c>
    </row>
    <row r="396" spans="1:39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>
        <f>IF(HR_Cleaned[[#This Row],[Age]]&lt;25,"18-24",IF(HR_Cleaned[[#This Row],[Age]]&lt;35,"25-34",IF(HR_Cleaned[[#This Row],[Age]]&lt;45,"35-44",IF(HR_Cleaned[[#This Row],[Age]]&lt;55,"45-54","55+"))))</f>
        <v>25-34</v>
      </c>
      <c r="AK396" t="str">
        <f>IF(HR_Cleaned[[#This Row],[YearsAtCompany]]&lt;=2,"0-2 Years",IF(HR_Cleaned[[#This Row],[YearsAtCompany]]&lt;=5,"3-5 Years",IF(HR_Cleaned[[#This Row],[YearsAtCompany]]&lt;=10,"6-10 Years","11+ Years")))</f>
        <v>11+ Years</v>
      </c>
      <c r="AL396" t="str">
        <f>IF(HR_Cleaned[[#This Row],[MonthlyIncome]]&lt;3000,"Below 3000",IF(HR_Cleaned[[#This Row],[MonthlyIncome]]&lt;5000,"3000-4999",IF(HR_Cleaned[[#This Row],[MonthlyIncome]]&lt;8000,"5000-7999","8000+")))</f>
        <v>3000-4999</v>
      </c>
      <c r="AM396">
        <f>IF(HR_Cleaned[[#This Row],[Attrition]]="Yes",1,0)</f>
        <v>0</v>
      </c>
    </row>
    <row r="397" spans="1:39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>
        <f>IF(HR_Cleaned[[#This Row],[Age]]&lt;25,"18-24",IF(HR_Cleaned[[#This Row],[Age]]&lt;35,"25-34",IF(HR_Cleaned[[#This Row],[Age]]&lt;45,"35-44",IF(HR_Cleaned[[#This Row],[Age]]&lt;55,"45-54","55+"))))</f>
        <v>35-44</v>
      </c>
      <c r="AK39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97" t="str">
        <f>IF(HR_Cleaned[[#This Row],[MonthlyIncome]]&lt;3000,"Below 3000",IF(HR_Cleaned[[#This Row],[MonthlyIncome]]&lt;5000,"3000-4999",IF(HR_Cleaned[[#This Row],[MonthlyIncome]]&lt;8000,"5000-7999","8000+")))</f>
        <v>Below 3000</v>
      </c>
      <c r="AM397">
        <f>IF(HR_Cleaned[[#This Row],[Attrition]]="Yes",1,0)</f>
        <v>0</v>
      </c>
    </row>
    <row r="398" spans="1:39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>
        <f>IF(HR_Cleaned[[#This Row],[Age]]&lt;25,"18-24",IF(HR_Cleaned[[#This Row],[Age]]&lt;35,"25-34",IF(HR_Cleaned[[#This Row],[Age]]&lt;45,"35-44",IF(HR_Cleaned[[#This Row],[Age]]&lt;55,"45-54","55+"))))</f>
        <v>35-44</v>
      </c>
      <c r="AK39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98" t="str">
        <f>IF(HR_Cleaned[[#This Row],[MonthlyIncome]]&lt;3000,"Below 3000",IF(HR_Cleaned[[#This Row],[MonthlyIncome]]&lt;5000,"3000-4999",IF(HR_Cleaned[[#This Row],[MonthlyIncome]]&lt;8000,"5000-7999","8000+")))</f>
        <v>3000-4999</v>
      </c>
      <c r="AM398">
        <f>IF(HR_Cleaned[[#This Row],[Attrition]]="Yes",1,0)</f>
        <v>0</v>
      </c>
    </row>
    <row r="399" spans="1:39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>
        <f>IF(HR_Cleaned[[#This Row],[Age]]&lt;25,"18-24",IF(HR_Cleaned[[#This Row],[Age]]&lt;35,"25-34",IF(HR_Cleaned[[#This Row],[Age]]&lt;45,"35-44",IF(HR_Cleaned[[#This Row],[Age]]&lt;55,"45-54","55+"))))</f>
        <v>25-34</v>
      </c>
      <c r="AK39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399" t="str">
        <f>IF(HR_Cleaned[[#This Row],[MonthlyIncome]]&lt;3000,"Below 3000",IF(HR_Cleaned[[#This Row],[MonthlyIncome]]&lt;5000,"3000-4999",IF(HR_Cleaned[[#This Row],[MonthlyIncome]]&lt;8000,"5000-7999","8000+")))</f>
        <v>3000-4999</v>
      </c>
      <c r="AM399">
        <f>IF(HR_Cleaned[[#This Row],[Attrition]]="Yes",1,0)</f>
        <v>0</v>
      </c>
    </row>
    <row r="400" spans="1:39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>
        <f>IF(HR_Cleaned[[#This Row],[Age]]&lt;25,"18-24",IF(HR_Cleaned[[#This Row],[Age]]&lt;35,"25-34",IF(HR_Cleaned[[#This Row],[Age]]&lt;45,"35-44",IF(HR_Cleaned[[#This Row],[Age]]&lt;55,"45-54","55+"))))</f>
        <v>35-44</v>
      </c>
      <c r="AK40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400" t="str">
        <f>IF(HR_Cleaned[[#This Row],[MonthlyIncome]]&lt;3000,"Below 3000",IF(HR_Cleaned[[#This Row],[MonthlyIncome]]&lt;5000,"3000-4999",IF(HR_Cleaned[[#This Row],[MonthlyIncome]]&lt;8000,"5000-7999","8000+")))</f>
        <v>3000-4999</v>
      </c>
      <c r="AM400">
        <f>IF(HR_Cleaned[[#This Row],[Attrition]]="Yes",1,0)</f>
        <v>0</v>
      </c>
    </row>
    <row r="401" spans="1:39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>
        <f>IF(HR_Cleaned[[#This Row],[Age]]&lt;25,"18-24",IF(HR_Cleaned[[#This Row],[Age]]&lt;35,"25-34",IF(HR_Cleaned[[#This Row],[Age]]&lt;45,"35-44",IF(HR_Cleaned[[#This Row],[Age]]&lt;55,"45-54","55+"))))</f>
        <v>25-34</v>
      </c>
      <c r="AK40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01" t="str">
        <f>IF(HR_Cleaned[[#This Row],[MonthlyIncome]]&lt;3000,"Below 3000",IF(HR_Cleaned[[#This Row],[MonthlyIncome]]&lt;5000,"3000-4999",IF(HR_Cleaned[[#This Row],[MonthlyIncome]]&lt;8000,"5000-7999","8000+")))</f>
        <v>Below 3000</v>
      </c>
      <c r="AM401">
        <f>IF(HR_Cleaned[[#This Row],[Attrition]]="Yes",1,0)</f>
        <v>0</v>
      </c>
    </row>
    <row r="402" spans="1:39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>
        <f>IF(HR_Cleaned[[#This Row],[Age]]&lt;25,"18-24",IF(HR_Cleaned[[#This Row],[Age]]&lt;35,"25-34",IF(HR_Cleaned[[#This Row],[Age]]&lt;45,"35-44",IF(HR_Cleaned[[#This Row],[Age]]&lt;55,"45-54","55+"))))</f>
        <v>35-44</v>
      </c>
      <c r="AK40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402" t="str">
        <f>IF(HR_Cleaned[[#This Row],[MonthlyIncome]]&lt;3000,"Below 3000",IF(HR_Cleaned[[#This Row],[MonthlyIncome]]&lt;5000,"3000-4999",IF(HR_Cleaned[[#This Row],[MonthlyIncome]]&lt;8000,"5000-7999","8000+")))</f>
        <v>8000+</v>
      </c>
      <c r="AM402">
        <f>IF(HR_Cleaned[[#This Row],[Attrition]]="Yes",1,0)</f>
        <v>0</v>
      </c>
    </row>
    <row r="403" spans="1:39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>
        <f>IF(HR_Cleaned[[#This Row],[Age]]&lt;25,"18-24",IF(HR_Cleaned[[#This Row],[Age]]&lt;35,"25-34",IF(HR_Cleaned[[#This Row],[Age]]&lt;45,"35-44",IF(HR_Cleaned[[#This Row],[Age]]&lt;55,"45-54","55+"))))</f>
        <v>55+</v>
      </c>
      <c r="AK40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03" t="str">
        <f>IF(HR_Cleaned[[#This Row],[MonthlyIncome]]&lt;3000,"Below 3000",IF(HR_Cleaned[[#This Row],[MonthlyIncome]]&lt;5000,"3000-4999",IF(HR_Cleaned[[#This Row],[MonthlyIncome]]&lt;8000,"5000-7999","8000+")))</f>
        <v>8000+</v>
      </c>
      <c r="AM403">
        <f>IF(HR_Cleaned[[#This Row],[Attrition]]="Yes",1,0)</f>
        <v>0</v>
      </c>
    </row>
    <row r="404" spans="1:39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>
        <f>IF(HR_Cleaned[[#This Row],[Age]]&lt;25,"18-24",IF(HR_Cleaned[[#This Row],[Age]]&lt;35,"25-34",IF(HR_Cleaned[[#This Row],[Age]]&lt;45,"35-44",IF(HR_Cleaned[[#This Row],[Age]]&lt;55,"45-54","55+"))))</f>
        <v>25-34</v>
      </c>
      <c r="AK40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04" t="str">
        <f>IF(HR_Cleaned[[#This Row],[MonthlyIncome]]&lt;3000,"Below 3000",IF(HR_Cleaned[[#This Row],[MonthlyIncome]]&lt;5000,"3000-4999",IF(HR_Cleaned[[#This Row],[MonthlyIncome]]&lt;8000,"5000-7999","8000+")))</f>
        <v>5000-7999</v>
      </c>
      <c r="AM404">
        <f>IF(HR_Cleaned[[#This Row],[Attrition]]="Yes",1,0)</f>
        <v>0</v>
      </c>
    </row>
    <row r="405" spans="1:39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>
        <f>IF(HR_Cleaned[[#This Row],[Age]]&lt;25,"18-24",IF(HR_Cleaned[[#This Row],[Age]]&lt;35,"25-34",IF(HR_Cleaned[[#This Row],[Age]]&lt;45,"35-44",IF(HR_Cleaned[[#This Row],[Age]]&lt;55,"45-54","55+"))))</f>
        <v>35-44</v>
      </c>
      <c r="AK40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05" t="str">
        <f>IF(HR_Cleaned[[#This Row],[MonthlyIncome]]&lt;3000,"Below 3000",IF(HR_Cleaned[[#This Row],[MonthlyIncome]]&lt;5000,"3000-4999",IF(HR_Cleaned[[#This Row],[MonthlyIncome]]&lt;8000,"5000-7999","8000+")))</f>
        <v>8000+</v>
      </c>
      <c r="AM405">
        <f>IF(HR_Cleaned[[#This Row],[Attrition]]="Yes",1,0)</f>
        <v>0</v>
      </c>
    </row>
    <row r="406" spans="1:39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>
        <f>IF(HR_Cleaned[[#This Row],[Age]]&lt;25,"18-24",IF(HR_Cleaned[[#This Row],[Age]]&lt;35,"25-34",IF(HR_Cleaned[[#This Row],[Age]]&lt;45,"35-44",IF(HR_Cleaned[[#This Row],[Age]]&lt;55,"45-54","55+"))))</f>
        <v>25-34</v>
      </c>
      <c r="AK40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06" t="str">
        <f>IF(HR_Cleaned[[#This Row],[MonthlyIncome]]&lt;3000,"Below 3000",IF(HR_Cleaned[[#This Row],[MonthlyIncome]]&lt;5000,"3000-4999",IF(HR_Cleaned[[#This Row],[MonthlyIncome]]&lt;8000,"5000-7999","8000+")))</f>
        <v>3000-4999</v>
      </c>
      <c r="AM406">
        <f>IF(HR_Cleaned[[#This Row],[Attrition]]="Yes",1,0)</f>
        <v>0</v>
      </c>
    </row>
    <row r="407" spans="1:39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>
        <f>IF(HR_Cleaned[[#This Row],[Age]]&lt;25,"18-24",IF(HR_Cleaned[[#This Row],[Age]]&lt;35,"25-34",IF(HR_Cleaned[[#This Row],[Age]]&lt;45,"35-44",IF(HR_Cleaned[[#This Row],[Age]]&lt;55,"45-54","55+"))))</f>
        <v>25-34</v>
      </c>
      <c r="AK40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07" t="str">
        <f>IF(HR_Cleaned[[#This Row],[MonthlyIncome]]&lt;3000,"Below 3000",IF(HR_Cleaned[[#This Row],[MonthlyIncome]]&lt;5000,"3000-4999",IF(HR_Cleaned[[#This Row],[MonthlyIncome]]&lt;8000,"5000-7999","8000+")))</f>
        <v>3000-4999</v>
      </c>
      <c r="AM407">
        <f>IF(HR_Cleaned[[#This Row],[Attrition]]="Yes",1,0)</f>
        <v>1</v>
      </c>
    </row>
    <row r="408" spans="1:39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>
        <f>IF(HR_Cleaned[[#This Row],[Age]]&lt;25,"18-24",IF(HR_Cleaned[[#This Row],[Age]]&lt;35,"25-34",IF(HR_Cleaned[[#This Row],[Age]]&lt;45,"35-44",IF(HR_Cleaned[[#This Row],[Age]]&lt;55,"45-54","55+"))))</f>
        <v>45-54</v>
      </c>
      <c r="AK40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08" t="str">
        <f>IF(HR_Cleaned[[#This Row],[MonthlyIncome]]&lt;3000,"Below 3000",IF(HR_Cleaned[[#This Row],[MonthlyIncome]]&lt;5000,"3000-4999",IF(HR_Cleaned[[#This Row],[MonthlyIncome]]&lt;8000,"5000-7999","8000+")))</f>
        <v>5000-7999</v>
      </c>
      <c r="AM408">
        <f>IF(HR_Cleaned[[#This Row],[Attrition]]="Yes",1,0)</f>
        <v>0</v>
      </c>
    </row>
    <row r="409" spans="1:39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>
        <f>IF(HR_Cleaned[[#This Row],[Age]]&lt;25,"18-24",IF(HR_Cleaned[[#This Row],[Age]]&lt;35,"25-34",IF(HR_Cleaned[[#This Row],[Age]]&lt;45,"35-44",IF(HR_Cleaned[[#This Row],[Age]]&lt;55,"45-54","55+"))))</f>
        <v>45-54</v>
      </c>
      <c r="AK40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09" t="str">
        <f>IF(HR_Cleaned[[#This Row],[MonthlyIncome]]&lt;3000,"Below 3000",IF(HR_Cleaned[[#This Row],[MonthlyIncome]]&lt;5000,"3000-4999",IF(HR_Cleaned[[#This Row],[MonthlyIncome]]&lt;8000,"5000-7999","8000+")))</f>
        <v>Below 3000</v>
      </c>
      <c r="AM409">
        <f>IF(HR_Cleaned[[#This Row],[Attrition]]="Yes",1,0)</f>
        <v>0</v>
      </c>
    </row>
    <row r="410" spans="1:39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>
        <f>IF(HR_Cleaned[[#This Row],[Age]]&lt;25,"18-24",IF(HR_Cleaned[[#This Row],[Age]]&lt;35,"25-34",IF(HR_Cleaned[[#This Row],[Age]]&lt;45,"35-44",IF(HR_Cleaned[[#This Row],[Age]]&lt;55,"45-54","55+"))))</f>
        <v>45-54</v>
      </c>
      <c r="AK41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10" t="str">
        <f>IF(HR_Cleaned[[#This Row],[MonthlyIncome]]&lt;3000,"Below 3000",IF(HR_Cleaned[[#This Row],[MonthlyIncome]]&lt;5000,"3000-4999",IF(HR_Cleaned[[#This Row],[MonthlyIncome]]&lt;8000,"5000-7999","8000+")))</f>
        <v>8000+</v>
      </c>
      <c r="AM410">
        <f>IF(HR_Cleaned[[#This Row],[Attrition]]="Yes",1,0)</f>
        <v>0</v>
      </c>
    </row>
    <row r="411" spans="1:39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>
        <f>IF(HR_Cleaned[[#This Row],[Age]]&lt;25,"18-24",IF(HR_Cleaned[[#This Row],[Age]]&lt;35,"25-34",IF(HR_Cleaned[[#This Row],[Age]]&lt;45,"35-44",IF(HR_Cleaned[[#This Row],[Age]]&lt;55,"45-54","55+"))))</f>
        <v>35-44</v>
      </c>
      <c r="AK41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11" t="str">
        <f>IF(HR_Cleaned[[#This Row],[MonthlyIncome]]&lt;3000,"Below 3000",IF(HR_Cleaned[[#This Row],[MonthlyIncome]]&lt;5000,"3000-4999",IF(HR_Cleaned[[#This Row],[MonthlyIncome]]&lt;8000,"5000-7999","8000+")))</f>
        <v>3000-4999</v>
      </c>
      <c r="AM411">
        <f>IF(HR_Cleaned[[#This Row],[Attrition]]="Yes",1,0)</f>
        <v>0</v>
      </c>
    </row>
    <row r="412" spans="1:39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>
        <f>IF(HR_Cleaned[[#This Row],[Age]]&lt;25,"18-24",IF(HR_Cleaned[[#This Row],[Age]]&lt;35,"25-34",IF(HR_Cleaned[[#This Row],[Age]]&lt;45,"35-44",IF(HR_Cleaned[[#This Row],[Age]]&lt;55,"45-54","55+"))))</f>
        <v>25-34</v>
      </c>
      <c r="AK41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12" t="str">
        <f>IF(HR_Cleaned[[#This Row],[MonthlyIncome]]&lt;3000,"Below 3000",IF(HR_Cleaned[[#This Row],[MonthlyIncome]]&lt;5000,"3000-4999",IF(HR_Cleaned[[#This Row],[MonthlyIncome]]&lt;8000,"5000-7999","8000+")))</f>
        <v>5000-7999</v>
      </c>
      <c r="AM412">
        <f>IF(HR_Cleaned[[#This Row],[Attrition]]="Yes",1,0)</f>
        <v>0</v>
      </c>
    </row>
    <row r="413" spans="1:39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>
        <f>IF(HR_Cleaned[[#This Row],[Age]]&lt;25,"18-24",IF(HR_Cleaned[[#This Row],[Age]]&lt;35,"25-34",IF(HR_Cleaned[[#This Row],[Age]]&lt;45,"35-44",IF(HR_Cleaned[[#This Row],[Age]]&lt;55,"45-54","55+"))))</f>
        <v>55+</v>
      </c>
      <c r="AK41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413" t="str">
        <f>IF(HR_Cleaned[[#This Row],[MonthlyIncome]]&lt;3000,"Below 3000",IF(HR_Cleaned[[#This Row],[MonthlyIncome]]&lt;5000,"3000-4999",IF(HR_Cleaned[[#This Row],[MonthlyIncome]]&lt;8000,"5000-7999","8000+")))</f>
        <v>8000+</v>
      </c>
      <c r="AM413">
        <f>IF(HR_Cleaned[[#This Row],[Attrition]]="Yes",1,0)</f>
        <v>0</v>
      </c>
    </row>
    <row r="414" spans="1:39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>
        <f>IF(HR_Cleaned[[#This Row],[Age]]&lt;25,"18-24",IF(HR_Cleaned[[#This Row],[Age]]&lt;35,"25-34",IF(HR_Cleaned[[#This Row],[Age]]&lt;45,"35-44",IF(HR_Cleaned[[#This Row],[Age]]&lt;55,"45-54","55+"))))</f>
        <v>45-54</v>
      </c>
      <c r="AK41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14" t="str">
        <f>IF(HR_Cleaned[[#This Row],[MonthlyIncome]]&lt;3000,"Below 3000",IF(HR_Cleaned[[#This Row],[MonthlyIncome]]&lt;5000,"3000-4999",IF(HR_Cleaned[[#This Row],[MonthlyIncome]]&lt;8000,"5000-7999","8000+")))</f>
        <v>3000-4999</v>
      </c>
      <c r="AM414">
        <f>IF(HR_Cleaned[[#This Row],[Attrition]]="Yes",1,0)</f>
        <v>0</v>
      </c>
    </row>
    <row r="415" spans="1:39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>
        <f>IF(HR_Cleaned[[#This Row],[Age]]&lt;25,"18-24",IF(HR_Cleaned[[#This Row],[Age]]&lt;35,"25-34",IF(HR_Cleaned[[#This Row],[Age]]&lt;45,"35-44",IF(HR_Cleaned[[#This Row],[Age]]&lt;55,"45-54","55+"))))</f>
        <v>35-44</v>
      </c>
      <c r="AK41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15" t="str">
        <f>IF(HR_Cleaned[[#This Row],[MonthlyIncome]]&lt;3000,"Below 3000",IF(HR_Cleaned[[#This Row],[MonthlyIncome]]&lt;5000,"3000-4999",IF(HR_Cleaned[[#This Row],[MonthlyIncome]]&lt;8000,"5000-7999","8000+")))</f>
        <v>3000-4999</v>
      </c>
      <c r="AM415">
        <f>IF(HR_Cleaned[[#This Row],[Attrition]]="Yes",1,0)</f>
        <v>0</v>
      </c>
    </row>
    <row r="416" spans="1:39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>
        <f>IF(HR_Cleaned[[#This Row],[Age]]&lt;25,"18-24",IF(HR_Cleaned[[#This Row],[Age]]&lt;35,"25-34",IF(HR_Cleaned[[#This Row],[Age]]&lt;45,"35-44",IF(HR_Cleaned[[#This Row],[Age]]&lt;55,"45-54","55+"))))</f>
        <v>18-24</v>
      </c>
      <c r="AK41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16" t="str">
        <f>IF(HR_Cleaned[[#This Row],[MonthlyIncome]]&lt;3000,"Below 3000",IF(HR_Cleaned[[#This Row],[MonthlyIncome]]&lt;5000,"3000-4999",IF(HR_Cleaned[[#This Row],[MonthlyIncome]]&lt;8000,"5000-7999","8000+")))</f>
        <v>3000-4999</v>
      </c>
      <c r="AM416">
        <f>IF(HR_Cleaned[[#This Row],[Attrition]]="Yes",1,0)</f>
        <v>1</v>
      </c>
    </row>
    <row r="417" spans="1:39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>
        <f>IF(HR_Cleaned[[#This Row],[Age]]&lt;25,"18-24",IF(HR_Cleaned[[#This Row],[Age]]&lt;35,"25-34",IF(HR_Cleaned[[#This Row],[Age]]&lt;45,"35-44",IF(HR_Cleaned[[#This Row],[Age]]&lt;55,"45-54","55+"))))</f>
        <v>25-34</v>
      </c>
      <c r="AK41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17" t="str">
        <f>IF(HR_Cleaned[[#This Row],[MonthlyIncome]]&lt;3000,"Below 3000",IF(HR_Cleaned[[#This Row],[MonthlyIncome]]&lt;5000,"3000-4999",IF(HR_Cleaned[[#This Row],[MonthlyIncome]]&lt;8000,"5000-7999","8000+")))</f>
        <v>Below 3000</v>
      </c>
      <c r="AM417">
        <f>IF(HR_Cleaned[[#This Row],[Attrition]]="Yes",1,0)</f>
        <v>1</v>
      </c>
    </row>
    <row r="418" spans="1:39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>
        <f>IF(HR_Cleaned[[#This Row],[Age]]&lt;25,"18-24",IF(HR_Cleaned[[#This Row],[Age]]&lt;35,"25-34",IF(HR_Cleaned[[#This Row],[Age]]&lt;45,"35-44",IF(HR_Cleaned[[#This Row],[Age]]&lt;55,"45-54","55+"))))</f>
        <v>35-44</v>
      </c>
      <c r="AK41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18" t="str">
        <f>IF(HR_Cleaned[[#This Row],[MonthlyIncome]]&lt;3000,"Below 3000",IF(HR_Cleaned[[#This Row],[MonthlyIncome]]&lt;5000,"3000-4999",IF(HR_Cleaned[[#This Row],[MonthlyIncome]]&lt;8000,"5000-7999","8000+")))</f>
        <v>Below 3000</v>
      </c>
      <c r="AM418">
        <f>IF(HR_Cleaned[[#This Row],[Attrition]]="Yes",1,0)</f>
        <v>0</v>
      </c>
    </row>
    <row r="419" spans="1:39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>
        <f>IF(HR_Cleaned[[#This Row],[Age]]&lt;25,"18-24",IF(HR_Cleaned[[#This Row],[Age]]&lt;35,"25-34",IF(HR_Cleaned[[#This Row],[Age]]&lt;45,"35-44",IF(HR_Cleaned[[#This Row],[Age]]&lt;55,"45-54","55+"))))</f>
        <v>35-44</v>
      </c>
      <c r="AK41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419" t="str">
        <f>IF(HR_Cleaned[[#This Row],[MonthlyIncome]]&lt;3000,"Below 3000",IF(HR_Cleaned[[#This Row],[MonthlyIncome]]&lt;5000,"3000-4999",IF(HR_Cleaned[[#This Row],[MonthlyIncome]]&lt;8000,"5000-7999","8000+")))</f>
        <v>8000+</v>
      </c>
      <c r="AM419">
        <f>IF(HR_Cleaned[[#This Row],[Attrition]]="Yes",1,0)</f>
        <v>0</v>
      </c>
    </row>
    <row r="420" spans="1:39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>
        <f>IF(HR_Cleaned[[#This Row],[Age]]&lt;25,"18-24",IF(HR_Cleaned[[#This Row],[Age]]&lt;35,"25-34",IF(HR_Cleaned[[#This Row],[Age]]&lt;45,"35-44",IF(HR_Cleaned[[#This Row],[Age]]&lt;55,"45-54","55+"))))</f>
        <v>25-34</v>
      </c>
      <c r="AK42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20" t="str">
        <f>IF(HR_Cleaned[[#This Row],[MonthlyIncome]]&lt;3000,"Below 3000",IF(HR_Cleaned[[#This Row],[MonthlyIncome]]&lt;5000,"3000-4999",IF(HR_Cleaned[[#This Row],[MonthlyIncome]]&lt;8000,"5000-7999","8000+")))</f>
        <v>Below 3000</v>
      </c>
      <c r="AM420">
        <f>IF(HR_Cleaned[[#This Row],[Attrition]]="Yes",1,0)</f>
        <v>0</v>
      </c>
    </row>
    <row r="421" spans="1:39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>
        <f>IF(HR_Cleaned[[#This Row],[Age]]&lt;25,"18-24",IF(HR_Cleaned[[#This Row],[Age]]&lt;35,"25-34",IF(HR_Cleaned[[#This Row],[Age]]&lt;45,"35-44",IF(HR_Cleaned[[#This Row],[Age]]&lt;55,"45-54","55+"))))</f>
        <v>25-34</v>
      </c>
      <c r="AK42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21" t="str">
        <f>IF(HR_Cleaned[[#This Row],[MonthlyIncome]]&lt;3000,"Below 3000",IF(HR_Cleaned[[#This Row],[MonthlyIncome]]&lt;5000,"3000-4999",IF(HR_Cleaned[[#This Row],[MonthlyIncome]]&lt;8000,"5000-7999","8000+")))</f>
        <v>Below 3000</v>
      </c>
      <c r="AM421">
        <f>IF(HR_Cleaned[[#This Row],[Attrition]]="Yes",1,0)</f>
        <v>0</v>
      </c>
    </row>
    <row r="422" spans="1:39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>
        <f>IF(HR_Cleaned[[#This Row],[Age]]&lt;25,"18-24",IF(HR_Cleaned[[#This Row],[Age]]&lt;35,"25-34",IF(HR_Cleaned[[#This Row],[Age]]&lt;45,"35-44",IF(HR_Cleaned[[#This Row],[Age]]&lt;55,"45-54","55+"))))</f>
        <v>25-34</v>
      </c>
      <c r="AK42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22" t="str">
        <f>IF(HR_Cleaned[[#This Row],[MonthlyIncome]]&lt;3000,"Below 3000",IF(HR_Cleaned[[#This Row],[MonthlyIncome]]&lt;5000,"3000-4999",IF(HR_Cleaned[[#This Row],[MonthlyIncome]]&lt;8000,"5000-7999","8000+")))</f>
        <v>8000+</v>
      </c>
      <c r="AM422">
        <f>IF(HR_Cleaned[[#This Row],[Attrition]]="Yes",1,0)</f>
        <v>0</v>
      </c>
    </row>
    <row r="423" spans="1:39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>
        <f>IF(HR_Cleaned[[#This Row],[Age]]&lt;25,"18-24",IF(HR_Cleaned[[#This Row],[Age]]&lt;35,"25-34",IF(HR_Cleaned[[#This Row],[Age]]&lt;45,"35-44",IF(HR_Cleaned[[#This Row],[Age]]&lt;55,"45-54","55+"))))</f>
        <v>25-34</v>
      </c>
      <c r="AK42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23" t="str">
        <f>IF(HR_Cleaned[[#This Row],[MonthlyIncome]]&lt;3000,"Below 3000",IF(HR_Cleaned[[#This Row],[MonthlyIncome]]&lt;5000,"3000-4999",IF(HR_Cleaned[[#This Row],[MonthlyIncome]]&lt;8000,"5000-7999","8000+")))</f>
        <v>Below 3000</v>
      </c>
      <c r="AM423">
        <f>IF(HR_Cleaned[[#This Row],[Attrition]]="Yes",1,0)</f>
        <v>1</v>
      </c>
    </row>
    <row r="424" spans="1:39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>
        <f>IF(HR_Cleaned[[#This Row],[Age]]&lt;25,"18-24",IF(HR_Cleaned[[#This Row],[Age]]&lt;35,"25-34",IF(HR_Cleaned[[#This Row],[Age]]&lt;45,"35-44",IF(HR_Cleaned[[#This Row],[Age]]&lt;55,"45-54","55+"))))</f>
        <v>18-24</v>
      </c>
      <c r="AK42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24" t="str">
        <f>IF(HR_Cleaned[[#This Row],[MonthlyIncome]]&lt;3000,"Below 3000",IF(HR_Cleaned[[#This Row],[MonthlyIncome]]&lt;5000,"3000-4999",IF(HR_Cleaned[[#This Row],[MonthlyIncome]]&lt;8000,"5000-7999","8000+")))</f>
        <v>Below 3000</v>
      </c>
      <c r="AM424">
        <f>IF(HR_Cleaned[[#This Row],[Attrition]]="Yes",1,0)</f>
        <v>1</v>
      </c>
    </row>
    <row r="425" spans="1:39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>
        <f>IF(HR_Cleaned[[#This Row],[Age]]&lt;25,"18-24",IF(HR_Cleaned[[#This Row],[Age]]&lt;35,"25-34",IF(HR_Cleaned[[#This Row],[Age]]&lt;45,"35-44",IF(HR_Cleaned[[#This Row],[Age]]&lt;55,"45-54","55+"))))</f>
        <v>25-34</v>
      </c>
      <c r="AK42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25" t="str">
        <f>IF(HR_Cleaned[[#This Row],[MonthlyIncome]]&lt;3000,"Below 3000",IF(HR_Cleaned[[#This Row],[MonthlyIncome]]&lt;5000,"3000-4999",IF(HR_Cleaned[[#This Row],[MonthlyIncome]]&lt;8000,"5000-7999","8000+")))</f>
        <v>8000+</v>
      </c>
      <c r="AM425">
        <f>IF(HR_Cleaned[[#This Row],[Attrition]]="Yes",1,0)</f>
        <v>0</v>
      </c>
    </row>
    <row r="426" spans="1:39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>
        <f>IF(HR_Cleaned[[#This Row],[Age]]&lt;25,"18-24",IF(HR_Cleaned[[#This Row],[Age]]&lt;35,"25-34",IF(HR_Cleaned[[#This Row],[Age]]&lt;45,"35-44",IF(HR_Cleaned[[#This Row],[Age]]&lt;55,"45-54","55+"))))</f>
        <v>55+</v>
      </c>
      <c r="AK42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26" t="str">
        <f>IF(HR_Cleaned[[#This Row],[MonthlyIncome]]&lt;3000,"Below 3000",IF(HR_Cleaned[[#This Row],[MonthlyIncome]]&lt;5000,"3000-4999",IF(HR_Cleaned[[#This Row],[MonthlyIncome]]&lt;8000,"5000-7999","8000+")))</f>
        <v>8000+</v>
      </c>
      <c r="AM426">
        <f>IF(HR_Cleaned[[#This Row],[Attrition]]="Yes",1,0)</f>
        <v>0</v>
      </c>
    </row>
    <row r="427" spans="1:39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>
        <f>IF(HR_Cleaned[[#This Row],[Age]]&lt;25,"18-24",IF(HR_Cleaned[[#This Row],[Age]]&lt;35,"25-34",IF(HR_Cleaned[[#This Row],[Age]]&lt;45,"35-44",IF(HR_Cleaned[[#This Row],[Age]]&lt;55,"45-54","55+"))))</f>
        <v>45-54</v>
      </c>
      <c r="AK42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427" t="str">
        <f>IF(HR_Cleaned[[#This Row],[MonthlyIncome]]&lt;3000,"Below 3000",IF(HR_Cleaned[[#This Row],[MonthlyIncome]]&lt;5000,"3000-4999",IF(HR_Cleaned[[#This Row],[MonthlyIncome]]&lt;8000,"5000-7999","8000+")))</f>
        <v>8000+</v>
      </c>
      <c r="AM427">
        <f>IF(HR_Cleaned[[#This Row],[Attrition]]="Yes",1,0)</f>
        <v>0</v>
      </c>
    </row>
    <row r="428" spans="1:39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>
        <f>IF(HR_Cleaned[[#This Row],[Age]]&lt;25,"18-24",IF(HR_Cleaned[[#This Row],[Age]]&lt;35,"25-34",IF(HR_Cleaned[[#This Row],[Age]]&lt;45,"35-44",IF(HR_Cleaned[[#This Row],[Age]]&lt;55,"45-54","55+"))))</f>
        <v>25-34</v>
      </c>
      <c r="AK42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428" t="str">
        <f>IF(HR_Cleaned[[#This Row],[MonthlyIncome]]&lt;3000,"Below 3000",IF(HR_Cleaned[[#This Row],[MonthlyIncome]]&lt;5000,"3000-4999",IF(HR_Cleaned[[#This Row],[MonthlyIncome]]&lt;8000,"5000-7999","8000+")))</f>
        <v>Below 3000</v>
      </c>
      <c r="AM428">
        <f>IF(HR_Cleaned[[#This Row],[Attrition]]="Yes",1,0)</f>
        <v>0</v>
      </c>
    </row>
    <row r="429" spans="1:39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>
        <f>IF(HR_Cleaned[[#This Row],[Age]]&lt;25,"18-24",IF(HR_Cleaned[[#This Row],[Age]]&lt;35,"25-34",IF(HR_Cleaned[[#This Row],[Age]]&lt;45,"35-44",IF(HR_Cleaned[[#This Row],[Age]]&lt;55,"45-54","55+"))))</f>
        <v>55+</v>
      </c>
      <c r="AK42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429" t="str">
        <f>IF(HR_Cleaned[[#This Row],[MonthlyIncome]]&lt;3000,"Below 3000",IF(HR_Cleaned[[#This Row],[MonthlyIncome]]&lt;5000,"3000-4999",IF(HR_Cleaned[[#This Row],[MonthlyIncome]]&lt;8000,"5000-7999","8000+")))</f>
        <v>8000+</v>
      </c>
      <c r="AM429">
        <f>IF(HR_Cleaned[[#This Row],[Attrition]]="Yes",1,0)</f>
        <v>0</v>
      </c>
    </row>
    <row r="430" spans="1:39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>
        <f>IF(HR_Cleaned[[#This Row],[Age]]&lt;25,"18-24",IF(HR_Cleaned[[#This Row],[Age]]&lt;35,"25-34",IF(HR_Cleaned[[#This Row],[Age]]&lt;45,"35-44",IF(HR_Cleaned[[#This Row],[Age]]&lt;55,"45-54","55+"))))</f>
        <v>45-54</v>
      </c>
      <c r="AK43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30" t="str">
        <f>IF(HR_Cleaned[[#This Row],[MonthlyIncome]]&lt;3000,"Below 3000",IF(HR_Cleaned[[#This Row],[MonthlyIncome]]&lt;5000,"3000-4999",IF(HR_Cleaned[[#This Row],[MonthlyIncome]]&lt;8000,"5000-7999","8000+")))</f>
        <v>5000-7999</v>
      </c>
      <c r="AM430">
        <f>IF(HR_Cleaned[[#This Row],[Attrition]]="Yes",1,0)</f>
        <v>0</v>
      </c>
    </row>
    <row r="431" spans="1:39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>
        <f>IF(HR_Cleaned[[#This Row],[Age]]&lt;25,"18-24",IF(HR_Cleaned[[#This Row],[Age]]&lt;35,"25-34",IF(HR_Cleaned[[#This Row],[Age]]&lt;45,"35-44",IF(HR_Cleaned[[#This Row],[Age]]&lt;55,"45-54","55+"))))</f>
        <v>45-54</v>
      </c>
      <c r="AK43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31" t="str">
        <f>IF(HR_Cleaned[[#This Row],[MonthlyIncome]]&lt;3000,"Below 3000",IF(HR_Cleaned[[#This Row],[MonthlyIncome]]&lt;5000,"3000-4999",IF(HR_Cleaned[[#This Row],[MonthlyIncome]]&lt;8000,"5000-7999","8000+")))</f>
        <v>8000+</v>
      </c>
      <c r="AM431">
        <f>IF(HR_Cleaned[[#This Row],[Attrition]]="Yes",1,0)</f>
        <v>0</v>
      </c>
    </row>
    <row r="432" spans="1:39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>
        <f>IF(HR_Cleaned[[#This Row],[Age]]&lt;25,"18-24",IF(HR_Cleaned[[#This Row],[Age]]&lt;35,"25-34",IF(HR_Cleaned[[#This Row],[Age]]&lt;45,"35-44",IF(HR_Cleaned[[#This Row],[Age]]&lt;55,"45-54","55+"))))</f>
        <v>35-44</v>
      </c>
      <c r="AK43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32" t="str">
        <f>IF(HR_Cleaned[[#This Row],[MonthlyIncome]]&lt;3000,"Below 3000",IF(HR_Cleaned[[#This Row],[MonthlyIncome]]&lt;5000,"3000-4999",IF(HR_Cleaned[[#This Row],[MonthlyIncome]]&lt;8000,"5000-7999","8000+")))</f>
        <v>3000-4999</v>
      </c>
      <c r="AM432">
        <f>IF(HR_Cleaned[[#This Row],[Attrition]]="Yes",1,0)</f>
        <v>0</v>
      </c>
    </row>
    <row r="433" spans="1:39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>
        <f>IF(HR_Cleaned[[#This Row],[Age]]&lt;25,"18-24",IF(HR_Cleaned[[#This Row],[Age]]&lt;35,"25-34",IF(HR_Cleaned[[#This Row],[Age]]&lt;45,"35-44",IF(HR_Cleaned[[#This Row],[Age]]&lt;55,"45-54","55+"))))</f>
        <v>45-54</v>
      </c>
      <c r="AK43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33" t="str">
        <f>IF(HR_Cleaned[[#This Row],[MonthlyIncome]]&lt;3000,"Below 3000",IF(HR_Cleaned[[#This Row],[MonthlyIncome]]&lt;5000,"3000-4999",IF(HR_Cleaned[[#This Row],[MonthlyIncome]]&lt;8000,"5000-7999","8000+")))</f>
        <v>3000-4999</v>
      </c>
      <c r="AM433">
        <f>IF(HR_Cleaned[[#This Row],[Attrition]]="Yes",1,0)</f>
        <v>0</v>
      </c>
    </row>
    <row r="434" spans="1:39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>
        <f>IF(HR_Cleaned[[#This Row],[Age]]&lt;25,"18-24",IF(HR_Cleaned[[#This Row],[Age]]&lt;35,"25-34",IF(HR_Cleaned[[#This Row],[Age]]&lt;45,"35-44",IF(HR_Cleaned[[#This Row],[Age]]&lt;55,"45-54","55+"))))</f>
        <v>25-34</v>
      </c>
      <c r="AK43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34" t="str">
        <f>IF(HR_Cleaned[[#This Row],[MonthlyIncome]]&lt;3000,"Below 3000",IF(HR_Cleaned[[#This Row],[MonthlyIncome]]&lt;5000,"3000-4999",IF(HR_Cleaned[[#This Row],[MonthlyIncome]]&lt;8000,"5000-7999","8000+")))</f>
        <v>Below 3000</v>
      </c>
      <c r="AM434">
        <f>IF(HR_Cleaned[[#This Row],[Attrition]]="Yes",1,0)</f>
        <v>0</v>
      </c>
    </row>
    <row r="435" spans="1:39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>
        <f>IF(HR_Cleaned[[#This Row],[Age]]&lt;25,"18-24",IF(HR_Cleaned[[#This Row],[Age]]&lt;35,"25-34",IF(HR_Cleaned[[#This Row],[Age]]&lt;45,"35-44",IF(HR_Cleaned[[#This Row],[Age]]&lt;55,"45-54","55+"))))</f>
        <v>45-54</v>
      </c>
      <c r="AK43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35" t="str">
        <f>IF(HR_Cleaned[[#This Row],[MonthlyIncome]]&lt;3000,"Below 3000",IF(HR_Cleaned[[#This Row],[MonthlyIncome]]&lt;5000,"3000-4999",IF(HR_Cleaned[[#This Row],[MonthlyIncome]]&lt;8000,"5000-7999","8000+")))</f>
        <v>8000+</v>
      </c>
      <c r="AM435">
        <f>IF(HR_Cleaned[[#This Row],[Attrition]]="Yes",1,0)</f>
        <v>0</v>
      </c>
    </row>
    <row r="436" spans="1:39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>
        <f>IF(HR_Cleaned[[#This Row],[Age]]&lt;25,"18-24",IF(HR_Cleaned[[#This Row],[Age]]&lt;35,"25-34",IF(HR_Cleaned[[#This Row],[Age]]&lt;45,"35-44",IF(HR_Cleaned[[#This Row],[Age]]&lt;55,"45-54","55+"))))</f>
        <v>25-34</v>
      </c>
      <c r="AK436" t="str">
        <f>IF(HR_Cleaned[[#This Row],[YearsAtCompany]]&lt;=2,"0-2 Years",IF(HR_Cleaned[[#This Row],[YearsAtCompany]]&lt;=5,"3-5 Years",IF(HR_Cleaned[[#This Row],[YearsAtCompany]]&lt;=10,"6-10 Years","11+ Years")))</f>
        <v>11+ Years</v>
      </c>
      <c r="AL436" t="str">
        <f>IF(HR_Cleaned[[#This Row],[MonthlyIncome]]&lt;3000,"Below 3000",IF(HR_Cleaned[[#This Row],[MonthlyIncome]]&lt;5000,"3000-4999",IF(HR_Cleaned[[#This Row],[MonthlyIncome]]&lt;8000,"5000-7999","8000+")))</f>
        <v>8000+</v>
      </c>
      <c r="AM436">
        <f>IF(HR_Cleaned[[#This Row],[Attrition]]="Yes",1,0)</f>
        <v>0</v>
      </c>
    </row>
    <row r="437" spans="1:39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>
        <f>IF(HR_Cleaned[[#This Row],[Age]]&lt;25,"18-24",IF(HR_Cleaned[[#This Row],[Age]]&lt;35,"25-34",IF(HR_Cleaned[[#This Row],[Age]]&lt;45,"35-44",IF(HR_Cleaned[[#This Row],[Age]]&lt;55,"45-54","55+"))))</f>
        <v>25-34</v>
      </c>
      <c r="AK43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37" t="str">
        <f>IF(HR_Cleaned[[#This Row],[MonthlyIncome]]&lt;3000,"Below 3000",IF(HR_Cleaned[[#This Row],[MonthlyIncome]]&lt;5000,"3000-4999",IF(HR_Cleaned[[#This Row],[MonthlyIncome]]&lt;8000,"5000-7999","8000+")))</f>
        <v>8000+</v>
      </c>
      <c r="AM437">
        <f>IF(HR_Cleaned[[#This Row],[Attrition]]="Yes",1,0)</f>
        <v>1</v>
      </c>
    </row>
    <row r="438" spans="1:39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>
        <f>IF(HR_Cleaned[[#This Row],[Age]]&lt;25,"18-24",IF(HR_Cleaned[[#This Row],[Age]]&lt;35,"25-34",IF(HR_Cleaned[[#This Row],[Age]]&lt;45,"35-44",IF(HR_Cleaned[[#This Row],[Age]]&lt;55,"45-54","55+"))))</f>
        <v>25-34</v>
      </c>
      <c r="AK43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38" t="str">
        <f>IF(HR_Cleaned[[#This Row],[MonthlyIncome]]&lt;3000,"Below 3000",IF(HR_Cleaned[[#This Row],[MonthlyIncome]]&lt;5000,"3000-4999",IF(HR_Cleaned[[#This Row],[MonthlyIncome]]&lt;8000,"5000-7999","8000+")))</f>
        <v>3000-4999</v>
      </c>
      <c r="AM438">
        <f>IF(HR_Cleaned[[#This Row],[Attrition]]="Yes",1,0)</f>
        <v>1</v>
      </c>
    </row>
    <row r="439" spans="1:39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>
        <f>IF(HR_Cleaned[[#This Row],[Age]]&lt;25,"18-24",IF(HR_Cleaned[[#This Row],[Age]]&lt;35,"25-34",IF(HR_Cleaned[[#This Row],[Age]]&lt;45,"35-44",IF(HR_Cleaned[[#This Row],[Age]]&lt;55,"45-54","55+"))))</f>
        <v>25-34</v>
      </c>
      <c r="AK43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39" t="str">
        <f>IF(HR_Cleaned[[#This Row],[MonthlyIncome]]&lt;3000,"Below 3000",IF(HR_Cleaned[[#This Row],[MonthlyIncome]]&lt;5000,"3000-4999",IF(HR_Cleaned[[#This Row],[MonthlyIncome]]&lt;8000,"5000-7999","8000+")))</f>
        <v>Below 3000</v>
      </c>
      <c r="AM439">
        <f>IF(HR_Cleaned[[#This Row],[Attrition]]="Yes",1,0)</f>
        <v>0</v>
      </c>
    </row>
    <row r="440" spans="1:39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>
        <f>IF(HR_Cleaned[[#This Row],[Age]]&lt;25,"18-24",IF(HR_Cleaned[[#This Row],[Age]]&lt;35,"25-34",IF(HR_Cleaned[[#This Row],[Age]]&lt;45,"35-44",IF(HR_Cleaned[[#This Row],[Age]]&lt;55,"45-54","55+"))))</f>
        <v>35-44</v>
      </c>
      <c r="AK44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40" t="str">
        <f>IF(HR_Cleaned[[#This Row],[MonthlyIncome]]&lt;3000,"Below 3000",IF(HR_Cleaned[[#This Row],[MonthlyIncome]]&lt;5000,"3000-4999",IF(HR_Cleaned[[#This Row],[MonthlyIncome]]&lt;8000,"5000-7999","8000+")))</f>
        <v>5000-7999</v>
      </c>
      <c r="AM440">
        <f>IF(HR_Cleaned[[#This Row],[Attrition]]="Yes",1,0)</f>
        <v>0</v>
      </c>
    </row>
    <row r="441" spans="1:39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>
        <f>IF(HR_Cleaned[[#This Row],[Age]]&lt;25,"18-24",IF(HR_Cleaned[[#This Row],[Age]]&lt;35,"25-34",IF(HR_Cleaned[[#This Row],[Age]]&lt;45,"35-44",IF(HR_Cleaned[[#This Row],[Age]]&lt;55,"45-54","55+"))))</f>
        <v>25-34</v>
      </c>
      <c r="AK44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41" t="str">
        <f>IF(HR_Cleaned[[#This Row],[MonthlyIncome]]&lt;3000,"Below 3000",IF(HR_Cleaned[[#This Row],[MonthlyIncome]]&lt;5000,"3000-4999",IF(HR_Cleaned[[#This Row],[MonthlyIncome]]&lt;8000,"5000-7999","8000+")))</f>
        <v>8000+</v>
      </c>
      <c r="AM441">
        <f>IF(HR_Cleaned[[#This Row],[Attrition]]="Yes",1,0)</f>
        <v>1</v>
      </c>
    </row>
    <row r="442" spans="1:39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>
        <f>IF(HR_Cleaned[[#This Row],[Age]]&lt;25,"18-24",IF(HR_Cleaned[[#This Row],[Age]]&lt;35,"25-34",IF(HR_Cleaned[[#This Row],[Age]]&lt;45,"35-44",IF(HR_Cleaned[[#This Row],[Age]]&lt;55,"45-54","55+"))))</f>
        <v>25-34</v>
      </c>
      <c r="AK44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42" t="str">
        <f>IF(HR_Cleaned[[#This Row],[MonthlyIncome]]&lt;3000,"Below 3000",IF(HR_Cleaned[[#This Row],[MonthlyIncome]]&lt;5000,"3000-4999",IF(HR_Cleaned[[#This Row],[MonthlyIncome]]&lt;8000,"5000-7999","8000+")))</f>
        <v>8000+</v>
      </c>
      <c r="AM442">
        <f>IF(HR_Cleaned[[#This Row],[Attrition]]="Yes",1,0)</f>
        <v>1</v>
      </c>
    </row>
    <row r="443" spans="1:39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>
        <f>IF(HR_Cleaned[[#This Row],[Age]]&lt;25,"18-24",IF(HR_Cleaned[[#This Row],[Age]]&lt;35,"25-34",IF(HR_Cleaned[[#This Row],[Age]]&lt;45,"35-44",IF(HR_Cleaned[[#This Row],[Age]]&lt;55,"45-54","55+"))))</f>
        <v>35-44</v>
      </c>
      <c r="AK44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43" t="str">
        <f>IF(HR_Cleaned[[#This Row],[MonthlyIncome]]&lt;3000,"Below 3000",IF(HR_Cleaned[[#This Row],[MonthlyIncome]]&lt;5000,"3000-4999",IF(HR_Cleaned[[#This Row],[MonthlyIncome]]&lt;8000,"5000-7999","8000+")))</f>
        <v>Below 3000</v>
      </c>
      <c r="AM443">
        <f>IF(HR_Cleaned[[#This Row],[Attrition]]="Yes",1,0)</f>
        <v>0</v>
      </c>
    </row>
    <row r="444" spans="1:39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>
        <f>IF(HR_Cleaned[[#This Row],[Age]]&lt;25,"18-24",IF(HR_Cleaned[[#This Row],[Age]]&lt;35,"25-34",IF(HR_Cleaned[[#This Row],[Age]]&lt;45,"35-44",IF(HR_Cleaned[[#This Row],[Age]]&lt;55,"45-54","55+"))))</f>
        <v>35-44</v>
      </c>
      <c r="AK44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44" t="str">
        <f>IF(HR_Cleaned[[#This Row],[MonthlyIncome]]&lt;3000,"Below 3000",IF(HR_Cleaned[[#This Row],[MonthlyIncome]]&lt;5000,"3000-4999",IF(HR_Cleaned[[#This Row],[MonthlyIncome]]&lt;8000,"5000-7999","8000+")))</f>
        <v>8000+</v>
      </c>
      <c r="AM444">
        <f>IF(HR_Cleaned[[#This Row],[Attrition]]="Yes",1,0)</f>
        <v>0</v>
      </c>
    </row>
    <row r="445" spans="1:39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>
        <f>IF(HR_Cleaned[[#This Row],[Age]]&lt;25,"18-24",IF(HR_Cleaned[[#This Row],[Age]]&lt;35,"25-34",IF(HR_Cleaned[[#This Row],[Age]]&lt;45,"35-44",IF(HR_Cleaned[[#This Row],[Age]]&lt;55,"45-54","55+"))))</f>
        <v>18-24</v>
      </c>
      <c r="AK445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45" t="str">
        <f>IF(HR_Cleaned[[#This Row],[MonthlyIncome]]&lt;3000,"Below 3000",IF(HR_Cleaned[[#This Row],[MonthlyIncome]]&lt;5000,"3000-4999",IF(HR_Cleaned[[#This Row],[MonthlyIncome]]&lt;8000,"5000-7999","8000+")))</f>
        <v>3000-4999</v>
      </c>
      <c r="AM445">
        <f>IF(HR_Cleaned[[#This Row],[Attrition]]="Yes",1,0)</f>
        <v>1</v>
      </c>
    </row>
    <row r="446" spans="1:39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>
        <f>IF(HR_Cleaned[[#This Row],[Age]]&lt;25,"18-24",IF(HR_Cleaned[[#This Row],[Age]]&lt;35,"25-34",IF(HR_Cleaned[[#This Row],[Age]]&lt;45,"35-44",IF(HR_Cleaned[[#This Row],[Age]]&lt;55,"45-54","55+"))))</f>
        <v>45-54</v>
      </c>
      <c r="AK44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46" t="str">
        <f>IF(HR_Cleaned[[#This Row],[MonthlyIncome]]&lt;3000,"Below 3000",IF(HR_Cleaned[[#This Row],[MonthlyIncome]]&lt;5000,"3000-4999",IF(HR_Cleaned[[#This Row],[MonthlyIncome]]&lt;8000,"5000-7999","8000+")))</f>
        <v>3000-4999</v>
      </c>
      <c r="AM446">
        <f>IF(HR_Cleaned[[#This Row],[Attrition]]="Yes",1,0)</f>
        <v>0</v>
      </c>
    </row>
    <row r="447" spans="1:39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>
        <f>IF(HR_Cleaned[[#This Row],[Age]]&lt;25,"18-24",IF(HR_Cleaned[[#This Row],[Age]]&lt;35,"25-34",IF(HR_Cleaned[[#This Row],[Age]]&lt;45,"35-44",IF(HR_Cleaned[[#This Row],[Age]]&lt;55,"45-54","55+"))))</f>
        <v>55+</v>
      </c>
      <c r="AK44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47" t="str">
        <f>IF(HR_Cleaned[[#This Row],[MonthlyIncome]]&lt;3000,"Below 3000",IF(HR_Cleaned[[#This Row],[MonthlyIncome]]&lt;5000,"3000-4999",IF(HR_Cleaned[[#This Row],[MonthlyIncome]]&lt;8000,"5000-7999","8000+")))</f>
        <v>8000+</v>
      </c>
      <c r="AM447">
        <f>IF(HR_Cleaned[[#This Row],[Attrition]]="Yes",1,0)</f>
        <v>0</v>
      </c>
    </row>
    <row r="448" spans="1:39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>
        <f>IF(HR_Cleaned[[#This Row],[Age]]&lt;25,"18-24",IF(HR_Cleaned[[#This Row],[Age]]&lt;35,"25-34",IF(HR_Cleaned[[#This Row],[Age]]&lt;45,"35-44",IF(HR_Cleaned[[#This Row],[Age]]&lt;55,"45-54","55+"))))</f>
        <v>35-44</v>
      </c>
      <c r="AK44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448" t="str">
        <f>IF(HR_Cleaned[[#This Row],[MonthlyIncome]]&lt;3000,"Below 3000",IF(HR_Cleaned[[#This Row],[MonthlyIncome]]&lt;5000,"3000-4999",IF(HR_Cleaned[[#This Row],[MonthlyIncome]]&lt;8000,"5000-7999","8000+")))</f>
        <v>5000-7999</v>
      </c>
      <c r="AM448">
        <f>IF(HR_Cleaned[[#This Row],[Attrition]]="Yes",1,0)</f>
        <v>0</v>
      </c>
    </row>
    <row r="449" spans="1:39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>
        <f>IF(HR_Cleaned[[#This Row],[Age]]&lt;25,"18-24",IF(HR_Cleaned[[#This Row],[Age]]&lt;35,"25-34",IF(HR_Cleaned[[#This Row],[Age]]&lt;45,"35-44",IF(HR_Cleaned[[#This Row],[Age]]&lt;55,"45-54","55+"))))</f>
        <v>35-44</v>
      </c>
      <c r="AK44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449" t="str">
        <f>IF(HR_Cleaned[[#This Row],[MonthlyIncome]]&lt;3000,"Below 3000",IF(HR_Cleaned[[#This Row],[MonthlyIncome]]&lt;5000,"3000-4999",IF(HR_Cleaned[[#This Row],[MonthlyIncome]]&lt;8000,"5000-7999","8000+")))</f>
        <v>3000-4999</v>
      </c>
      <c r="AM449">
        <f>IF(HR_Cleaned[[#This Row],[Attrition]]="Yes",1,0)</f>
        <v>0</v>
      </c>
    </row>
    <row r="450" spans="1:39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>
        <f>IF(HR_Cleaned[[#This Row],[Age]]&lt;25,"18-24",IF(HR_Cleaned[[#This Row],[Age]]&lt;35,"25-34",IF(HR_Cleaned[[#This Row],[Age]]&lt;45,"35-44",IF(HR_Cleaned[[#This Row],[Age]]&lt;55,"45-54","55+"))))</f>
        <v>35-44</v>
      </c>
      <c r="AK45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450" t="str">
        <f>IF(HR_Cleaned[[#This Row],[MonthlyIncome]]&lt;3000,"Below 3000",IF(HR_Cleaned[[#This Row],[MonthlyIncome]]&lt;5000,"3000-4999",IF(HR_Cleaned[[#This Row],[MonthlyIncome]]&lt;8000,"5000-7999","8000+")))</f>
        <v>8000+</v>
      </c>
      <c r="AM450">
        <f>IF(HR_Cleaned[[#This Row],[Attrition]]="Yes",1,0)</f>
        <v>0</v>
      </c>
    </row>
    <row r="451" spans="1:39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>
        <f>IF(HR_Cleaned[[#This Row],[Age]]&lt;25,"18-24",IF(HR_Cleaned[[#This Row],[Age]]&lt;35,"25-34",IF(HR_Cleaned[[#This Row],[Age]]&lt;45,"35-44",IF(HR_Cleaned[[#This Row],[Age]]&lt;55,"45-54","55+"))))</f>
        <v>35-44</v>
      </c>
      <c r="AK45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51" t="str">
        <f>IF(HR_Cleaned[[#This Row],[MonthlyIncome]]&lt;3000,"Below 3000",IF(HR_Cleaned[[#This Row],[MonthlyIncome]]&lt;5000,"3000-4999",IF(HR_Cleaned[[#This Row],[MonthlyIncome]]&lt;8000,"5000-7999","8000+")))</f>
        <v>3000-4999</v>
      </c>
      <c r="AM451">
        <f>IF(HR_Cleaned[[#This Row],[Attrition]]="Yes",1,0)</f>
        <v>0</v>
      </c>
    </row>
    <row r="452" spans="1:39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>
        <f>IF(HR_Cleaned[[#This Row],[Age]]&lt;25,"18-24",IF(HR_Cleaned[[#This Row],[Age]]&lt;35,"25-34",IF(HR_Cleaned[[#This Row],[Age]]&lt;45,"35-44",IF(HR_Cleaned[[#This Row],[Age]]&lt;55,"45-54","55+"))))</f>
        <v>25-34</v>
      </c>
      <c r="AK45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52" t="str">
        <f>IF(HR_Cleaned[[#This Row],[MonthlyIncome]]&lt;3000,"Below 3000",IF(HR_Cleaned[[#This Row],[MonthlyIncome]]&lt;5000,"3000-4999",IF(HR_Cleaned[[#This Row],[MonthlyIncome]]&lt;8000,"5000-7999","8000+")))</f>
        <v>5000-7999</v>
      </c>
      <c r="AM452">
        <f>IF(HR_Cleaned[[#This Row],[Attrition]]="Yes",1,0)</f>
        <v>0</v>
      </c>
    </row>
    <row r="453" spans="1:39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>
        <f>IF(HR_Cleaned[[#This Row],[Age]]&lt;25,"18-24",IF(HR_Cleaned[[#This Row],[Age]]&lt;35,"25-34",IF(HR_Cleaned[[#This Row],[Age]]&lt;45,"35-44",IF(HR_Cleaned[[#This Row],[Age]]&lt;55,"45-54","55+"))))</f>
        <v>35-44</v>
      </c>
      <c r="AK45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53" t="str">
        <f>IF(HR_Cleaned[[#This Row],[MonthlyIncome]]&lt;3000,"Below 3000",IF(HR_Cleaned[[#This Row],[MonthlyIncome]]&lt;5000,"3000-4999",IF(HR_Cleaned[[#This Row],[MonthlyIncome]]&lt;8000,"5000-7999","8000+")))</f>
        <v>5000-7999</v>
      </c>
      <c r="AM453">
        <f>IF(HR_Cleaned[[#This Row],[Attrition]]="Yes",1,0)</f>
        <v>0</v>
      </c>
    </row>
    <row r="454" spans="1:39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>
        <f>IF(HR_Cleaned[[#This Row],[Age]]&lt;25,"18-24",IF(HR_Cleaned[[#This Row],[Age]]&lt;35,"25-34",IF(HR_Cleaned[[#This Row],[Age]]&lt;45,"35-44",IF(HR_Cleaned[[#This Row],[Age]]&lt;55,"45-54","55+"))))</f>
        <v>45-54</v>
      </c>
      <c r="AK45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54" t="str">
        <f>IF(HR_Cleaned[[#This Row],[MonthlyIncome]]&lt;3000,"Below 3000",IF(HR_Cleaned[[#This Row],[MonthlyIncome]]&lt;5000,"3000-4999",IF(HR_Cleaned[[#This Row],[MonthlyIncome]]&lt;8000,"5000-7999","8000+")))</f>
        <v>3000-4999</v>
      </c>
      <c r="AM454">
        <f>IF(HR_Cleaned[[#This Row],[Attrition]]="Yes",1,0)</f>
        <v>0</v>
      </c>
    </row>
    <row r="455" spans="1:39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>
        <f>IF(HR_Cleaned[[#This Row],[Age]]&lt;25,"18-24",IF(HR_Cleaned[[#This Row],[Age]]&lt;35,"25-34",IF(HR_Cleaned[[#This Row],[Age]]&lt;45,"35-44",IF(HR_Cleaned[[#This Row],[Age]]&lt;55,"45-54","55+"))))</f>
        <v>25-34</v>
      </c>
      <c r="AK45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55" t="str">
        <f>IF(HR_Cleaned[[#This Row],[MonthlyIncome]]&lt;3000,"Below 3000",IF(HR_Cleaned[[#This Row],[MonthlyIncome]]&lt;5000,"3000-4999",IF(HR_Cleaned[[#This Row],[MonthlyIncome]]&lt;8000,"5000-7999","8000+")))</f>
        <v>Below 3000</v>
      </c>
      <c r="AM455">
        <f>IF(HR_Cleaned[[#This Row],[Attrition]]="Yes",1,0)</f>
        <v>1</v>
      </c>
    </row>
    <row r="456" spans="1:39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>
        <f>IF(HR_Cleaned[[#This Row],[Age]]&lt;25,"18-24",IF(HR_Cleaned[[#This Row],[Age]]&lt;35,"25-34",IF(HR_Cleaned[[#This Row],[Age]]&lt;45,"35-44",IF(HR_Cleaned[[#This Row],[Age]]&lt;55,"45-54","55+"))))</f>
        <v>25-34</v>
      </c>
      <c r="AK45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56" t="str">
        <f>IF(HR_Cleaned[[#This Row],[MonthlyIncome]]&lt;3000,"Below 3000",IF(HR_Cleaned[[#This Row],[MonthlyIncome]]&lt;5000,"3000-4999",IF(HR_Cleaned[[#This Row],[MonthlyIncome]]&lt;8000,"5000-7999","8000+")))</f>
        <v>3000-4999</v>
      </c>
      <c r="AM456">
        <f>IF(HR_Cleaned[[#This Row],[Attrition]]="Yes",1,0)</f>
        <v>0</v>
      </c>
    </row>
    <row r="457" spans="1:39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>
        <f>IF(HR_Cleaned[[#This Row],[Age]]&lt;25,"18-24",IF(HR_Cleaned[[#This Row],[Age]]&lt;35,"25-34",IF(HR_Cleaned[[#This Row],[Age]]&lt;45,"35-44",IF(HR_Cleaned[[#This Row],[Age]]&lt;55,"45-54","55+"))))</f>
        <v>25-34</v>
      </c>
      <c r="AK45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57" t="str">
        <f>IF(HR_Cleaned[[#This Row],[MonthlyIncome]]&lt;3000,"Below 3000",IF(HR_Cleaned[[#This Row],[MonthlyIncome]]&lt;5000,"3000-4999",IF(HR_Cleaned[[#This Row],[MonthlyIncome]]&lt;8000,"5000-7999","8000+")))</f>
        <v>8000+</v>
      </c>
      <c r="AM457">
        <f>IF(HR_Cleaned[[#This Row],[Attrition]]="Yes",1,0)</f>
        <v>0</v>
      </c>
    </row>
    <row r="458" spans="1:39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>
        <f>IF(HR_Cleaned[[#This Row],[Age]]&lt;25,"18-24",IF(HR_Cleaned[[#This Row],[Age]]&lt;35,"25-34",IF(HR_Cleaned[[#This Row],[Age]]&lt;45,"35-44",IF(HR_Cleaned[[#This Row],[Age]]&lt;55,"45-54","55+"))))</f>
        <v>25-34</v>
      </c>
      <c r="AK45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58" t="str">
        <f>IF(HR_Cleaned[[#This Row],[MonthlyIncome]]&lt;3000,"Below 3000",IF(HR_Cleaned[[#This Row],[MonthlyIncome]]&lt;5000,"3000-4999",IF(HR_Cleaned[[#This Row],[MonthlyIncome]]&lt;8000,"5000-7999","8000+")))</f>
        <v>8000+</v>
      </c>
      <c r="AM458">
        <f>IF(HR_Cleaned[[#This Row],[Attrition]]="Yes",1,0)</f>
        <v>0</v>
      </c>
    </row>
    <row r="459" spans="1:39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>
        <f>IF(HR_Cleaned[[#This Row],[Age]]&lt;25,"18-24",IF(HR_Cleaned[[#This Row],[Age]]&lt;35,"25-34",IF(HR_Cleaned[[#This Row],[Age]]&lt;45,"35-44",IF(HR_Cleaned[[#This Row],[Age]]&lt;55,"45-54","55+"))))</f>
        <v>18-24</v>
      </c>
      <c r="AK45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59" t="str">
        <f>IF(HR_Cleaned[[#This Row],[MonthlyIncome]]&lt;3000,"Below 3000",IF(HR_Cleaned[[#This Row],[MonthlyIncome]]&lt;5000,"3000-4999",IF(HR_Cleaned[[#This Row],[MonthlyIncome]]&lt;8000,"5000-7999","8000+")))</f>
        <v>Below 3000</v>
      </c>
      <c r="AM459">
        <f>IF(HR_Cleaned[[#This Row],[Attrition]]="Yes",1,0)</f>
        <v>1</v>
      </c>
    </row>
    <row r="460" spans="1:39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>
        <f>IF(HR_Cleaned[[#This Row],[Age]]&lt;25,"18-24",IF(HR_Cleaned[[#This Row],[Age]]&lt;35,"25-34",IF(HR_Cleaned[[#This Row],[Age]]&lt;45,"35-44",IF(HR_Cleaned[[#This Row],[Age]]&lt;55,"45-54","55+"))))</f>
        <v>35-44</v>
      </c>
      <c r="AK46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60" t="str">
        <f>IF(HR_Cleaned[[#This Row],[MonthlyIncome]]&lt;3000,"Below 3000",IF(HR_Cleaned[[#This Row],[MonthlyIncome]]&lt;5000,"3000-4999",IF(HR_Cleaned[[#This Row],[MonthlyIncome]]&lt;8000,"5000-7999","8000+")))</f>
        <v>8000+</v>
      </c>
      <c r="AM460">
        <f>IF(HR_Cleaned[[#This Row],[Attrition]]="Yes",1,0)</f>
        <v>0</v>
      </c>
    </row>
    <row r="461" spans="1:39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>
        <f>IF(HR_Cleaned[[#This Row],[Age]]&lt;25,"18-24",IF(HR_Cleaned[[#This Row],[Age]]&lt;35,"25-34",IF(HR_Cleaned[[#This Row],[Age]]&lt;45,"35-44",IF(HR_Cleaned[[#This Row],[Age]]&lt;55,"45-54","55+"))))</f>
        <v>35-44</v>
      </c>
      <c r="AK46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61" t="str">
        <f>IF(HR_Cleaned[[#This Row],[MonthlyIncome]]&lt;3000,"Below 3000",IF(HR_Cleaned[[#This Row],[MonthlyIncome]]&lt;5000,"3000-4999",IF(HR_Cleaned[[#This Row],[MonthlyIncome]]&lt;8000,"5000-7999","8000+")))</f>
        <v>5000-7999</v>
      </c>
      <c r="AM461">
        <f>IF(HR_Cleaned[[#This Row],[Attrition]]="Yes",1,0)</f>
        <v>0</v>
      </c>
    </row>
    <row r="462" spans="1:39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>
        <f>IF(HR_Cleaned[[#This Row],[Age]]&lt;25,"18-24",IF(HR_Cleaned[[#This Row],[Age]]&lt;35,"25-34",IF(HR_Cleaned[[#This Row],[Age]]&lt;45,"35-44",IF(HR_Cleaned[[#This Row],[Age]]&lt;55,"45-54","55+"))))</f>
        <v>25-34</v>
      </c>
      <c r="AK46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62" t="str">
        <f>IF(HR_Cleaned[[#This Row],[MonthlyIncome]]&lt;3000,"Below 3000",IF(HR_Cleaned[[#This Row],[MonthlyIncome]]&lt;5000,"3000-4999",IF(HR_Cleaned[[#This Row],[MonthlyIncome]]&lt;8000,"5000-7999","8000+")))</f>
        <v>3000-4999</v>
      </c>
      <c r="AM462">
        <f>IF(HR_Cleaned[[#This Row],[Attrition]]="Yes",1,0)</f>
        <v>0</v>
      </c>
    </row>
    <row r="463" spans="1:39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>
        <f>IF(HR_Cleaned[[#This Row],[Age]]&lt;25,"18-24",IF(HR_Cleaned[[#This Row],[Age]]&lt;35,"25-34",IF(HR_Cleaned[[#This Row],[Age]]&lt;45,"35-44",IF(HR_Cleaned[[#This Row],[Age]]&lt;55,"45-54","55+"))))</f>
        <v>35-44</v>
      </c>
      <c r="AK46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63" t="str">
        <f>IF(HR_Cleaned[[#This Row],[MonthlyIncome]]&lt;3000,"Below 3000",IF(HR_Cleaned[[#This Row],[MonthlyIncome]]&lt;5000,"3000-4999",IF(HR_Cleaned[[#This Row],[MonthlyIncome]]&lt;8000,"5000-7999","8000+")))</f>
        <v>3000-4999</v>
      </c>
      <c r="AM463">
        <f>IF(HR_Cleaned[[#This Row],[Attrition]]="Yes",1,0)</f>
        <v>0</v>
      </c>
    </row>
    <row r="464" spans="1:39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>
        <f>IF(HR_Cleaned[[#This Row],[Age]]&lt;25,"18-24",IF(HR_Cleaned[[#This Row],[Age]]&lt;35,"25-34",IF(HR_Cleaned[[#This Row],[Age]]&lt;45,"35-44",IF(HR_Cleaned[[#This Row],[Age]]&lt;55,"45-54","55+"))))</f>
        <v>25-34</v>
      </c>
      <c r="AK46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64" t="str">
        <f>IF(HR_Cleaned[[#This Row],[MonthlyIncome]]&lt;3000,"Below 3000",IF(HR_Cleaned[[#This Row],[MonthlyIncome]]&lt;5000,"3000-4999",IF(HR_Cleaned[[#This Row],[MonthlyIncome]]&lt;8000,"5000-7999","8000+")))</f>
        <v>5000-7999</v>
      </c>
      <c r="AM464">
        <f>IF(HR_Cleaned[[#This Row],[Attrition]]="Yes",1,0)</f>
        <v>0</v>
      </c>
    </row>
    <row r="465" spans="1:39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>
        <f>IF(HR_Cleaned[[#This Row],[Age]]&lt;25,"18-24",IF(HR_Cleaned[[#This Row],[Age]]&lt;35,"25-34",IF(HR_Cleaned[[#This Row],[Age]]&lt;45,"35-44",IF(HR_Cleaned[[#This Row],[Age]]&lt;55,"45-54","55+"))))</f>
        <v>25-34</v>
      </c>
      <c r="AK465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65" t="str">
        <f>IF(HR_Cleaned[[#This Row],[MonthlyIncome]]&lt;3000,"Below 3000",IF(HR_Cleaned[[#This Row],[MonthlyIncome]]&lt;5000,"3000-4999",IF(HR_Cleaned[[#This Row],[MonthlyIncome]]&lt;8000,"5000-7999","8000+")))</f>
        <v>Below 3000</v>
      </c>
      <c r="AM465">
        <f>IF(HR_Cleaned[[#This Row],[Attrition]]="Yes",1,0)</f>
        <v>1</v>
      </c>
    </row>
    <row r="466" spans="1:39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>
        <f>IF(HR_Cleaned[[#This Row],[Age]]&lt;25,"18-24",IF(HR_Cleaned[[#This Row],[Age]]&lt;35,"25-34",IF(HR_Cleaned[[#This Row],[Age]]&lt;45,"35-44",IF(HR_Cleaned[[#This Row],[Age]]&lt;55,"45-54","55+"))))</f>
        <v>35-44</v>
      </c>
      <c r="AK46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66" t="str">
        <f>IF(HR_Cleaned[[#This Row],[MonthlyIncome]]&lt;3000,"Below 3000",IF(HR_Cleaned[[#This Row],[MonthlyIncome]]&lt;5000,"3000-4999",IF(HR_Cleaned[[#This Row],[MonthlyIncome]]&lt;8000,"5000-7999","8000+")))</f>
        <v>5000-7999</v>
      </c>
      <c r="AM466">
        <f>IF(HR_Cleaned[[#This Row],[Attrition]]="Yes",1,0)</f>
        <v>0</v>
      </c>
    </row>
    <row r="467" spans="1:39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>
        <f>IF(HR_Cleaned[[#This Row],[Age]]&lt;25,"18-24",IF(HR_Cleaned[[#This Row],[Age]]&lt;35,"25-34",IF(HR_Cleaned[[#This Row],[Age]]&lt;45,"35-44",IF(HR_Cleaned[[#This Row],[Age]]&lt;55,"45-54","55+"))))</f>
        <v>45-54</v>
      </c>
      <c r="AK46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67" t="str">
        <f>IF(HR_Cleaned[[#This Row],[MonthlyIncome]]&lt;3000,"Below 3000",IF(HR_Cleaned[[#This Row],[MonthlyIncome]]&lt;5000,"3000-4999",IF(HR_Cleaned[[#This Row],[MonthlyIncome]]&lt;8000,"5000-7999","8000+")))</f>
        <v>8000+</v>
      </c>
      <c r="AM467">
        <f>IF(HR_Cleaned[[#This Row],[Attrition]]="Yes",1,0)</f>
        <v>0</v>
      </c>
    </row>
    <row r="468" spans="1:39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>
        <f>IF(HR_Cleaned[[#This Row],[Age]]&lt;25,"18-24",IF(HR_Cleaned[[#This Row],[Age]]&lt;35,"25-34",IF(HR_Cleaned[[#This Row],[Age]]&lt;45,"35-44",IF(HR_Cleaned[[#This Row],[Age]]&lt;55,"45-54","55+"))))</f>
        <v>35-44</v>
      </c>
      <c r="AK46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468" t="str">
        <f>IF(HR_Cleaned[[#This Row],[MonthlyIncome]]&lt;3000,"Below 3000",IF(HR_Cleaned[[#This Row],[MonthlyIncome]]&lt;5000,"3000-4999",IF(HR_Cleaned[[#This Row],[MonthlyIncome]]&lt;8000,"5000-7999","8000+")))</f>
        <v>8000+</v>
      </c>
      <c r="AM468">
        <f>IF(HR_Cleaned[[#This Row],[Attrition]]="Yes",1,0)</f>
        <v>0</v>
      </c>
    </row>
    <row r="469" spans="1:39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>
        <f>IF(HR_Cleaned[[#This Row],[Age]]&lt;25,"18-24",IF(HR_Cleaned[[#This Row],[Age]]&lt;35,"25-34",IF(HR_Cleaned[[#This Row],[Age]]&lt;45,"35-44",IF(HR_Cleaned[[#This Row],[Age]]&lt;55,"45-54","55+"))))</f>
        <v>35-44</v>
      </c>
      <c r="AK46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69" t="str">
        <f>IF(HR_Cleaned[[#This Row],[MonthlyIncome]]&lt;3000,"Below 3000",IF(HR_Cleaned[[#This Row],[MonthlyIncome]]&lt;5000,"3000-4999",IF(HR_Cleaned[[#This Row],[MonthlyIncome]]&lt;8000,"5000-7999","8000+")))</f>
        <v>8000+</v>
      </c>
      <c r="AM469">
        <f>IF(HR_Cleaned[[#This Row],[Attrition]]="Yes",1,0)</f>
        <v>0</v>
      </c>
    </row>
    <row r="470" spans="1:39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>
        <f>IF(HR_Cleaned[[#This Row],[Age]]&lt;25,"18-24",IF(HR_Cleaned[[#This Row],[Age]]&lt;35,"25-34",IF(HR_Cleaned[[#This Row],[Age]]&lt;45,"35-44",IF(HR_Cleaned[[#This Row],[Age]]&lt;55,"45-54","55+"))))</f>
        <v>45-54</v>
      </c>
      <c r="AK47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70" t="str">
        <f>IF(HR_Cleaned[[#This Row],[MonthlyIncome]]&lt;3000,"Below 3000",IF(HR_Cleaned[[#This Row],[MonthlyIncome]]&lt;5000,"3000-4999",IF(HR_Cleaned[[#This Row],[MonthlyIncome]]&lt;8000,"5000-7999","8000+")))</f>
        <v>5000-7999</v>
      </c>
      <c r="AM470">
        <f>IF(HR_Cleaned[[#This Row],[Attrition]]="Yes",1,0)</f>
        <v>0</v>
      </c>
    </row>
    <row r="471" spans="1:39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>
        <f>IF(HR_Cleaned[[#This Row],[Age]]&lt;25,"18-24",IF(HR_Cleaned[[#This Row],[Age]]&lt;35,"25-34",IF(HR_Cleaned[[#This Row],[Age]]&lt;45,"35-44",IF(HR_Cleaned[[#This Row],[Age]]&lt;55,"45-54","55+"))))</f>
        <v>25-34</v>
      </c>
      <c r="AK47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71" t="str">
        <f>IF(HR_Cleaned[[#This Row],[MonthlyIncome]]&lt;3000,"Below 3000",IF(HR_Cleaned[[#This Row],[MonthlyIncome]]&lt;5000,"3000-4999",IF(HR_Cleaned[[#This Row],[MonthlyIncome]]&lt;8000,"5000-7999","8000+")))</f>
        <v>3000-4999</v>
      </c>
      <c r="AM471">
        <f>IF(HR_Cleaned[[#This Row],[Attrition]]="Yes",1,0)</f>
        <v>1</v>
      </c>
    </row>
    <row r="472" spans="1:39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>
        <f>IF(HR_Cleaned[[#This Row],[Age]]&lt;25,"18-24",IF(HR_Cleaned[[#This Row],[Age]]&lt;35,"25-34",IF(HR_Cleaned[[#This Row],[Age]]&lt;45,"35-44",IF(HR_Cleaned[[#This Row],[Age]]&lt;55,"45-54","55+"))))</f>
        <v>18-24</v>
      </c>
      <c r="AK47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72" t="str">
        <f>IF(HR_Cleaned[[#This Row],[MonthlyIncome]]&lt;3000,"Below 3000",IF(HR_Cleaned[[#This Row],[MonthlyIncome]]&lt;5000,"3000-4999",IF(HR_Cleaned[[#This Row],[MonthlyIncome]]&lt;8000,"5000-7999","8000+")))</f>
        <v>Below 3000</v>
      </c>
      <c r="AM472">
        <f>IF(HR_Cleaned[[#This Row],[Attrition]]="Yes",1,0)</f>
        <v>0</v>
      </c>
    </row>
    <row r="473" spans="1:39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>
        <f>IF(HR_Cleaned[[#This Row],[Age]]&lt;25,"18-24",IF(HR_Cleaned[[#This Row],[Age]]&lt;35,"25-34",IF(HR_Cleaned[[#This Row],[Age]]&lt;45,"35-44",IF(HR_Cleaned[[#This Row],[Age]]&lt;55,"45-54","55+"))))</f>
        <v>35-44</v>
      </c>
      <c r="AK47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73" t="str">
        <f>IF(HR_Cleaned[[#This Row],[MonthlyIncome]]&lt;3000,"Below 3000",IF(HR_Cleaned[[#This Row],[MonthlyIncome]]&lt;5000,"3000-4999",IF(HR_Cleaned[[#This Row],[MonthlyIncome]]&lt;8000,"5000-7999","8000+")))</f>
        <v>8000+</v>
      </c>
      <c r="AM473">
        <f>IF(HR_Cleaned[[#This Row],[Attrition]]="Yes",1,0)</f>
        <v>0</v>
      </c>
    </row>
    <row r="474" spans="1:39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>
        <f>IF(HR_Cleaned[[#This Row],[Age]]&lt;25,"18-24",IF(HR_Cleaned[[#This Row],[Age]]&lt;35,"25-34",IF(HR_Cleaned[[#This Row],[Age]]&lt;45,"35-44",IF(HR_Cleaned[[#This Row],[Age]]&lt;55,"45-54","55+"))))</f>
        <v>35-44</v>
      </c>
      <c r="AK47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74" t="str">
        <f>IF(HR_Cleaned[[#This Row],[MonthlyIncome]]&lt;3000,"Below 3000",IF(HR_Cleaned[[#This Row],[MonthlyIncome]]&lt;5000,"3000-4999",IF(HR_Cleaned[[#This Row],[MonthlyIncome]]&lt;8000,"5000-7999","8000+")))</f>
        <v>5000-7999</v>
      </c>
      <c r="AM474">
        <f>IF(HR_Cleaned[[#This Row],[Attrition]]="Yes",1,0)</f>
        <v>0</v>
      </c>
    </row>
    <row r="475" spans="1:39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>
        <f>IF(HR_Cleaned[[#This Row],[Age]]&lt;25,"18-24",IF(HR_Cleaned[[#This Row],[Age]]&lt;35,"25-34",IF(HR_Cleaned[[#This Row],[Age]]&lt;45,"35-44",IF(HR_Cleaned[[#This Row],[Age]]&lt;55,"45-54","55+"))))</f>
        <v>45-54</v>
      </c>
      <c r="AK47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475" t="str">
        <f>IF(HR_Cleaned[[#This Row],[MonthlyIncome]]&lt;3000,"Below 3000",IF(HR_Cleaned[[#This Row],[MonthlyIncome]]&lt;5000,"3000-4999",IF(HR_Cleaned[[#This Row],[MonthlyIncome]]&lt;8000,"5000-7999","8000+")))</f>
        <v>8000+</v>
      </c>
      <c r="AM475">
        <f>IF(HR_Cleaned[[#This Row],[Attrition]]="Yes",1,0)</f>
        <v>0</v>
      </c>
    </row>
    <row r="476" spans="1:39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>
        <f>IF(HR_Cleaned[[#This Row],[Age]]&lt;25,"18-24",IF(HR_Cleaned[[#This Row],[Age]]&lt;35,"25-34",IF(HR_Cleaned[[#This Row],[Age]]&lt;45,"35-44",IF(HR_Cleaned[[#This Row],[Age]]&lt;55,"45-54","55+"))))</f>
        <v>18-24</v>
      </c>
      <c r="AK47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76" t="str">
        <f>IF(HR_Cleaned[[#This Row],[MonthlyIncome]]&lt;3000,"Below 3000",IF(HR_Cleaned[[#This Row],[MonthlyIncome]]&lt;5000,"3000-4999",IF(HR_Cleaned[[#This Row],[MonthlyIncome]]&lt;8000,"5000-7999","8000+")))</f>
        <v>Below 3000</v>
      </c>
      <c r="AM476">
        <f>IF(HR_Cleaned[[#This Row],[Attrition]]="Yes",1,0)</f>
        <v>0</v>
      </c>
    </row>
    <row r="477" spans="1:39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>
        <f>IF(HR_Cleaned[[#This Row],[Age]]&lt;25,"18-24",IF(HR_Cleaned[[#This Row],[Age]]&lt;35,"25-34",IF(HR_Cleaned[[#This Row],[Age]]&lt;45,"35-44",IF(HR_Cleaned[[#This Row],[Age]]&lt;55,"45-54","55+"))))</f>
        <v>25-34</v>
      </c>
      <c r="AK47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77" t="str">
        <f>IF(HR_Cleaned[[#This Row],[MonthlyIncome]]&lt;3000,"Below 3000",IF(HR_Cleaned[[#This Row],[MonthlyIncome]]&lt;5000,"3000-4999",IF(HR_Cleaned[[#This Row],[MonthlyIncome]]&lt;8000,"5000-7999","8000+")))</f>
        <v>5000-7999</v>
      </c>
      <c r="AM477">
        <f>IF(HR_Cleaned[[#This Row],[Attrition]]="Yes",1,0)</f>
        <v>0</v>
      </c>
    </row>
    <row r="478" spans="1:39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>
        <f>IF(HR_Cleaned[[#This Row],[Age]]&lt;25,"18-24",IF(HR_Cleaned[[#This Row],[Age]]&lt;35,"25-34",IF(HR_Cleaned[[#This Row],[Age]]&lt;45,"35-44",IF(HR_Cleaned[[#This Row],[Age]]&lt;55,"45-54","55+"))))</f>
        <v>18-24</v>
      </c>
      <c r="AK47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78" t="str">
        <f>IF(HR_Cleaned[[#This Row],[MonthlyIncome]]&lt;3000,"Below 3000",IF(HR_Cleaned[[#This Row],[MonthlyIncome]]&lt;5000,"3000-4999",IF(HR_Cleaned[[#This Row],[MonthlyIncome]]&lt;8000,"5000-7999","8000+")))</f>
        <v>Below 3000</v>
      </c>
      <c r="AM478">
        <f>IF(HR_Cleaned[[#This Row],[Attrition]]="Yes",1,0)</f>
        <v>0</v>
      </c>
    </row>
    <row r="479" spans="1:39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>
        <f>IF(HR_Cleaned[[#This Row],[Age]]&lt;25,"18-24",IF(HR_Cleaned[[#This Row],[Age]]&lt;35,"25-34",IF(HR_Cleaned[[#This Row],[Age]]&lt;45,"35-44",IF(HR_Cleaned[[#This Row],[Age]]&lt;55,"45-54","55+"))))</f>
        <v>45-54</v>
      </c>
      <c r="AK47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479" t="str">
        <f>IF(HR_Cleaned[[#This Row],[MonthlyIncome]]&lt;3000,"Below 3000",IF(HR_Cleaned[[#This Row],[MonthlyIncome]]&lt;5000,"3000-4999",IF(HR_Cleaned[[#This Row],[MonthlyIncome]]&lt;8000,"5000-7999","8000+")))</f>
        <v>8000+</v>
      </c>
      <c r="AM479">
        <f>IF(HR_Cleaned[[#This Row],[Attrition]]="Yes",1,0)</f>
        <v>0</v>
      </c>
    </row>
    <row r="480" spans="1:39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>
        <f>IF(HR_Cleaned[[#This Row],[Age]]&lt;25,"18-24",IF(HR_Cleaned[[#This Row],[Age]]&lt;35,"25-34",IF(HR_Cleaned[[#This Row],[Age]]&lt;45,"35-44",IF(HR_Cleaned[[#This Row],[Age]]&lt;55,"45-54","55+"))))</f>
        <v>25-34</v>
      </c>
      <c r="AK48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80" t="str">
        <f>IF(HR_Cleaned[[#This Row],[MonthlyIncome]]&lt;3000,"Below 3000",IF(HR_Cleaned[[#This Row],[MonthlyIncome]]&lt;5000,"3000-4999",IF(HR_Cleaned[[#This Row],[MonthlyIncome]]&lt;8000,"5000-7999","8000+")))</f>
        <v>Below 3000</v>
      </c>
      <c r="AM480">
        <f>IF(HR_Cleaned[[#This Row],[Attrition]]="Yes",1,0)</f>
        <v>0</v>
      </c>
    </row>
    <row r="481" spans="1:39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>
        <f>IF(HR_Cleaned[[#This Row],[Age]]&lt;25,"18-24",IF(HR_Cleaned[[#This Row],[Age]]&lt;35,"25-34",IF(HR_Cleaned[[#This Row],[Age]]&lt;45,"35-44",IF(HR_Cleaned[[#This Row],[Age]]&lt;55,"45-54","55+"))))</f>
        <v>18-24</v>
      </c>
      <c r="AK48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81" t="str">
        <f>IF(HR_Cleaned[[#This Row],[MonthlyIncome]]&lt;3000,"Below 3000",IF(HR_Cleaned[[#This Row],[MonthlyIncome]]&lt;5000,"3000-4999",IF(HR_Cleaned[[#This Row],[MonthlyIncome]]&lt;8000,"5000-7999","8000+")))</f>
        <v>Below 3000</v>
      </c>
      <c r="AM481">
        <f>IF(HR_Cleaned[[#This Row],[Attrition]]="Yes",1,0)</f>
        <v>1</v>
      </c>
    </row>
    <row r="482" spans="1:39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>
        <f>IF(HR_Cleaned[[#This Row],[Age]]&lt;25,"18-24",IF(HR_Cleaned[[#This Row],[Age]]&lt;35,"25-34",IF(HR_Cleaned[[#This Row],[Age]]&lt;45,"35-44",IF(HR_Cleaned[[#This Row],[Age]]&lt;55,"45-54","55+"))))</f>
        <v>25-34</v>
      </c>
      <c r="AK48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82" t="str">
        <f>IF(HR_Cleaned[[#This Row],[MonthlyIncome]]&lt;3000,"Below 3000",IF(HR_Cleaned[[#This Row],[MonthlyIncome]]&lt;5000,"3000-4999",IF(HR_Cleaned[[#This Row],[MonthlyIncome]]&lt;8000,"5000-7999","8000+")))</f>
        <v>Below 3000</v>
      </c>
      <c r="AM482">
        <f>IF(HR_Cleaned[[#This Row],[Attrition]]="Yes",1,0)</f>
        <v>1</v>
      </c>
    </row>
    <row r="483" spans="1:39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>
        <f>IF(HR_Cleaned[[#This Row],[Age]]&lt;25,"18-24",IF(HR_Cleaned[[#This Row],[Age]]&lt;35,"25-34",IF(HR_Cleaned[[#This Row],[Age]]&lt;45,"35-44",IF(HR_Cleaned[[#This Row],[Age]]&lt;55,"45-54","55+"))))</f>
        <v>25-34</v>
      </c>
      <c r="AK48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83" t="str">
        <f>IF(HR_Cleaned[[#This Row],[MonthlyIncome]]&lt;3000,"Below 3000",IF(HR_Cleaned[[#This Row],[MonthlyIncome]]&lt;5000,"3000-4999",IF(HR_Cleaned[[#This Row],[MonthlyIncome]]&lt;8000,"5000-7999","8000+")))</f>
        <v>3000-4999</v>
      </c>
      <c r="AM483">
        <f>IF(HR_Cleaned[[#This Row],[Attrition]]="Yes",1,0)</f>
        <v>0</v>
      </c>
    </row>
    <row r="484" spans="1:39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>
        <f>IF(HR_Cleaned[[#This Row],[Age]]&lt;25,"18-24",IF(HR_Cleaned[[#This Row],[Age]]&lt;35,"25-34",IF(HR_Cleaned[[#This Row],[Age]]&lt;45,"35-44",IF(HR_Cleaned[[#This Row],[Age]]&lt;55,"45-54","55+"))))</f>
        <v>25-34</v>
      </c>
      <c r="AK48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84" t="str">
        <f>IF(HR_Cleaned[[#This Row],[MonthlyIncome]]&lt;3000,"Below 3000",IF(HR_Cleaned[[#This Row],[MonthlyIncome]]&lt;5000,"3000-4999",IF(HR_Cleaned[[#This Row],[MonthlyIncome]]&lt;8000,"5000-7999","8000+")))</f>
        <v>3000-4999</v>
      </c>
      <c r="AM484">
        <f>IF(HR_Cleaned[[#This Row],[Attrition]]="Yes",1,0)</f>
        <v>1</v>
      </c>
    </row>
    <row r="485" spans="1:39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>
        <f>IF(HR_Cleaned[[#This Row],[Age]]&lt;25,"18-24",IF(HR_Cleaned[[#This Row],[Age]]&lt;35,"25-34",IF(HR_Cleaned[[#This Row],[Age]]&lt;45,"35-44",IF(HR_Cleaned[[#This Row],[Age]]&lt;55,"45-54","55+"))))</f>
        <v>35-44</v>
      </c>
      <c r="AK48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85" t="str">
        <f>IF(HR_Cleaned[[#This Row],[MonthlyIncome]]&lt;3000,"Below 3000",IF(HR_Cleaned[[#This Row],[MonthlyIncome]]&lt;5000,"3000-4999",IF(HR_Cleaned[[#This Row],[MonthlyIncome]]&lt;8000,"5000-7999","8000+")))</f>
        <v>3000-4999</v>
      </c>
      <c r="AM485">
        <f>IF(HR_Cleaned[[#This Row],[Attrition]]="Yes",1,0)</f>
        <v>0</v>
      </c>
    </row>
    <row r="486" spans="1:39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>
        <f>IF(HR_Cleaned[[#This Row],[Age]]&lt;25,"18-24",IF(HR_Cleaned[[#This Row],[Age]]&lt;35,"25-34",IF(HR_Cleaned[[#This Row],[Age]]&lt;45,"35-44",IF(HR_Cleaned[[#This Row],[Age]]&lt;55,"45-54","55+"))))</f>
        <v>25-34</v>
      </c>
      <c r="AK48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86" t="str">
        <f>IF(HR_Cleaned[[#This Row],[MonthlyIncome]]&lt;3000,"Below 3000",IF(HR_Cleaned[[#This Row],[MonthlyIncome]]&lt;5000,"3000-4999",IF(HR_Cleaned[[#This Row],[MonthlyIncome]]&lt;8000,"5000-7999","8000+")))</f>
        <v>5000-7999</v>
      </c>
      <c r="AM486">
        <f>IF(HR_Cleaned[[#This Row],[Attrition]]="Yes",1,0)</f>
        <v>0</v>
      </c>
    </row>
    <row r="487" spans="1:39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>
        <f>IF(HR_Cleaned[[#This Row],[Age]]&lt;25,"18-24",IF(HR_Cleaned[[#This Row],[Age]]&lt;35,"25-34",IF(HR_Cleaned[[#This Row],[Age]]&lt;45,"35-44",IF(HR_Cleaned[[#This Row],[Age]]&lt;55,"45-54","55+"))))</f>
        <v>25-34</v>
      </c>
      <c r="AK48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87" t="str">
        <f>IF(HR_Cleaned[[#This Row],[MonthlyIncome]]&lt;3000,"Below 3000",IF(HR_Cleaned[[#This Row],[MonthlyIncome]]&lt;5000,"3000-4999",IF(HR_Cleaned[[#This Row],[MonthlyIncome]]&lt;8000,"5000-7999","8000+")))</f>
        <v>Below 3000</v>
      </c>
      <c r="AM487">
        <f>IF(HR_Cleaned[[#This Row],[Attrition]]="Yes",1,0)</f>
        <v>0</v>
      </c>
    </row>
    <row r="488" spans="1:39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>
        <f>IF(HR_Cleaned[[#This Row],[Age]]&lt;25,"18-24",IF(HR_Cleaned[[#This Row],[Age]]&lt;35,"25-34",IF(HR_Cleaned[[#This Row],[Age]]&lt;45,"35-44",IF(HR_Cleaned[[#This Row],[Age]]&lt;55,"45-54","55+"))))</f>
        <v>35-44</v>
      </c>
      <c r="AK48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88" t="str">
        <f>IF(HR_Cleaned[[#This Row],[MonthlyIncome]]&lt;3000,"Below 3000",IF(HR_Cleaned[[#This Row],[MonthlyIncome]]&lt;5000,"3000-4999",IF(HR_Cleaned[[#This Row],[MonthlyIncome]]&lt;8000,"5000-7999","8000+")))</f>
        <v>8000+</v>
      </c>
      <c r="AM488">
        <f>IF(HR_Cleaned[[#This Row],[Attrition]]="Yes",1,0)</f>
        <v>0</v>
      </c>
    </row>
    <row r="489" spans="1:39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>
        <f>IF(HR_Cleaned[[#This Row],[Age]]&lt;25,"18-24",IF(HR_Cleaned[[#This Row],[Age]]&lt;35,"25-34",IF(HR_Cleaned[[#This Row],[Age]]&lt;45,"35-44",IF(HR_Cleaned[[#This Row],[Age]]&lt;55,"45-54","55+"))))</f>
        <v>18-24</v>
      </c>
      <c r="AK48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89" t="str">
        <f>IF(HR_Cleaned[[#This Row],[MonthlyIncome]]&lt;3000,"Below 3000",IF(HR_Cleaned[[#This Row],[MonthlyIncome]]&lt;5000,"3000-4999",IF(HR_Cleaned[[#This Row],[MonthlyIncome]]&lt;8000,"5000-7999","8000+")))</f>
        <v>Below 3000</v>
      </c>
      <c r="AM489">
        <f>IF(HR_Cleaned[[#This Row],[Attrition]]="Yes",1,0)</f>
        <v>0</v>
      </c>
    </row>
    <row r="490" spans="1:39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>
        <f>IF(HR_Cleaned[[#This Row],[Age]]&lt;25,"18-24",IF(HR_Cleaned[[#This Row],[Age]]&lt;35,"25-34",IF(HR_Cleaned[[#This Row],[Age]]&lt;45,"35-44",IF(HR_Cleaned[[#This Row],[Age]]&lt;55,"45-54","55+"))))</f>
        <v>35-44</v>
      </c>
      <c r="AK49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90" t="str">
        <f>IF(HR_Cleaned[[#This Row],[MonthlyIncome]]&lt;3000,"Below 3000",IF(HR_Cleaned[[#This Row],[MonthlyIncome]]&lt;5000,"3000-4999",IF(HR_Cleaned[[#This Row],[MonthlyIncome]]&lt;8000,"5000-7999","8000+")))</f>
        <v>3000-4999</v>
      </c>
      <c r="AM490">
        <f>IF(HR_Cleaned[[#This Row],[Attrition]]="Yes",1,0)</f>
        <v>0</v>
      </c>
    </row>
    <row r="491" spans="1:39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>
        <f>IF(HR_Cleaned[[#This Row],[Age]]&lt;25,"18-24",IF(HR_Cleaned[[#This Row],[Age]]&lt;35,"25-34",IF(HR_Cleaned[[#This Row],[Age]]&lt;45,"35-44",IF(HR_Cleaned[[#This Row],[Age]]&lt;55,"45-54","55+"))))</f>
        <v>35-44</v>
      </c>
      <c r="AK49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91" t="str">
        <f>IF(HR_Cleaned[[#This Row],[MonthlyIncome]]&lt;3000,"Below 3000",IF(HR_Cleaned[[#This Row],[MonthlyIncome]]&lt;5000,"3000-4999",IF(HR_Cleaned[[#This Row],[MonthlyIncome]]&lt;8000,"5000-7999","8000+")))</f>
        <v>8000+</v>
      </c>
      <c r="AM491">
        <f>IF(HR_Cleaned[[#This Row],[Attrition]]="Yes",1,0)</f>
        <v>0</v>
      </c>
    </row>
    <row r="492" spans="1:39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>
        <f>IF(HR_Cleaned[[#This Row],[Age]]&lt;25,"18-24",IF(HR_Cleaned[[#This Row],[Age]]&lt;35,"25-34",IF(HR_Cleaned[[#This Row],[Age]]&lt;45,"35-44",IF(HR_Cleaned[[#This Row],[Age]]&lt;55,"45-54","55+"))))</f>
        <v>35-44</v>
      </c>
      <c r="AK49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92" t="str">
        <f>IF(HR_Cleaned[[#This Row],[MonthlyIncome]]&lt;3000,"Below 3000",IF(HR_Cleaned[[#This Row],[MonthlyIncome]]&lt;5000,"3000-4999",IF(HR_Cleaned[[#This Row],[MonthlyIncome]]&lt;8000,"5000-7999","8000+")))</f>
        <v>Below 3000</v>
      </c>
      <c r="AM492">
        <f>IF(HR_Cleaned[[#This Row],[Attrition]]="Yes",1,0)</f>
        <v>0</v>
      </c>
    </row>
    <row r="493" spans="1:39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>
        <f>IF(HR_Cleaned[[#This Row],[Age]]&lt;25,"18-24",IF(HR_Cleaned[[#This Row],[Age]]&lt;35,"25-34",IF(HR_Cleaned[[#This Row],[Age]]&lt;45,"35-44",IF(HR_Cleaned[[#This Row],[Age]]&lt;55,"45-54","55+"))))</f>
        <v>35-44</v>
      </c>
      <c r="AK49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93" t="str">
        <f>IF(HR_Cleaned[[#This Row],[MonthlyIncome]]&lt;3000,"Below 3000",IF(HR_Cleaned[[#This Row],[MonthlyIncome]]&lt;5000,"3000-4999",IF(HR_Cleaned[[#This Row],[MonthlyIncome]]&lt;8000,"5000-7999","8000+")))</f>
        <v>5000-7999</v>
      </c>
      <c r="AM493">
        <f>IF(HR_Cleaned[[#This Row],[Attrition]]="Yes",1,0)</f>
        <v>0</v>
      </c>
    </row>
    <row r="494" spans="1:39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>
        <f>IF(HR_Cleaned[[#This Row],[Age]]&lt;25,"18-24",IF(HR_Cleaned[[#This Row],[Age]]&lt;35,"25-34",IF(HR_Cleaned[[#This Row],[Age]]&lt;45,"35-44",IF(HR_Cleaned[[#This Row],[Age]]&lt;55,"45-54","55+"))))</f>
        <v>45-54</v>
      </c>
      <c r="AK49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94" t="str">
        <f>IF(HR_Cleaned[[#This Row],[MonthlyIncome]]&lt;3000,"Below 3000",IF(HR_Cleaned[[#This Row],[MonthlyIncome]]&lt;5000,"3000-4999",IF(HR_Cleaned[[#This Row],[MonthlyIncome]]&lt;8000,"5000-7999","8000+")))</f>
        <v>8000+</v>
      </c>
      <c r="AM494">
        <f>IF(HR_Cleaned[[#This Row],[Attrition]]="Yes",1,0)</f>
        <v>0</v>
      </c>
    </row>
    <row r="495" spans="1:39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>
        <f>IF(HR_Cleaned[[#This Row],[Age]]&lt;25,"18-24",IF(HR_Cleaned[[#This Row],[Age]]&lt;35,"25-34",IF(HR_Cleaned[[#This Row],[Age]]&lt;45,"35-44",IF(HR_Cleaned[[#This Row],[Age]]&lt;55,"45-54","55+"))))</f>
        <v>35-44</v>
      </c>
      <c r="AK495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95" t="str">
        <f>IF(HR_Cleaned[[#This Row],[MonthlyIncome]]&lt;3000,"Below 3000",IF(HR_Cleaned[[#This Row],[MonthlyIncome]]&lt;5000,"3000-4999",IF(HR_Cleaned[[#This Row],[MonthlyIncome]]&lt;8000,"5000-7999","8000+")))</f>
        <v>5000-7999</v>
      </c>
      <c r="AM495">
        <f>IF(HR_Cleaned[[#This Row],[Attrition]]="Yes",1,0)</f>
        <v>0</v>
      </c>
    </row>
    <row r="496" spans="1:39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>
        <f>IF(HR_Cleaned[[#This Row],[Age]]&lt;25,"18-24",IF(HR_Cleaned[[#This Row],[Age]]&lt;35,"25-34",IF(HR_Cleaned[[#This Row],[Age]]&lt;45,"35-44",IF(HR_Cleaned[[#This Row],[Age]]&lt;55,"45-54","55+"))))</f>
        <v>25-34</v>
      </c>
      <c r="AK49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496" t="str">
        <f>IF(HR_Cleaned[[#This Row],[MonthlyIncome]]&lt;3000,"Below 3000",IF(HR_Cleaned[[#This Row],[MonthlyIncome]]&lt;5000,"3000-4999",IF(HR_Cleaned[[#This Row],[MonthlyIncome]]&lt;8000,"5000-7999","8000+")))</f>
        <v>Below 3000</v>
      </c>
      <c r="AM496">
        <f>IF(HR_Cleaned[[#This Row],[Attrition]]="Yes",1,0)</f>
        <v>0</v>
      </c>
    </row>
    <row r="497" spans="1:39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>
        <f>IF(HR_Cleaned[[#This Row],[Age]]&lt;25,"18-24",IF(HR_Cleaned[[#This Row],[Age]]&lt;35,"25-34",IF(HR_Cleaned[[#This Row],[Age]]&lt;45,"35-44",IF(HR_Cleaned[[#This Row],[Age]]&lt;55,"45-54","55+"))))</f>
        <v>25-34</v>
      </c>
      <c r="AK49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97" t="str">
        <f>IF(HR_Cleaned[[#This Row],[MonthlyIncome]]&lt;3000,"Below 3000",IF(HR_Cleaned[[#This Row],[MonthlyIncome]]&lt;5000,"3000-4999",IF(HR_Cleaned[[#This Row],[MonthlyIncome]]&lt;8000,"5000-7999","8000+")))</f>
        <v>3000-4999</v>
      </c>
      <c r="AM497">
        <f>IF(HR_Cleaned[[#This Row],[Attrition]]="Yes",1,0)</f>
        <v>1</v>
      </c>
    </row>
    <row r="498" spans="1:39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>
        <f>IF(HR_Cleaned[[#This Row],[Age]]&lt;25,"18-24",IF(HR_Cleaned[[#This Row],[Age]]&lt;35,"25-34",IF(HR_Cleaned[[#This Row],[Age]]&lt;45,"35-44",IF(HR_Cleaned[[#This Row],[Age]]&lt;55,"45-54","55+"))))</f>
        <v>18-24</v>
      </c>
      <c r="AK49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498" t="str">
        <f>IF(HR_Cleaned[[#This Row],[MonthlyIncome]]&lt;3000,"Below 3000",IF(HR_Cleaned[[#This Row],[MonthlyIncome]]&lt;5000,"3000-4999",IF(HR_Cleaned[[#This Row],[MonthlyIncome]]&lt;8000,"5000-7999","8000+")))</f>
        <v>3000-4999</v>
      </c>
      <c r="AM498">
        <f>IF(HR_Cleaned[[#This Row],[Attrition]]="Yes",1,0)</f>
        <v>0</v>
      </c>
    </row>
    <row r="499" spans="1:39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>
        <f>IF(HR_Cleaned[[#This Row],[Age]]&lt;25,"18-24",IF(HR_Cleaned[[#This Row],[Age]]&lt;35,"25-34",IF(HR_Cleaned[[#This Row],[Age]]&lt;45,"35-44",IF(HR_Cleaned[[#This Row],[Age]]&lt;55,"45-54","55+"))))</f>
        <v>35-44</v>
      </c>
      <c r="AK49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499" t="str">
        <f>IF(HR_Cleaned[[#This Row],[MonthlyIncome]]&lt;3000,"Below 3000",IF(HR_Cleaned[[#This Row],[MonthlyIncome]]&lt;5000,"3000-4999",IF(HR_Cleaned[[#This Row],[MonthlyIncome]]&lt;8000,"5000-7999","8000+")))</f>
        <v>8000+</v>
      </c>
      <c r="AM499">
        <f>IF(HR_Cleaned[[#This Row],[Attrition]]="Yes",1,0)</f>
        <v>0</v>
      </c>
    </row>
    <row r="500" spans="1:39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>
        <f>IF(HR_Cleaned[[#This Row],[Age]]&lt;25,"18-24",IF(HR_Cleaned[[#This Row],[Age]]&lt;35,"25-34",IF(HR_Cleaned[[#This Row],[Age]]&lt;45,"35-44",IF(HR_Cleaned[[#This Row],[Age]]&lt;55,"45-54","55+"))))</f>
        <v>18-24</v>
      </c>
      <c r="AK50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00" t="str">
        <f>IF(HR_Cleaned[[#This Row],[MonthlyIncome]]&lt;3000,"Below 3000",IF(HR_Cleaned[[#This Row],[MonthlyIncome]]&lt;5000,"3000-4999",IF(HR_Cleaned[[#This Row],[MonthlyIncome]]&lt;8000,"5000-7999","8000+")))</f>
        <v>Below 3000</v>
      </c>
      <c r="AM500">
        <f>IF(HR_Cleaned[[#This Row],[Attrition]]="Yes",1,0)</f>
        <v>0</v>
      </c>
    </row>
    <row r="501" spans="1:39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>
        <f>IF(HR_Cleaned[[#This Row],[Age]]&lt;25,"18-24",IF(HR_Cleaned[[#This Row],[Age]]&lt;35,"25-34",IF(HR_Cleaned[[#This Row],[Age]]&lt;45,"35-44",IF(HR_Cleaned[[#This Row],[Age]]&lt;55,"45-54","55+"))))</f>
        <v>25-34</v>
      </c>
      <c r="AK50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01" t="str">
        <f>IF(HR_Cleaned[[#This Row],[MonthlyIncome]]&lt;3000,"Below 3000",IF(HR_Cleaned[[#This Row],[MonthlyIncome]]&lt;5000,"3000-4999",IF(HR_Cleaned[[#This Row],[MonthlyIncome]]&lt;8000,"5000-7999","8000+")))</f>
        <v>5000-7999</v>
      </c>
      <c r="AM501">
        <f>IF(HR_Cleaned[[#This Row],[Attrition]]="Yes",1,0)</f>
        <v>0</v>
      </c>
    </row>
    <row r="502" spans="1:39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>
        <f>IF(HR_Cleaned[[#This Row],[Age]]&lt;25,"18-24",IF(HR_Cleaned[[#This Row],[Age]]&lt;35,"25-34",IF(HR_Cleaned[[#This Row],[Age]]&lt;45,"35-44",IF(HR_Cleaned[[#This Row],[Age]]&lt;55,"45-54","55+"))))</f>
        <v>25-34</v>
      </c>
      <c r="AK50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02" t="str">
        <f>IF(HR_Cleaned[[#This Row],[MonthlyIncome]]&lt;3000,"Below 3000",IF(HR_Cleaned[[#This Row],[MonthlyIncome]]&lt;5000,"3000-4999",IF(HR_Cleaned[[#This Row],[MonthlyIncome]]&lt;8000,"5000-7999","8000+")))</f>
        <v>5000-7999</v>
      </c>
      <c r="AM502">
        <f>IF(HR_Cleaned[[#This Row],[Attrition]]="Yes",1,0)</f>
        <v>0</v>
      </c>
    </row>
    <row r="503" spans="1:39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>
        <f>IF(HR_Cleaned[[#This Row],[Age]]&lt;25,"18-24",IF(HR_Cleaned[[#This Row],[Age]]&lt;35,"25-34",IF(HR_Cleaned[[#This Row],[Age]]&lt;45,"35-44",IF(HR_Cleaned[[#This Row],[Age]]&lt;55,"45-54","55+"))))</f>
        <v>25-34</v>
      </c>
      <c r="AK50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03" t="str">
        <f>IF(HR_Cleaned[[#This Row],[MonthlyIncome]]&lt;3000,"Below 3000",IF(HR_Cleaned[[#This Row],[MonthlyIncome]]&lt;5000,"3000-4999",IF(HR_Cleaned[[#This Row],[MonthlyIncome]]&lt;8000,"5000-7999","8000+")))</f>
        <v>Below 3000</v>
      </c>
      <c r="AM503">
        <f>IF(HR_Cleaned[[#This Row],[Attrition]]="Yes",1,0)</f>
        <v>0</v>
      </c>
    </row>
    <row r="504" spans="1:39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>
        <f>IF(HR_Cleaned[[#This Row],[Age]]&lt;25,"18-24",IF(HR_Cleaned[[#This Row],[Age]]&lt;35,"25-34",IF(HR_Cleaned[[#This Row],[Age]]&lt;45,"35-44",IF(HR_Cleaned[[#This Row],[Age]]&lt;55,"45-54","55+"))))</f>
        <v>45-54</v>
      </c>
      <c r="AK504" t="str">
        <f>IF(HR_Cleaned[[#This Row],[YearsAtCompany]]&lt;=2,"0-2 Years",IF(HR_Cleaned[[#This Row],[YearsAtCompany]]&lt;=5,"3-5 Years",IF(HR_Cleaned[[#This Row],[YearsAtCompany]]&lt;=10,"6-10 Years","11+ Years")))</f>
        <v>11+ Years</v>
      </c>
      <c r="AL504" t="str">
        <f>IF(HR_Cleaned[[#This Row],[MonthlyIncome]]&lt;3000,"Below 3000",IF(HR_Cleaned[[#This Row],[MonthlyIncome]]&lt;5000,"3000-4999",IF(HR_Cleaned[[#This Row],[MonthlyIncome]]&lt;8000,"5000-7999","8000+")))</f>
        <v>8000+</v>
      </c>
      <c r="AM504">
        <f>IF(HR_Cleaned[[#This Row],[Attrition]]="Yes",1,0)</f>
        <v>0</v>
      </c>
    </row>
    <row r="505" spans="1:39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>
        <f>IF(HR_Cleaned[[#This Row],[Age]]&lt;25,"18-24",IF(HR_Cleaned[[#This Row],[Age]]&lt;35,"25-34",IF(HR_Cleaned[[#This Row],[Age]]&lt;45,"35-44",IF(HR_Cleaned[[#This Row],[Age]]&lt;55,"45-54","55+"))))</f>
        <v>25-34</v>
      </c>
      <c r="AK50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05" t="str">
        <f>IF(HR_Cleaned[[#This Row],[MonthlyIncome]]&lt;3000,"Below 3000",IF(HR_Cleaned[[#This Row],[MonthlyIncome]]&lt;5000,"3000-4999",IF(HR_Cleaned[[#This Row],[MonthlyIncome]]&lt;8000,"5000-7999","8000+")))</f>
        <v>Below 3000</v>
      </c>
      <c r="AM505">
        <f>IF(HR_Cleaned[[#This Row],[Attrition]]="Yes",1,0)</f>
        <v>0</v>
      </c>
    </row>
    <row r="506" spans="1:39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>
        <f>IF(HR_Cleaned[[#This Row],[Age]]&lt;25,"18-24",IF(HR_Cleaned[[#This Row],[Age]]&lt;35,"25-34",IF(HR_Cleaned[[#This Row],[Age]]&lt;45,"35-44",IF(HR_Cleaned[[#This Row],[Age]]&lt;55,"45-54","55+"))))</f>
        <v>45-54</v>
      </c>
      <c r="AK50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06" t="str">
        <f>IF(HR_Cleaned[[#This Row],[MonthlyIncome]]&lt;3000,"Below 3000",IF(HR_Cleaned[[#This Row],[MonthlyIncome]]&lt;5000,"3000-4999",IF(HR_Cleaned[[#This Row],[MonthlyIncome]]&lt;8000,"5000-7999","8000+")))</f>
        <v>3000-4999</v>
      </c>
      <c r="AM506">
        <f>IF(HR_Cleaned[[#This Row],[Attrition]]="Yes",1,0)</f>
        <v>1</v>
      </c>
    </row>
    <row r="507" spans="1:39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>
        <f>IF(HR_Cleaned[[#This Row],[Age]]&lt;25,"18-24",IF(HR_Cleaned[[#This Row],[Age]]&lt;35,"25-34",IF(HR_Cleaned[[#This Row],[Age]]&lt;45,"35-44",IF(HR_Cleaned[[#This Row],[Age]]&lt;55,"45-54","55+"))))</f>
        <v>25-34</v>
      </c>
      <c r="AK50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07" t="str">
        <f>IF(HR_Cleaned[[#This Row],[MonthlyIncome]]&lt;3000,"Below 3000",IF(HR_Cleaned[[#This Row],[MonthlyIncome]]&lt;5000,"3000-4999",IF(HR_Cleaned[[#This Row],[MonthlyIncome]]&lt;8000,"5000-7999","8000+")))</f>
        <v>Below 3000</v>
      </c>
      <c r="AM507">
        <f>IF(HR_Cleaned[[#This Row],[Attrition]]="Yes",1,0)</f>
        <v>0</v>
      </c>
    </row>
    <row r="508" spans="1:39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>
        <f>IF(HR_Cleaned[[#This Row],[Age]]&lt;25,"18-24",IF(HR_Cleaned[[#This Row],[Age]]&lt;35,"25-34",IF(HR_Cleaned[[#This Row],[Age]]&lt;45,"35-44",IF(HR_Cleaned[[#This Row],[Age]]&lt;55,"45-54","55+"))))</f>
        <v>35-44</v>
      </c>
      <c r="AK50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08" t="str">
        <f>IF(HR_Cleaned[[#This Row],[MonthlyIncome]]&lt;3000,"Below 3000",IF(HR_Cleaned[[#This Row],[MonthlyIncome]]&lt;5000,"3000-4999",IF(HR_Cleaned[[#This Row],[MonthlyIncome]]&lt;8000,"5000-7999","8000+")))</f>
        <v>8000+</v>
      </c>
      <c r="AM508">
        <f>IF(HR_Cleaned[[#This Row],[Attrition]]="Yes",1,0)</f>
        <v>0</v>
      </c>
    </row>
    <row r="509" spans="1:39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>
        <f>IF(HR_Cleaned[[#This Row],[Age]]&lt;25,"18-24",IF(HR_Cleaned[[#This Row],[Age]]&lt;35,"25-34",IF(HR_Cleaned[[#This Row],[Age]]&lt;45,"35-44",IF(HR_Cleaned[[#This Row],[Age]]&lt;55,"45-54","55+"))))</f>
        <v>25-34</v>
      </c>
      <c r="AK50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09" t="str">
        <f>IF(HR_Cleaned[[#This Row],[MonthlyIncome]]&lt;3000,"Below 3000",IF(HR_Cleaned[[#This Row],[MonthlyIncome]]&lt;5000,"3000-4999",IF(HR_Cleaned[[#This Row],[MonthlyIncome]]&lt;8000,"5000-7999","8000+")))</f>
        <v>5000-7999</v>
      </c>
      <c r="AM509">
        <f>IF(HR_Cleaned[[#This Row],[Attrition]]="Yes",1,0)</f>
        <v>0</v>
      </c>
    </row>
    <row r="510" spans="1:39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>
        <f>IF(HR_Cleaned[[#This Row],[Age]]&lt;25,"18-24",IF(HR_Cleaned[[#This Row],[Age]]&lt;35,"25-34",IF(HR_Cleaned[[#This Row],[Age]]&lt;45,"35-44",IF(HR_Cleaned[[#This Row],[Age]]&lt;55,"45-54","55+"))))</f>
        <v>35-44</v>
      </c>
      <c r="AK51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510" t="str">
        <f>IF(HR_Cleaned[[#This Row],[MonthlyIncome]]&lt;3000,"Below 3000",IF(HR_Cleaned[[#This Row],[MonthlyIncome]]&lt;5000,"3000-4999",IF(HR_Cleaned[[#This Row],[MonthlyIncome]]&lt;8000,"5000-7999","8000+")))</f>
        <v>5000-7999</v>
      </c>
      <c r="AM510">
        <f>IF(HR_Cleaned[[#This Row],[Attrition]]="Yes",1,0)</f>
        <v>0</v>
      </c>
    </row>
    <row r="511" spans="1:39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>
        <f>IF(HR_Cleaned[[#This Row],[Age]]&lt;25,"18-24",IF(HR_Cleaned[[#This Row],[Age]]&lt;35,"25-34",IF(HR_Cleaned[[#This Row],[Age]]&lt;45,"35-44",IF(HR_Cleaned[[#This Row],[Age]]&lt;55,"45-54","55+"))))</f>
        <v>25-34</v>
      </c>
      <c r="AK511" t="str">
        <f>IF(HR_Cleaned[[#This Row],[YearsAtCompany]]&lt;=2,"0-2 Years",IF(HR_Cleaned[[#This Row],[YearsAtCompany]]&lt;=5,"3-5 Years",IF(HR_Cleaned[[#This Row],[YearsAtCompany]]&lt;=10,"6-10 Years","11+ Years")))</f>
        <v>11+ Years</v>
      </c>
      <c r="AL511" t="str">
        <f>IF(HR_Cleaned[[#This Row],[MonthlyIncome]]&lt;3000,"Below 3000",IF(HR_Cleaned[[#This Row],[MonthlyIncome]]&lt;5000,"3000-4999",IF(HR_Cleaned[[#This Row],[MonthlyIncome]]&lt;8000,"5000-7999","8000+")))</f>
        <v>5000-7999</v>
      </c>
      <c r="AM511">
        <f>IF(HR_Cleaned[[#This Row],[Attrition]]="Yes",1,0)</f>
        <v>0</v>
      </c>
    </row>
    <row r="512" spans="1:39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>
        <f>IF(HR_Cleaned[[#This Row],[Age]]&lt;25,"18-24",IF(HR_Cleaned[[#This Row],[Age]]&lt;35,"25-34",IF(HR_Cleaned[[#This Row],[Age]]&lt;45,"35-44",IF(HR_Cleaned[[#This Row],[Age]]&lt;55,"45-54","55+"))))</f>
        <v>45-54</v>
      </c>
      <c r="AK51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12" t="str">
        <f>IF(HR_Cleaned[[#This Row],[MonthlyIncome]]&lt;3000,"Below 3000",IF(HR_Cleaned[[#This Row],[MonthlyIncome]]&lt;5000,"3000-4999",IF(HR_Cleaned[[#This Row],[MonthlyIncome]]&lt;8000,"5000-7999","8000+")))</f>
        <v>8000+</v>
      </c>
      <c r="AM512">
        <f>IF(HR_Cleaned[[#This Row],[Attrition]]="Yes",1,0)</f>
        <v>0</v>
      </c>
    </row>
    <row r="513" spans="1:39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>
        <f>IF(HR_Cleaned[[#This Row],[Age]]&lt;25,"18-24",IF(HR_Cleaned[[#This Row],[Age]]&lt;35,"25-34",IF(HR_Cleaned[[#This Row],[Age]]&lt;45,"35-44",IF(HR_Cleaned[[#This Row],[Age]]&lt;55,"45-54","55+"))))</f>
        <v>35-44</v>
      </c>
      <c r="AK51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13" t="str">
        <f>IF(HR_Cleaned[[#This Row],[MonthlyIncome]]&lt;3000,"Below 3000",IF(HR_Cleaned[[#This Row],[MonthlyIncome]]&lt;5000,"3000-4999",IF(HR_Cleaned[[#This Row],[MonthlyIncome]]&lt;8000,"5000-7999","8000+")))</f>
        <v>8000+</v>
      </c>
      <c r="AM513">
        <f>IF(HR_Cleaned[[#This Row],[Attrition]]="Yes",1,0)</f>
        <v>0</v>
      </c>
    </row>
    <row r="514" spans="1:39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>
        <f>IF(HR_Cleaned[[#This Row],[Age]]&lt;25,"18-24",IF(HR_Cleaned[[#This Row],[Age]]&lt;35,"25-34",IF(HR_Cleaned[[#This Row],[Age]]&lt;45,"35-44",IF(HR_Cleaned[[#This Row],[Age]]&lt;55,"45-54","55+"))))</f>
        <v>25-34</v>
      </c>
      <c r="AK51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14" t="str">
        <f>IF(HR_Cleaned[[#This Row],[MonthlyIncome]]&lt;3000,"Below 3000",IF(HR_Cleaned[[#This Row],[MonthlyIncome]]&lt;5000,"3000-4999",IF(HR_Cleaned[[#This Row],[MonthlyIncome]]&lt;8000,"5000-7999","8000+")))</f>
        <v>Below 3000</v>
      </c>
      <c r="AM514">
        <f>IF(HR_Cleaned[[#This Row],[Attrition]]="Yes",1,0)</f>
        <v>0</v>
      </c>
    </row>
    <row r="515" spans="1:39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>
        <f>IF(HR_Cleaned[[#This Row],[Age]]&lt;25,"18-24",IF(HR_Cleaned[[#This Row],[Age]]&lt;35,"25-34",IF(HR_Cleaned[[#This Row],[Age]]&lt;45,"35-44",IF(HR_Cleaned[[#This Row],[Age]]&lt;55,"45-54","55+"))))</f>
        <v>18-24</v>
      </c>
      <c r="AK515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15" t="str">
        <f>IF(HR_Cleaned[[#This Row],[MonthlyIncome]]&lt;3000,"Below 3000",IF(HR_Cleaned[[#This Row],[MonthlyIncome]]&lt;5000,"3000-4999",IF(HR_Cleaned[[#This Row],[MonthlyIncome]]&lt;8000,"5000-7999","8000+")))</f>
        <v>Below 3000</v>
      </c>
      <c r="AM515">
        <f>IF(HR_Cleaned[[#This Row],[Attrition]]="Yes",1,0)</f>
        <v>1</v>
      </c>
    </row>
    <row r="516" spans="1:39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>
        <f>IF(HR_Cleaned[[#This Row],[Age]]&lt;25,"18-24",IF(HR_Cleaned[[#This Row],[Age]]&lt;35,"25-34",IF(HR_Cleaned[[#This Row],[Age]]&lt;45,"35-44",IF(HR_Cleaned[[#This Row],[Age]]&lt;55,"45-54","55+"))))</f>
        <v>25-34</v>
      </c>
      <c r="AK51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16" t="str">
        <f>IF(HR_Cleaned[[#This Row],[MonthlyIncome]]&lt;3000,"Below 3000",IF(HR_Cleaned[[#This Row],[MonthlyIncome]]&lt;5000,"3000-4999",IF(HR_Cleaned[[#This Row],[MonthlyIncome]]&lt;8000,"5000-7999","8000+")))</f>
        <v>3000-4999</v>
      </c>
      <c r="AM516">
        <f>IF(HR_Cleaned[[#This Row],[Attrition]]="Yes",1,0)</f>
        <v>1</v>
      </c>
    </row>
    <row r="517" spans="1:39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>
        <f>IF(HR_Cleaned[[#This Row],[Age]]&lt;25,"18-24",IF(HR_Cleaned[[#This Row],[Age]]&lt;35,"25-34",IF(HR_Cleaned[[#This Row],[Age]]&lt;45,"35-44",IF(HR_Cleaned[[#This Row],[Age]]&lt;55,"45-54","55+"))))</f>
        <v>35-44</v>
      </c>
      <c r="AK51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17" t="str">
        <f>IF(HR_Cleaned[[#This Row],[MonthlyIncome]]&lt;3000,"Below 3000",IF(HR_Cleaned[[#This Row],[MonthlyIncome]]&lt;5000,"3000-4999",IF(HR_Cleaned[[#This Row],[MonthlyIncome]]&lt;8000,"5000-7999","8000+")))</f>
        <v>Below 3000</v>
      </c>
      <c r="AM517">
        <f>IF(HR_Cleaned[[#This Row],[Attrition]]="Yes",1,0)</f>
        <v>0</v>
      </c>
    </row>
    <row r="518" spans="1:39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>
        <f>IF(HR_Cleaned[[#This Row],[Age]]&lt;25,"18-24",IF(HR_Cleaned[[#This Row],[Age]]&lt;35,"25-34",IF(HR_Cleaned[[#This Row],[Age]]&lt;45,"35-44",IF(HR_Cleaned[[#This Row],[Age]]&lt;55,"45-54","55+"))))</f>
        <v>18-24</v>
      </c>
      <c r="AK51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18" t="str">
        <f>IF(HR_Cleaned[[#This Row],[MonthlyIncome]]&lt;3000,"Below 3000",IF(HR_Cleaned[[#This Row],[MonthlyIncome]]&lt;5000,"3000-4999",IF(HR_Cleaned[[#This Row],[MonthlyIncome]]&lt;8000,"5000-7999","8000+")))</f>
        <v>Below 3000</v>
      </c>
      <c r="AM518">
        <f>IF(HR_Cleaned[[#This Row],[Attrition]]="Yes",1,0)</f>
        <v>0</v>
      </c>
    </row>
    <row r="519" spans="1:39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>
        <f>IF(HR_Cleaned[[#This Row],[Age]]&lt;25,"18-24",IF(HR_Cleaned[[#This Row],[Age]]&lt;35,"25-34",IF(HR_Cleaned[[#This Row],[Age]]&lt;45,"35-44",IF(HR_Cleaned[[#This Row],[Age]]&lt;55,"45-54","55+"))))</f>
        <v>25-34</v>
      </c>
      <c r="AK51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19" t="str">
        <f>IF(HR_Cleaned[[#This Row],[MonthlyIncome]]&lt;3000,"Below 3000",IF(HR_Cleaned[[#This Row],[MonthlyIncome]]&lt;5000,"3000-4999",IF(HR_Cleaned[[#This Row],[MonthlyIncome]]&lt;8000,"5000-7999","8000+")))</f>
        <v>3000-4999</v>
      </c>
      <c r="AM519">
        <f>IF(HR_Cleaned[[#This Row],[Attrition]]="Yes",1,0)</f>
        <v>0</v>
      </c>
    </row>
    <row r="520" spans="1:39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>
        <f>IF(HR_Cleaned[[#This Row],[Age]]&lt;25,"18-24",IF(HR_Cleaned[[#This Row],[Age]]&lt;35,"25-34",IF(HR_Cleaned[[#This Row],[Age]]&lt;45,"35-44",IF(HR_Cleaned[[#This Row],[Age]]&lt;55,"45-54","55+"))))</f>
        <v>35-44</v>
      </c>
      <c r="AK52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20" t="str">
        <f>IF(HR_Cleaned[[#This Row],[MonthlyIncome]]&lt;3000,"Below 3000",IF(HR_Cleaned[[#This Row],[MonthlyIncome]]&lt;5000,"3000-4999",IF(HR_Cleaned[[#This Row],[MonthlyIncome]]&lt;8000,"5000-7999","8000+")))</f>
        <v>3000-4999</v>
      </c>
      <c r="AM520">
        <f>IF(HR_Cleaned[[#This Row],[Attrition]]="Yes",1,0)</f>
        <v>0</v>
      </c>
    </row>
    <row r="521" spans="1:39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>
        <f>IF(HR_Cleaned[[#This Row],[Age]]&lt;25,"18-24",IF(HR_Cleaned[[#This Row],[Age]]&lt;35,"25-34",IF(HR_Cleaned[[#This Row],[Age]]&lt;45,"35-44",IF(HR_Cleaned[[#This Row],[Age]]&lt;55,"45-54","55+"))))</f>
        <v>25-34</v>
      </c>
      <c r="AK52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21" t="str">
        <f>IF(HR_Cleaned[[#This Row],[MonthlyIncome]]&lt;3000,"Below 3000",IF(HR_Cleaned[[#This Row],[MonthlyIncome]]&lt;5000,"3000-4999",IF(HR_Cleaned[[#This Row],[MonthlyIncome]]&lt;8000,"5000-7999","8000+")))</f>
        <v>Below 3000</v>
      </c>
      <c r="AM521">
        <f>IF(HR_Cleaned[[#This Row],[Attrition]]="Yes",1,0)</f>
        <v>0</v>
      </c>
    </row>
    <row r="522" spans="1:39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>
        <f>IF(HR_Cleaned[[#This Row],[Age]]&lt;25,"18-24",IF(HR_Cleaned[[#This Row],[Age]]&lt;35,"25-34",IF(HR_Cleaned[[#This Row],[Age]]&lt;45,"35-44",IF(HR_Cleaned[[#This Row],[Age]]&lt;55,"45-54","55+"))))</f>
        <v>45-54</v>
      </c>
      <c r="AK52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22" t="str">
        <f>IF(HR_Cleaned[[#This Row],[MonthlyIncome]]&lt;3000,"Below 3000",IF(HR_Cleaned[[#This Row],[MonthlyIncome]]&lt;5000,"3000-4999",IF(HR_Cleaned[[#This Row],[MonthlyIncome]]&lt;8000,"5000-7999","8000+")))</f>
        <v>8000+</v>
      </c>
      <c r="AM522">
        <f>IF(HR_Cleaned[[#This Row],[Attrition]]="Yes",1,0)</f>
        <v>0</v>
      </c>
    </row>
    <row r="523" spans="1:39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>
        <f>IF(HR_Cleaned[[#This Row],[Age]]&lt;25,"18-24",IF(HR_Cleaned[[#This Row],[Age]]&lt;35,"25-34",IF(HR_Cleaned[[#This Row],[Age]]&lt;45,"35-44",IF(HR_Cleaned[[#This Row],[Age]]&lt;55,"45-54","55+"))))</f>
        <v>25-34</v>
      </c>
      <c r="AK52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23" t="str">
        <f>IF(HR_Cleaned[[#This Row],[MonthlyIncome]]&lt;3000,"Below 3000",IF(HR_Cleaned[[#This Row],[MonthlyIncome]]&lt;5000,"3000-4999",IF(HR_Cleaned[[#This Row],[MonthlyIncome]]&lt;8000,"5000-7999","8000+")))</f>
        <v>3000-4999</v>
      </c>
      <c r="AM523">
        <f>IF(HR_Cleaned[[#This Row],[Attrition]]="Yes",1,0)</f>
        <v>0</v>
      </c>
    </row>
    <row r="524" spans="1:39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>
        <f>IF(HR_Cleaned[[#This Row],[Age]]&lt;25,"18-24",IF(HR_Cleaned[[#This Row],[Age]]&lt;35,"25-34",IF(HR_Cleaned[[#This Row],[Age]]&lt;45,"35-44",IF(HR_Cleaned[[#This Row],[Age]]&lt;55,"45-54","55+"))))</f>
        <v>35-44</v>
      </c>
      <c r="AK52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24" t="str">
        <f>IF(HR_Cleaned[[#This Row],[MonthlyIncome]]&lt;3000,"Below 3000",IF(HR_Cleaned[[#This Row],[MonthlyIncome]]&lt;5000,"3000-4999",IF(HR_Cleaned[[#This Row],[MonthlyIncome]]&lt;8000,"5000-7999","8000+")))</f>
        <v>3000-4999</v>
      </c>
      <c r="AM524">
        <f>IF(HR_Cleaned[[#This Row],[Attrition]]="Yes",1,0)</f>
        <v>0</v>
      </c>
    </row>
    <row r="525" spans="1:39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>
        <f>IF(HR_Cleaned[[#This Row],[Age]]&lt;25,"18-24",IF(HR_Cleaned[[#This Row],[Age]]&lt;35,"25-34",IF(HR_Cleaned[[#This Row],[Age]]&lt;45,"35-44",IF(HR_Cleaned[[#This Row],[Age]]&lt;55,"45-54","55+"))))</f>
        <v>45-54</v>
      </c>
      <c r="AK52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525" t="str">
        <f>IF(HR_Cleaned[[#This Row],[MonthlyIncome]]&lt;3000,"Below 3000",IF(HR_Cleaned[[#This Row],[MonthlyIncome]]&lt;5000,"3000-4999",IF(HR_Cleaned[[#This Row],[MonthlyIncome]]&lt;8000,"5000-7999","8000+")))</f>
        <v>3000-4999</v>
      </c>
      <c r="AM525">
        <f>IF(HR_Cleaned[[#This Row],[Attrition]]="Yes",1,0)</f>
        <v>0</v>
      </c>
    </row>
    <row r="526" spans="1:39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>
        <f>IF(HR_Cleaned[[#This Row],[Age]]&lt;25,"18-24",IF(HR_Cleaned[[#This Row],[Age]]&lt;35,"25-34",IF(HR_Cleaned[[#This Row],[Age]]&lt;45,"35-44",IF(HR_Cleaned[[#This Row],[Age]]&lt;55,"45-54","55+"))))</f>
        <v>25-34</v>
      </c>
      <c r="AK52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26" t="str">
        <f>IF(HR_Cleaned[[#This Row],[MonthlyIncome]]&lt;3000,"Below 3000",IF(HR_Cleaned[[#This Row],[MonthlyIncome]]&lt;5000,"3000-4999",IF(HR_Cleaned[[#This Row],[MonthlyIncome]]&lt;8000,"5000-7999","8000+")))</f>
        <v>8000+</v>
      </c>
      <c r="AM526">
        <f>IF(HR_Cleaned[[#This Row],[Attrition]]="Yes",1,0)</f>
        <v>0</v>
      </c>
    </row>
    <row r="527" spans="1:39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>
        <f>IF(HR_Cleaned[[#This Row],[Age]]&lt;25,"18-24",IF(HR_Cleaned[[#This Row],[Age]]&lt;35,"25-34",IF(HR_Cleaned[[#This Row],[Age]]&lt;45,"35-44",IF(HR_Cleaned[[#This Row],[Age]]&lt;55,"45-54","55+"))))</f>
        <v>18-24</v>
      </c>
      <c r="AK52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27" t="str">
        <f>IF(HR_Cleaned[[#This Row],[MonthlyIncome]]&lt;3000,"Below 3000",IF(HR_Cleaned[[#This Row],[MonthlyIncome]]&lt;5000,"3000-4999",IF(HR_Cleaned[[#This Row],[MonthlyIncome]]&lt;8000,"5000-7999","8000+")))</f>
        <v>3000-4999</v>
      </c>
      <c r="AM527">
        <f>IF(HR_Cleaned[[#This Row],[Attrition]]="Yes",1,0)</f>
        <v>1</v>
      </c>
    </row>
    <row r="528" spans="1:39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>
        <f>IF(HR_Cleaned[[#This Row],[Age]]&lt;25,"18-24",IF(HR_Cleaned[[#This Row],[Age]]&lt;35,"25-34",IF(HR_Cleaned[[#This Row],[Age]]&lt;45,"35-44",IF(HR_Cleaned[[#This Row],[Age]]&lt;55,"45-54","55+"))))</f>
        <v>35-44</v>
      </c>
      <c r="AK52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528" t="str">
        <f>IF(HR_Cleaned[[#This Row],[MonthlyIncome]]&lt;3000,"Below 3000",IF(HR_Cleaned[[#This Row],[MonthlyIncome]]&lt;5000,"3000-4999",IF(HR_Cleaned[[#This Row],[MonthlyIncome]]&lt;8000,"5000-7999","8000+")))</f>
        <v>3000-4999</v>
      </c>
      <c r="AM528">
        <f>IF(HR_Cleaned[[#This Row],[Attrition]]="Yes",1,0)</f>
        <v>0</v>
      </c>
    </row>
    <row r="529" spans="1:39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>
        <f>IF(HR_Cleaned[[#This Row],[Age]]&lt;25,"18-24",IF(HR_Cleaned[[#This Row],[Age]]&lt;35,"25-34",IF(HR_Cleaned[[#This Row],[Age]]&lt;45,"35-44",IF(HR_Cleaned[[#This Row],[Age]]&lt;55,"45-54","55+"))))</f>
        <v>25-34</v>
      </c>
      <c r="AK52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29" t="str">
        <f>IF(HR_Cleaned[[#This Row],[MonthlyIncome]]&lt;3000,"Below 3000",IF(HR_Cleaned[[#This Row],[MonthlyIncome]]&lt;5000,"3000-4999",IF(HR_Cleaned[[#This Row],[MonthlyIncome]]&lt;8000,"5000-7999","8000+")))</f>
        <v>5000-7999</v>
      </c>
      <c r="AM529">
        <f>IF(HR_Cleaned[[#This Row],[Attrition]]="Yes",1,0)</f>
        <v>0</v>
      </c>
    </row>
    <row r="530" spans="1:39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>
        <f>IF(HR_Cleaned[[#This Row],[Age]]&lt;25,"18-24",IF(HR_Cleaned[[#This Row],[Age]]&lt;35,"25-34",IF(HR_Cleaned[[#This Row],[Age]]&lt;45,"35-44",IF(HR_Cleaned[[#This Row],[Age]]&lt;55,"45-54","55+"))))</f>
        <v>45-54</v>
      </c>
      <c r="AK53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30" t="str">
        <f>IF(HR_Cleaned[[#This Row],[MonthlyIncome]]&lt;3000,"Below 3000",IF(HR_Cleaned[[#This Row],[MonthlyIncome]]&lt;5000,"3000-4999",IF(HR_Cleaned[[#This Row],[MonthlyIncome]]&lt;8000,"5000-7999","8000+")))</f>
        <v>5000-7999</v>
      </c>
      <c r="AM530">
        <f>IF(HR_Cleaned[[#This Row],[Attrition]]="Yes",1,0)</f>
        <v>1</v>
      </c>
    </row>
    <row r="531" spans="1:39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>
        <f>IF(HR_Cleaned[[#This Row],[Age]]&lt;25,"18-24",IF(HR_Cleaned[[#This Row],[Age]]&lt;35,"25-34",IF(HR_Cleaned[[#This Row],[Age]]&lt;45,"35-44",IF(HR_Cleaned[[#This Row],[Age]]&lt;55,"45-54","55+"))))</f>
        <v>35-44</v>
      </c>
      <c r="AK53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31" t="str">
        <f>IF(HR_Cleaned[[#This Row],[MonthlyIncome]]&lt;3000,"Below 3000",IF(HR_Cleaned[[#This Row],[MonthlyIncome]]&lt;5000,"3000-4999",IF(HR_Cleaned[[#This Row],[MonthlyIncome]]&lt;8000,"5000-7999","8000+")))</f>
        <v>5000-7999</v>
      </c>
      <c r="AM531">
        <f>IF(HR_Cleaned[[#This Row],[Attrition]]="Yes",1,0)</f>
        <v>0</v>
      </c>
    </row>
    <row r="532" spans="1:39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>
        <f>IF(HR_Cleaned[[#This Row],[Age]]&lt;25,"18-24",IF(HR_Cleaned[[#This Row],[Age]]&lt;35,"25-34",IF(HR_Cleaned[[#This Row],[Age]]&lt;45,"35-44",IF(HR_Cleaned[[#This Row],[Age]]&lt;55,"45-54","55+"))))</f>
        <v>25-34</v>
      </c>
      <c r="AK53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32" t="str">
        <f>IF(HR_Cleaned[[#This Row],[MonthlyIncome]]&lt;3000,"Below 3000",IF(HR_Cleaned[[#This Row],[MonthlyIncome]]&lt;5000,"3000-4999",IF(HR_Cleaned[[#This Row],[MonthlyIncome]]&lt;8000,"5000-7999","8000+")))</f>
        <v>5000-7999</v>
      </c>
      <c r="AM532">
        <f>IF(HR_Cleaned[[#This Row],[Attrition]]="Yes",1,0)</f>
        <v>0</v>
      </c>
    </row>
    <row r="533" spans="1:39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>
        <f>IF(HR_Cleaned[[#This Row],[Age]]&lt;25,"18-24",IF(HR_Cleaned[[#This Row],[Age]]&lt;35,"25-34",IF(HR_Cleaned[[#This Row],[Age]]&lt;45,"35-44",IF(HR_Cleaned[[#This Row],[Age]]&lt;55,"45-54","55+"))))</f>
        <v>25-34</v>
      </c>
      <c r="AK53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33" t="str">
        <f>IF(HR_Cleaned[[#This Row],[MonthlyIncome]]&lt;3000,"Below 3000",IF(HR_Cleaned[[#This Row],[MonthlyIncome]]&lt;5000,"3000-4999",IF(HR_Cleaned[[#This Row],[MonthlyIncome]]&lt;8000,"5000-7999","8000+")))</f>
        <v>8000+</v>
      </c>
      <c r="AM533">
        <f>IF(HR_Cleaned[[#This Row],[Attrition]]="Yes",1,0)</f>
        <v>0</v>
      </c>
    </row>
    <row r="534" spans="1:39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>
        <f>IF(HR_Cleaned[[#This Row],[Age]]&lt;25,"18-24",IF(HR_Cleaned[[#This Row],[Age]]&lt;35,"25-34",IF(HR_Cleaned[[#This Row],[Age]]&lt;45,"35-44",IF(HR_Cleaned[[#This Row],[Age]]&lt;55,"45-54","55+"))))</f>
        <v>45-54</v>
      </c>
      <c r="AK53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34" t="str">
        <f>IF(HR_Cleaned[[#This Row],[MonthlyIncome]]&lt;3000,"Below 3000",IF(HR_Cleaned[[#This Row],[MonthlyIncome]]&lt;5000,"3000-4999",IF(HR_Cleaned[[#This Row],[MonthlyIncome]]&lt;8000,"5000-7999","8000+")))</f>
        <v>3000-4999</v>
      </c>
      <c r="AM534">
        <f>IF(HR_Cleaned[[#This Row],[Attrition]]="Yes",1,0)</f>
        <v>0</v>
      </c>
    </row>
    <row r="535" spans="1:39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>
        <f>IF(HR_Cleaned[[#This Row],[Age]]&lt;25,"18-24",IF(HR_Cleaned[[#This Row],[Age]]&lt;35,"25-34",IF(HR_Cleaned[[#This Row],[Age]]&lt;45,"35-44",IF(HR_Cleaned[[#This Row],[Age]]&lt;55,"45-54","55+"))))</f>
        <v>35-44</v>
      </c>
      <c r="AK53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535" t="str">
        <f>IF(HR_Cleaned[[#This Row],[MonthlyIncome]]&lt;3000,"Below 3000",IF(HR_Cleaned[[#This Row],[MonthlyIncome]]&lt;5000,"3000-4999",IF(HR_Cleaned[[#This Row],[MonthlyIncome]]&lt;8000,"5000-7999","8000+")))</f>
        <v>8000+</v>
      </c>
      <c r="AM535">
        <f>IF(HR_Cleaned[[#This Row],[Attrition]]="Yes",1,0)</f>
        <v>0</v>
      </c>
    </row>
    <row r="536" spans="1:39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>
        <f>IF(HR_Cleaned[[#This Row],[Age]]&lt;25,"18-24",IF(HR_Cleaned[[#This Row],[Age]]&lt;35,"25-34",IF(HR_Cleaned[[#This Row],[Age]]&lt;45,"35-44",IF(HR_Cleaned[[#This Row],[Age]]&lt;55,"45-54","55+"))))</f>
        <v>45-54</v>
      </c>
      <c r="AK53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36" t="str">
        <f>IF(HR_Cleaned[[#This Row],[MonthlyIncome]]&lt;3000,"Below 3000",IF(HR_Cleaned[[#This Row],[MonthlyIncome]]&lt;5000,"3000-4999",IF(HR_Cleaned[[#This Row],[MonthlyIncome]]&lt;8000,"5000-7999","8000+")))</f>
        <v>8000+</v>
      </c>
      <c r="AM536">
        <f>IF(HR_Cleaned[[#This Row],[Attrition]]="Yes",1,0)</f>
        <v>0</v>
      </c>
    </row>
    <row r="537" spans="1:39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>
        <f>IF(HR_Cleaned[[#This Row],[Age]]&lt;25,"18-24",IF(HR_Cleaned[[#This Row],[Age]]&lt;35,"25-34",IF(HR_Cleaned[[#This Row],[Age]]&lt;45,"35-44",IF(HR_Cleaned[[#This Row],[Age]]&lt;55,"45-54","55+"))))</f>
        <v>35-44</v>
      </c>
      <c r="AK53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537" t="str">
        <f>IF(HR_Cleaned[[#This Row],[MonthlyIncome]]&lt;3000,"Below 3000",IF(HR_Cleaned[[#This Row],[MonthlyIncome]]&lt;5000,"3000-4999",IF(HR_Cleaned[[#This Row],[MonthlyIncome]]&lt;8000,"5000-7999","8000+")))</f>
        <v>8000+</v>
      </c>
      <c r="AM537">
        <f>IF(HR_Cleaned[[#This Row],[Attrition]]="Yes",1,0)</f>
        <v>0</v>
      </c>
    </row>
    <row r="538" spans="1:39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>
        <f>IF(HR_Cleaned[[#This Row],[Age]]&lt;25,"18-24",IF(HR_Cleaned[[#This Row],[Age]]&lt;35,"25-34",IF(HR_Cleaned[[#This Row],[Age]]&lt;45,"35-44",IF(HR_Cleaned[[#This Row],[Age]]&lt;55,"45-54","55+"))))</f>
        <v>55+</v>
      </c>
      <c r="AK53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38" t="str">
        <f>IF(HR_Cleaned[[#This Row],[MonthlyIncome]]&lt;3000,"Below 3000",IF(HR_Cleaned[[#This Row],[MonthlyIncome]]&lt;5000,"3000-4999",IF(HR_Cleaned[[#This Row],[MonthlyIncome]]&lt;8000,"5000-7999","8000+")))</f>
        <v>5000-7999</v>
      </c>
      <c r="AM538">
        <f>IF(HR_Cleaned[[#This Row],[Attrition]]="Yes",1,0)</f>
        <v>0</v>
      </c>
    </row>
    <row r="539" spans="1:39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>
        <f>IF(HR_Cleaned[[#This Row],[Age]]&lt;25,"18-24",IF(HR_Cleaned[[#This Row],[Age]]&lt;35,"25-34",IF(HR_Cleaned[[#This Row],[Age]]&lt;45,"35-44",IF(HR_Cleaned[[#This Row],[Age]]&lt;55,"45-54","55+"))))</f>
        <v>25-34</v>
      </c>
      <c r="AK53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39" t="str">
        <f>IF(HR_Cleaned[[#This Row],[MonthlyIncome]]&lt;3000,"Below 3000",IF(HR_Cleaned[[#This Row],[MonthlyIncome]]&lt;5000,"3000-4999",IF(HR_Cleaned[[#This Row],[MonthlyIncome]]&lt;8000,"5000-7999","8000+")))</f>
        <v>8000+</v>
      </c>
      <c r="AM539">
        <f>IF(HR_Cleaned[[#This Row],[Attrition]]="Yes",1,0)</f>
        <v>0</v>
      </c>
    </row>
    <row r="540" spans="1:39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>
        <f>IF(HR_Cleaned[[#This Row],[Age]]&lt;25,"18-24",IF(HR_Cleaned[[#This Row],[Age]]&lt;35,"25-34",IF(HR_Cleaned[[#This Row],[Age]]&lt;45,"35-44",IF(HR_Cleaned[[#This Row],[Age]]&lt;55,"45-54","55+"))))</f>
        <v>35-44</v>
      </c>
      <c r="AK54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540" t="str">
        <f>IF(HR_Cleaned[[#This Row],[MonthlyIncome]]&lt;3000,"Below 3000",IF(HR_Cleaned[[#This Row],[MonthlyIncome]]&lt;5000,"3000-4999",IF(HR_Cleaned[[#This Row],[MonthlyIncome]]&lt;8000,"5000-7999","8000+")))</f>
        <v>8000+</v>
      </c>
      <c r="AM540">
        <f>IF(HR_Cleaned[[#This Row],[Attrition]]="Yes",1,0)</f>
        <v>0</v>
      </c>
    </row>
    <row r="541" spans="1:39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>
        <f>IF(HR_Cleaned[[#This Row],[Age]]&lt;25,"18-24",IF(HR_Cleaned[[#This Row],[Age]]&lt;35,"25-34",IF(HR_Cleaned[[#This Row],[Age]]&lt;45,"35-44",IF(HR_Cleaned[[#This Row],[Age]]&lt;55,"45-54","55+"))))</f>
        <v>45-54</v>
      </c>
      <c r="AK54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41" t="str">
        <f>IF(HR_Cleaned[[#This Row],[MonthlyIncome]]&lt;3000,"Below 3000",IF(HR_Cleaned[[#This Row],[MonthlyIncome]]&lt;5000,"3000-4999",IF(HR_Cleaned[[#This Row],[MonthlyIncome]]&lt;8000,"5000-7999","8000+")))</f>
        <v>3000-4999</v>
      </c>
      <c r="AM541">
        <f>IF(HR_Cleaned[[#This Row],[Attrition]]="Yes",1,0)</f>
        <v>0</v>
      </c>
    </row>
    <row r="542" spans="1:39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>
        <f>IF(HR_Cleaned[[#This Row],[Age]]&lt;25,"18-24",IF(HR_Cleaned[[#This Row],[Age]]&lt;35,"25-34",IF(HR_Cleaned[[#This Row],[Age]]&lt;45,"35-44",IF(HR_Cleaned[[#This Row],[Age]]&lt;55,"45-54","55+"))))</f>
        <v>25-34</v>
      </c>
      <c r="AK54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42" t="str">
        <f>IF(HR_Cleaned[[#This Row],[MonthlyIncome]]&lt;3000,"Below 3000",IF(HR_Cleaned[[#This Row],[MonthlyIncome]]&lt;5000,"3000-4999",IF(HR_Cleaned[[#This Row],[MonthlyIncome]]&lt;8000,"5000-7999","8000+")))</f>
        <v>Below 3000</v>
      </c>
      <c r="AM542">
        <f>IF(HR_Cleaned[[#This Row],[Attrition]]="Yes",1,0)</f>
        <v>1</v>
      </c>
    </row>
    <row r="543" spans="1:39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>
        <f>IF(HR_Cleaned[[#This Row],[Age]]&lt;25,"18-24",IF(HR_Cleaned[[#This Row],[Age]]&lt;35,"25-34",IF(HR_Cleaned[[#This Row],[Age]]&lt;45,"35-44",IF(HR_Cleaned[[#This Row],[Age]]&lt;55,"45-54","55+"))))</f>
        <v>35-44</v>
      </c>
      <c r="AK54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43" t="str">
        <f>IF(HR_Cleaned[[#This Row],[MonthlyIncome]]&lt;3000,"Below 3000",IF(HR_Cleaned[[#This Row],[MonthlyIncome]]&lt;5000,"3000-4999",IF(HR_Cleaned[[#This Row],[MonthlyIncome]]&lt;8000,"5000-7999","8000+")))</f>
        <v>8000+</v>
      </c>
      <c r="AM543">
        <f>IF(HR_Cleaned[[#This Row],[Attrition]]="Yes",1,0)</f>
        <v>0</v>
      </c>
    </row>
    <row r="544" spans="1:39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>
        <f>IF(HR_Cleaned[[#This Row],[Age]]&lt;25,"18-24",IF(HR_Cleaned[[#This Row],[Age]]&lt;35,"25-34",IF(HR_Cleaned[[#This Row],[Age]]&lt;45,"35-44",IF(HR_Cleaned[[#This Row],[Age]]&lt;55,"45-54","55+"))))</f>
        <v>35-44</v>
      </c>
      <c r="AK54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44" t="str">
        <f>IF(HR_Cleaned[[#This Row],[MonthlyIncome]]&lt;3000,"Below 3000",IF(HR_Cleaned[[#This Row],[MonthlyIncome]]&lt;5000,"3000-4999",IF(HR_Cleaned[[#This Row],[MonthlyIncome]]&lt;8000,"5000-7999","8000+")))</f>
        <v>5000-7999</v>
      </c>
      <c r="AM544">
        <f>IF(HR_Cleaned[[#This Row],[Attrition]]="Yes",1,0)</f>
        <v>0</v>
      </c>
    </row>
    <row r="545" spans="1:39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>
        <f>IF(HR_Cleaned[[#This Row],[Age]]&lt;25,"18-24",IF(HR_Cleaned[[#This Row],[Age]]&lt;35,"25-34",IF(HR_Cleaned[[#This Row],[Age]]&lt;45,"35-44",IF(HR_Cleaned[[#This Row],[Age]]&lt;55,"45-54","55+"))))</f>
        <v>35-44</v>
      </c>
      <c r="AK54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45" t="str">
        <f>IF(HR_Cleaned[[#This Row],[MonthlyIncome]]&lt;3000,"Below 3000",IF(HR_Cleaned[[#This Row],[MonthlyIncome]]&lt;5000,"3000-4999",IF(HR_Cleaned[[#This Row],[MonthlyIncome]]&lt;8000,"5000-7999","8000+")))</f>
        <v>3000-4999</v>
      </c>
      <c r="AM545">
        <f>IF(HR_Cleaned[[#This Row],[Attrition]]="Yes",1,0)</f>
        <v>0</v>
      </c>
    </row>
    <row r="546" spans="1:39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>
        <f>IF(HR_Cleaned[[#This Row],[Age]]&lt;25,"18-24",IF(HR_Cleaned[[#This Row],[Age]]&lt;35,"25-34",IF(HR_Cleaned[[#This Row],[Age]]&lt;45,"35-44",IF(HR_Cleaned[[#This Row],[Age]]&lt;55,"45-54","55+"))))</f>
        <v>45-54</v>
      </c>
      <c r="AK546" t="str">
        <f>IF(HR_Cleaned[[#This Row],[YearsAtCompany]]&lt;=2,"0-2 Years",IF(HR_Cleaned[[#This Row],[YearsAtCompany]]&lt;=5,"3-5 Years",IF(HR_Cleaned[[#This Row],[YearsAtCompany]]&lt;=10,"6-10 Years","11+ Years")))</f>
        <v>11+ Years</v>
      </c>
      <c r="AL546" t="str">
        <f>IF(HR_Cleaned[[#This Row],[MonthlyIncome]]&lt;3000,"Below 3000",IF(HR_Cleaned[[#This Row],[MonthlyIncome]]&lt;5000,"3000-4999",IF(HR_Cleaned[[#This Row],[MonthlyIncome]]&lt;8000,"5000-7999","8000+")))</f>
        <v>8000+</v>
      </c>
      <c r="AM546">
        <f>IF(HR_Cleaned[[#This Row],[Attrition]]="Yes",1,0)</f>
        <v>0</v>
      </c>
    </row>
    <row r="547" spans="1:39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>
        <f>IF(HR_Cleaned[[#This Row],[Age]]&lt;25,"18-24",IF(HR_Cleaned[[#This Row],[Age]]&lt;35,"25-34",IF(HR_Cleaned[[#This Row],[Age]]&lt;45,"35-44",IF(HR_Cleaned[[#This Row],[Age]]&lt;55,"45-54","55+"))))</f>
        <v>25-34</v>
      </c>
      <c r="AK54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47" t="str">
        <f>IF(HR_Cleaned[[#This Row],[MonthlyIncome]]&lt;3000,"Below 3000",IF(HR_Cleaned[[#This Row],[MonthlyIncome]]&lt;5000,"3000-4999",IF(HR_Cleaned[[#This Row],[MonthlyIncome]]&lt;8000,"5000-7999","8000+")))</f>
        <v>5000-7999</v>
      </c>
      <c r="AM547">
        <f>IF(HR_Cleaned[[#This Row],[Attrition]]="Yes",1,0)</f>
        <v>0</v>
      </c>
    </row>
    <row r="548" spans="1:39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>
        <f>IF(HR_Cleaned[[#This Row],[Age]]&lt;25,"18-24",IF(HR_Cleaned[[#This Row],[Age]]&lt;35,"25-34",IF(HR_Cleaned[[#This Row],[Age]]&lt;45,"35-44",IF(HR_Cleaned[[#This Row],[Age]]&lt;55,"45-54","55+"))))</f>
        <v>25-34</v>
      </c>
      <c r="AK54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48" t="str">
        <f>IF(HR_Cleaned[[#This Row],[MonthlyIncome]]&lt;3000,"Below 3000",IF(HR_Cleaned[[#This Row],[MonthlyIncome]]&lt;5000,"3000-4999",IF(HR_Cleaned[[#This Row],[MonthlyIncome]]&lt;8000,"5000-7999","8000+")))</f>
        <v>Below 3000</v>
      </c>
      <c r="AM548">
        <f>IF(HR_Cleaned[[#This Row],[Attrition]]="Yes",1,0)</f>
        <v>0</v>
      </c>
    </row>
    <row r="549" spans="1:39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>
        <f>IF(HR_Cleaned[[#This Row],[Age]]&lt;25,"18-24",IF(HR_Cleaned[[#This Row],[Age]]&lt;35,"25-34",IF(HR_Cleaned[[#This Row],[Age]]&lt;45,"35-44",IF(HR_Cleaned[[#This Row],[Age]]&lt;55,"45-54","55+"))))</f>
        <v>35-44</v>
      </c>
      <c r="AK54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49" t="str">
        <f>IF(HR_Cleaned[[#This Row],[MonthlyIncome]]&lt;3000,"Below 3000",IF(HR_Cleaned[[#This Row],[MonthlyIncome]]&lt;5000,"3000-4999",IF(HR_Cleaned[[#This Row],[MonthlyIncome]]&lt;8000,"5000-7999","8000+")))</f>
        <v>Below 3000</v>
      </c>
      <c r="AM549">
        <f>IF(HR_Cleaned[[#This Row],[Attrition]]="Yes",1,0)</f>
        <v>1</v>
      </c>
    </row>
    <row r="550" spans="1:39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>
        <f>IF(HR_Cleaned[[#This Row],[Age]]&lt;25,"18-24",IF(HR_Cleaned[[#This Row],[Age]]&lt;35,"25-34",IF(HR_Cleaned[[#This Row],[Age]]&lt;45,"35-44",IF(HR_Cleaned[[#This Row],[Age]]&lt;55,"45-54","55+"))))</f>
        <v>35-44</v>
      </c>
      <c r="AK55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50" t="str">
        <f>IF(HR_Cleaned[[#This Row],[MonthlyIncome]]&lt;3000,"Below 3000",IF(HR_Cleaned[[#This Row],[MonthlyIncome]]&lt;5000,"3000-4999",IF(HR_Cleaned[[#This Row],[MonthlyIncome]]&lt;8000,"5000-7999","8000+")))</f>
        <v>5000-7999</v>
      </c>
      <c r="AM550">
        <f>IF(HR_Cleaned[[#This Row],[Attrition]]="Yes",1,0)</f>
        <v>0</v>
      </c>
    </row>
    <row r="551" spans="1:39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>
        <f>IF(HR_Cleaned[[#This Row],[Age]]&lt;25,"18-24",IF(HR_Cleaned[[#This Row],[Age]]&lt;35,"25-34",IF(HR_Cleaned[[#This Row],[Age]]&lt;45,"35-44",IF(HR_Cleaned[[#This Row],[Age]]&lt;55,"45-54","55+"))))</f>
        <v>25-34</v>
      </c>
      <c r="AK55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51" t="str">
        <f>IF(HR_Cleaned[[#This Row],[MonthlyIncome]]&lt;3000,"Below 3000",IF(HR_Cleaned[[#This Row],[MonthlyIncome]]&lt;5000,"3000-4999",IF(HR_Cleaned[[#This Row],[MonthlyIncome]]&lt;8000,"5000-7999","8000+")))</f>
        <v>5000-7999</v>
      </c>
      <c r="AM551">
        <f>IF(HR_Cleaned[[#This Row],[Attrition]]="Yes",1,0)</f>
        <v>0</v>
      </c>
    </row>
    <row r="552" spans="1:39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>
        <f>IF(HR_Cleaned[[#This Row],[Age]]&lt;25,"18-24",IF(HR_Cleaned[[#This Row],[Age]]&lt;35,"25-34",IF(HR_Cleaned[[#This Row],[Age]]&lt;45,"35-44",IF(HR_Cleaned[[#This Row],[Age]]&lt;55,"45-54","55+"))))</f>
        <v>18-24</v>
      </c>
      <c r="AK55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52" t="str">
        <f>IF(HR_Cleaned[[#This Row],[MonthlyIncome]]&lt;3000,"Below 3000",IF(HR_Cleaned[[#This Row],[MonthlyIncome]]&lt;5000,"3000-4999",IF(HR_Cleaned[[#This Row],[MonthlyIncome]]&lt;8000,"5000-7999","8000+")))</f>
        <v>Below 3000</v>
      </c>
      <c r="AM552">
        <f>IF(HR_Cleaned[[#This Row],[Attrition]]="Yes",1,0)</f>
        <v>0</v>
      </c>
    </row>
    <row r="553" spans="1:39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>
        <f>IF(HR_Cleaned[[#This Row],[Age]]&lt;25,"18-24",IF(HR_Cleaned[[#This Row],[Age]]&lt;35,"25-34",IF(HR_Cleaned[[#This Row],[Age]]&lt;45,"35-44",IF(HR_Cleaned[[#This Row],[Age]]&lt;55,"45-54","55+"))))</f>
        <v>35-44</v>
      </c>
      <c r="AK55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53" t="str">
        <f>IF(HR_Cleaned[[#This Row],[MonthlyIncome]]&lt;3000,"Below 3000",IF(HR_Cleaned[[#This Row],[MonthlyIncome]]&lt;5000,"3000-4999",IF(HR_Cleaned[[#This Row],[MonthlyIncome]]&lt;8000,"5000-7999","8000+")))</f>
        <v>5000-7999</v>
      </c>
      <c r="AM553">
        <f>IF(HR_Cleaned[[#This Row],[Attrition]]="Yes",1,0)</f>
        <v>0</v>
      </c>
    </row>
    <row r="554" spans="1:39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>
        <f>IF(HR_Cleaned[[#This Row],[Age]]&lt;25,"18-24",IF(HR_Cleaned[[#This Row],[Age]]&lt;35,"25-34",IF(HR_Cleaned[[#This Row],[Age]]&lt;45,"35-44",IF(HR_Cleaned[[#This Row],[Age]]&lt;55,"45-54","55+"))))</f>
        <v>55+</v>
      </c>
      <c r="AK55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54" t="str">
        <f>IF(HR_Cleaned[[#This Row],[MonthlyIncome]]&lt;3000,"Below 3000",IF(HR_Cleaned[[#This Row],[MonthlyIncome]]&lt;5000,"3000-4999",IF(HR_Cleaned[[#This Row],[MonthlyIncome]]&lt;8000,"5000-7999","8000+")))</f>
        <v>8000+</v>
      </c>
      <c r="AM554">
        <f>IF(HR_Cleaned[[#This Row],[Attrition]]="Yes",1,0)</f>
        <v>0</v>
      </c>
    </row>
    <row r="555" spans="1:39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>
        <f>IF(HR_Cleaned[[#This Row],[Age]]&lt;25,"18-24",IF(HR_Cleaned[[#This Row],[Age]]&lt;35,"25-34",IF(HR_Cleaned[[#This Row],[Age]]&lt;45,"35-44",IF(HR_Cleaned[[#This Row],[Age]]&lt;55,"45-54","55+"))))</f>
        <v>35-44</v>
      </c>
      <c r="AK55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55" t="str">
        <f>IF(HR_Cleaned[[#This Row],[MonthlyIncome]]&lt;3000,"Below 3000",IF(HR_Cleaned[[#This Row],[MonthlyIncome]]&lt;5000,"3000-4999",IF(HR_Cleaned[[#This Row],[MonthlyIncome]]&lt;8000,"5000-7999","8000+")))</f>
        <v>Below 3000</v>
      </c>
      <c r="AM555">
        <f>IF(HR_Cleaned[[#This Row],[Attrition]]="Yes",1,0)</f>
        <v>0</v>
      </c>
    </row>
    <row r="556" spans="1:39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>
        <f>IF(HR_Cleaned[[#This Row],[Age]]&lt;25,"18-24",IF(HR_Cleaned[[#This Row],[Age]]&lt;35,"25-34",IF(HR_Cleaned[[#This Row],[Age]]&lt;45,"35-44",IF(HR_Cleaned[[#This Row],[Age]]&lt;55,"45-54","55+"))))</f>
        <v>25-34</v>
      </c>
      <c r="AK55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56" t="str">
        <f>IF(HR_Cleaned[[#This Row],[MonthlyIncome]]&lt;3000,"Below 3000",IF(HR_Cleaned[[#This Row],[MonthlyIncome]]&lt;5000,"3000-4999",IF(HR_Cleaned[[#This Row],[MonthlyIncome]]&lt;8000,"5000-7999","8000+")))</f>
        <v>5000-7999</v>
      </c>
      <c r="AM556">
        <f>IF(HR_Cleaned[[#This Row],[Attrition]]="Yes",1,0)</f>
        <v>0</v>
      </c>
    </row>
    <row r="557" spans="1:39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>
        <f>IF(HR_Cleaned[[#This Row],[Age]]&lt;25,"18-24",IF(HR_Cleaned[[#This Row],[Age]]&lt;35,"25-34",IF(HR_Cleaned[[#This Row],[Age]]&lt;45,"35-44",IF(HR_Cleaned[[#This Row],[Age]]&lt;55,"45-54","55+"))))</f>
        <v>25-34</v>
      </c>
      <c r="AK55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57" t="str">
        <f>IF(HR_Cleaned[[#This Row],[MonthlyIncome]]&lt;3000,"Below 3000",IF(HR_Cleaned[[#This Row],[MonthlyIncome]]&lt;5000,"3000-4999",IF(HR_Cleaned[[#This Row],[MonthlyIncome]]&lt;8000,"5000-7999","8000+")))</f>
        <v>Below 3000</v>
      </c>
      <c r="AM557">
        <f>IF(HR_Cleaned[[#This Row],[Attrition]]="Yes",1,0)</f>
        <v>0</v>
      </c>
    </row>
    <row r="558" spans="1:39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>
        <f>IF(HR_Cleaned[[#This Row],[Age]]&lt;25,"18-24",IF(HR_Cleaned[[#This Row],[Age]]&lt;35,"25-34",IF(HR_Cleaned[[#This Row],[Age]]&lt;45,"35-44",IF(HR_Cleaned[[#This Row],[Age]]&lt;55,"45-54","55+"))))</f>
        <v>45-54</v>
      </c>
      <c r="AK55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58" t="str">
        <f>IF(HR_Cleaned[[#This Row],[MonthlyIncome]]&lt;3000,"Below 3000",IF(HR_Cleaned[[#This Row],[MonthlyIncome]]&lt;5000,"3000-4999",IF(HR_Cleaned[[#This Row],[MonthlyIncome]]&lt;8000,"5000-7999","8000+")))</f>
        <v>Below 3000</v>
      </c>
      <c r="AM558">
        <f>IF(HR_Cleaned[[#This Row],[Attrition]]="Yes",1,0)</f>
        <v>0</v>
      </c>
    </row>
    <row r="559" spans="1:39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>
        <f>IF(HR_Cleaned[[#This Row],[Age]]&lt;25,"18-24",IF(HR_Cleaned[[#This Row],[Age]]&lt;35,"25-34",IF(HR_Cleaned[[#This Row],[Age]]&lt;45,"35-44",IF(HR_Cleaned[[#This Row],[Age]]&lt;55,"45-54","55+"))))</f>
        <v>35-44</v>
      </c>
      <c r="AK55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59" t="str">
        <f>IF(HR_Cleaned[[#This Row],[MonthlyIncome]]&lt;3000,"Below 3000",IF(HR_Cleaned[[#This Row],[MonthlyIncome]]&lt;5000,"3000-4999",IF(HR_Cleaned[[#This Row],[MonthlyIncome]]&lt;8000,"5000-7999","8000+")))</f>
        <v>5000-7999</v>
      </c>
      <c r="AM559">
        <f>IF(HR_Cleaned[[#This Row],[Attrition]]="Yes",1,0)</f>
        <v>0</v>
      </c>
    </row>
    <row r="560" spans="1:39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>
        <f>IF(HR_Cleaned[[#This Row],[Age]]&lt;25,"18-24",IF(HR_Cleaned[[#This Row],[Age]]&lt;35,"25-34",IF(HR_Cleaned[[#This Row],[Age]]&lt;45,"35-44",IF(HR_Cleaned[[#This Row],[Age]]&lt;55,"45-54","55+"))))</f>
        <v>25-34</v>
      </c>
      <c r="AK56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60" t="str">
        <f>IF(HR_Cleaned[[#This Row],[MonthlyIncome]]&lt;3000,"Below 3000",IF(HR_Cleaned[[#This Row],[MonthlyIncome]]&lt;5000,"3000-4999",IF(HR_Cleaned[[#This Row],[MonthlyIncome]]&lt;8000,"5000-7999","8000+")))</f>
        <v>5000-7999</v>
      </c>
      <c r="AM560">
        <f>IF(HR_Cleaned[[#This Row],[Attrition]]="Yes",1,0)</f>
        <v>0</v>
      </c>
    </row>
    <row r="561" spans="1:39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>
        <f>IF(HR_Cleaned[[#This Row],[Age]]&lt;25,"18-24",IF(HR_Cleaned[[#This Row],[Age]]&lt;35,"25-34",IF(HR_Cleaned[[#This Row],[Age]]&lt;45,"35-44",IF(HR_Cleaned[[#This Row],[Age]]&lt;55,"45-54","55+"))))</f>
        <v>35-44</v>
      </c>
      <c r="AK56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61" t="str">
        <f>IF(HR_Cleaned[[#This Row],[MonthlyIncome]]&lt;3000,"Below 3000",IF(HR_Cleaned[[#This Row],[MonthlyIncome]]&lt;5000,"3000-4999",IF(HR_Cleaned[[#This Row],[MonthlyIncome]]&lt;8000,"5000-7999","8000+")))</f>
        <v>3000-4999</v>
      </c>
      <c r="AM561">
        <f>IF(HR_Cleaned[[#This Row],[Attrition]]="Yes",1,0)</f>
        <v>0</v>
      </c>
    </row>
    <row r="562" spans="1:39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>
        <f>IF(HR_Cleaned[[#This Row],[Age]]&lt;25,"18-24",IF(HR_Cleaned[[#This Row],[Age]]&lt;35,"25-34",IF(HR_Cleaned[[#This Row],[Age]]&lt;45,"35-44",IF(HR_Cleaned[[#This Row],[Age]]&lt;55,"45-54","55+"))))</f>
        <v>25-34</v>
      </c>
      <c r="AK56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62" t="str">
        <f>IF(HR_Cleaned[[#This Row],[MonthlyIncome]]&lt;3000,"Below 3000",IF(HR_Cleaned[[#This Row],[MonthlyIncome]]&lt;5000,"3000-4999",IF(HR_Cleaned[[#This Row],[MonthlyIncome]]&lt;8000,"5000-7999","8000+")))</f>
        <v>5000-7999</v>
      </c>
      <c r="AM562">
        <f>IF(HR_Cleaned[[#This Row],[Attrition]]="Yes",1,0)</f>
        <v>0</v>
      </c>
    </row>
    <row r="563" spans="1:39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>
        <f>IF(HR_Cleaned[[#This Row],[Age]]&lt;25,"18-24",IF(HR_Cleaned[[#This Row],[Age]]&lt;35,"25-34",IF(HR_Cleaned[[#This Row],[Age]]&lt;45,"35-44",IF(HR_Cleaned[[#This Row],[Age]]&lt;55,"45-54","55+"))))</f>
        <v>45-54</v>
      </c>
      <c r="AK56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563" t="str">
        <f>IF(HR_Cleaned[[#This Row],[MonthlyIncome]]&lt;3000,"Below 3000",IF(HR_Cleaned[[#This Row],[MonthlyIncome]]&lt;5000,"3000-4999",IF(HR_Cleaned[[#This Row],[MonthlyIncome]]&lt;8000,"5000-7999","8000+")))</f>
        <v>8000+</v>
      </c>
      <c r="AM563">
        <f>IF(HR_Cleaned[[#This Row],[Attrition]]="Yes",1,0)</f>
        <v>0</v>
      </c>
    </row>
    <row r="564" spans="1:39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>
        <f>IF(HR_Cleaned[[#This Row],[Age]]&lt;25,"18-24",IF(HR_Cleaned[[#This Row],[Age]]&lt;35,"25-34",IF(HR_Cleaned[[#This Row],[Age]]&lt;45,"35-44",IF(HR_Cleaned[[#This Row],[Age]]&lt;55,"45-54","55+"))))</f>
        <v>25-34</v>
      </c>
      <c r="AK56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64" t="str">
        <f>IF(HR_Cleaned[[#This Row],[MonthlyIncome]]&lt;3000,"Below 3000",IF(HR_Cleaned[[#This Row],[MonthlyIncome]]&lt;5000,"3000-4999",IF(HR_Cleaned[[#This Row],[MonthlyIncome]]&lt;8000,"5000-7999","8000+")))</f>
        <v>Below 3000</v>
      </c>
      <c r="AM564">
        <f>IF(HR_Cleaned[[#This Row],[Attrition]]="Yes",1,0)</f>
        <v>1</v>
      </c>
    </row>
    <row r="565" spans="1:39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>
        <f>IF(HR_Cleaned[[#This Row],[Age]]&lt;25,"18-24",IF(HR_Cleaned[[#This Row],[Age]]&lt;35,"25-34",IF(HR_Cleaned[[#This Row],[Age]]&lt;45,"35-44",IF(HR_Cleaned[[#This Row],[Age]]&lt;55,"45-54","55+"))))</f>
        <v>25-34</v>
      </c>
      <c r="AK56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65" t="str">
        <f>IF(HR_Cleaned[[#This Row],[MonthlyIncome]]&lt;3000,"Below 3000",IF(HR_Cleaned[[#This Row],[MonthlyIncome]]&lt;5000,"3000-4999",IF(HR_Cleaned[[#This Row],[MonthlyIncome]]&lt;8000,"5000-7999","8000+")))</f>
        <v>5000-7999</v>
      </c>
      <c r="AM565">
        <f>IF(HR_Cleaned[[#This Row],[Attrition]]="Yes",1,0)</f>
        <v>0</v>
      </c>
    </row>
    <row r="566" spans="1:39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>
        <f>IF(HR_Cleaned[[#This Row],[Age]]&lt;25,"18-24",IF(HR_Cleaned[[#This Row],[Age]]&lt;35,"25-34",IF(HR_Cleaned[[#This Row],[Age]]&lt;45,"35-44",IF(HR_Cleaned[[#This Row],[Age]]&lt;55,"45-54","55+"))))</f>
        <v>45-54</v>
      </c>
      <c r="AK56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66" t="str">
        <f>IF(HR_Cleaned[[#This Row],[MonthlyIncome]]&lt;3000,"Below 3000",IF(HR_Cleaned[[#This Row],[MonthlyIncome]]&lt;5000,"3000-4999",IF(HR_Cleaned[[#This Row],[MonthlyIncome]]&lt;8000,"5000-7999","8000+")))</f>
        <v>5000-7999</v>
      </c>
      <c r="AM566">
        <f>IF(HR_Cleaned[[#This Row],[Attrition]]="Yes",1,0)</f>
        <v>0</v>
      </c>
    </row>
    <row r="567" spans="1:39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>
        <f>IF(HR_Cleaned[[#This Row],[Age]]&lt;25,"18-24",IF(HR_Cleaned[[#This Row],[Age]]&lt;35,"25-34",IF(HR_Cleaned[[#This Row],[Age]]&lt;45,"35-44",IF(HR_Cleaned[[#This Row],[Age]]&lt;55,"45-54","55+"))))</f>
        <v>18-24</v>
      </c>
      <c r="AK56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67" t="str">
        <f>IF(HR_Cleaned[[#This Row],[MonthlyIncome]]&lt;3000,"Below 3000",IF(HR_Cleaned[[#This Row],[MonthlyIncome]]&lt;5000,"3000-4999",IF(HR_Cleaned[[#This Row],[MonthlyIncome]]&lt;8000,"5000-7999","8000+")))</f>
        <v>3000-4999</v>
      </c>
      <c r="AM567">
        <f>IF(HR_Cleaned[[#This Row],[Attrition]]="Yes",1,0)</f>
        <v>0</v>
      </c>
    </row>
    <row r="568" spans="1:39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>
        <f>IF(HR_Cleaned[[#This Row],[Age]]&lt;25,"18-24",IF(HR_Cleaned[[#This Row],[Age]]&lt;35,"25-34",IF(HR_Cleaned[[#This Row],[Age]]&lt;45,"35-44",IF(HR_Cleaned[[#This Row],[Age]]&lt;55,"45-54","55+"))))</f>
        <v>45-54</v>
      </c>
      <c r="AK56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68" t="str">
        <f>IF(HR_Cleaned[[#This Row],[MonthlyIncome]]&lt;3000,"Below 3000",IF(HR_Cleaned[[#This Row],[MonthlyIncome]]&lt;5000,"3000-4999",IF(HR_Cleaned[[#This Row],[MonthlyIncome]]&lt;8000,"5000-7999","8000+")))</f>
        <v>5000-7999</v>
      </c>
      <c r="AM568">
        <f>IF(HR_Cleaned[[#This Row],[Attrition]]="Yes",1,0)</f>
        <v>1</v>
      </c>
    </row>
    <row r="569" spans="1:39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>
        <f>IF(HR_Cleaned[[#This Row],[Age]]&lt;25,"18-24",IF(HR_Cleaned[[#This Row],[Age]]&lt;35,"25-34",IF(HR_Cleaned[[#This Row],[Age]]&lt;45,"35-44",IF(HR_Cleaned[[#This Row],[Age]]&lt;55,"45-54","55+"))))</f>
        <v>25-34</v>
      </c>
      <c r="AK56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69" t="str">
        <f>IF(HR_Cleaned[[#This Row],[MonthlyIncome]]&lt;3000,"Below 3000",IF(HR_Cleaned[[#This Row],[MonthlyIncome]]&lt;5000,"3000-4999",IF(HR_Cleaned[[#This Row],[MonthlyIncome]]&lt;8000,"5000-7999","8000+")))</f>
        <v>5000-7999</v>
      </c>
      <c r="AM569">
        <f>IF(HR_Cleaned[[#This Row],[Attrition]]="Yes",1,0)</f>
        <v>0</v>
      </c>
    </row>
    <row r="570" spans="1:39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>
        <f>IF(HR_Cleaned[[#This Row],[Age]]&lt;25,"18-24",IF(HR_Cleaned[[#This Row],[Age]]&lt;35,"25-34",IF(HR_Cleaned[[#This Row],[Age]]&lt;45,"35-44",IF(HR_Cleaned[[#This Row],[Age]]&lt;55,"45-54","55+"))))</f>
        <v>55+</v>
      </c>
      <c r="AK57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70" t="str">
        <f>IF(HR_Cleaned[[#This Row],[MonthlyIncome]]&lt;3000,"Below 3000",IF(HR_Cleaned[[#This Row],[MonthlyIncome]]&lt;5000,"3000-4999",IF(HR_Cleaned[[#This Row],[MonthlyIncome]]&lt;8000,"5000-7999","8000+")))</f>
        <v>8000+</v>
      </c>
      <c r="AM570">
        <f>IF(HR_Cleaned[[#This Row],[Attrition]]="Yes",1,0)</f>
        <v>1</v>
      </c>
    </row>
    <row r="571" spans="1:39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>
        <f>IF(HR_Cleaned[[#This Row],[Age]]&lt;25,"18-24",IF(HR_Cleaned[[#This Row],[Age]]&lt;35,"25-34",IF(HR_Cleaned[[#This Row],[Age]]&lt;45,"35-44",IF(HR_Cleaned[[#This Row],[Age]]&lt;55,"45-54","55+"))))</f>
        <v>35-44</v>
      </c>
      <c r="AK57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71" t="str">
        <f>IF(HR_Cleaned[[#This Row],[MonthlyIncome]]&lt;3000,"Below 3000",IF(HR_Cleaned[[#This Row],[MonthlyIncome]]&lt;5000,"3000-4999",IF(HR_Cleaned[[#This Row],[MonthlyIncome]]&lt;8000,"5000-7999","8000+")))</f>
        <v>5000-7999</v>
      </c>
      <c r="AM571">
        <f>IF(HR_Cleaned[[#This Row],[Attrition]]="Yes",1,0)</f>
        <v>0</v>
      </c>
    </row>
    <row r="572" spans="1:39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>
        <f>IF(HR_Cleaned[[#This Row],[Age]]&lt;25,"18-24",IF(HR_Cleaned[[#This Row],[Age]]&lt;35,"25-34",IF(HR_Cleaned[[#This Row],[Age]]&lt;45,"35-44",IF(HR_Cleaned[[#This Row],[Age]]&lt;55,"45-54","55+"))))</f>
        <v>45-54</v>
      </c>
      <c r="AK57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72" t="str">
        <f>IF(HR_Cleaned[[#This Row],[MonthlyIncome]]&lt;3000,"Below 3000",IF(HR_Cleaned[[#This Row],[MonthlyIncome]]&lt;5000,"3000-4999",IF(HR_Cleaned[[#This Row],[MonthlyIncome]]&lt;8000,"5000-7999","8000+")))</f>
        <v>3000-4999</v>
      </c>
      <c r="AM572">
        <f>IF(HR_Cleaned[[#This Row],[Attrition]]="Yes",1,0)</f>
        <v>0</v>
      </c>
    </row>
    <row r="573" spans="1:39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>
        <f>IF(HR_Cleaned[[#This Row],[Age]]&lt;25,"18-24",IF(HR_Cleaned[[#This Row],[Age]]&lt;35,"25-34",IF(HR_Cleaned[[#This Row],[Age]]&lt;45,"35-44",IF(HR_Cleaned[[#This Row],[Age]]&lt;55,"45-54","55+"))))</f>
        <v>25-34</v>
      </c>
      <c r="AK57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73" t="str">
        <f>IF(HR_Cleaned[[#This Row],[MonthlyIncome]]&lt;3000,"Below 3000",IF(HR_Cleaned[[#This Row],[MonthlyIncome]]&lt;5000,"3000-4999",IF(HR_Cleaned[[#This Row],[MonthlyIncome]]&lt;8000,"5000-7999","8000+")))</f>
        <v>3000-4999</v>
      </c>
      <c r="AM573">
        <f>IF(HR_Cleaned[[#This Row],[Attrition]]="Yes",1,0)</f>
        <v>0</v>
      </c>
    </row>
    <row r="574" spans="1:39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>
        <f>IF(HR_Cleaned[[#This Row],[Age]]&lt;25,"18-24",IF(HR_Cleaned[[#This Row],[Age]]&lt;35,"25-34",IF(HR_Cleaned[[#This Row],[Age]]&lt;45,"35-44",IF(HR_Cleaned[[#This Row],[Age]]&lt;55,"45-54","55+"))))</f>
        <v>25-34</v>
      </c>
      <c r="AK57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74" t="str">
        <f>IF(HR_Cleaned[[#This Row],[MonthlyIncome]]&lt;3000,"Below 3000",IF(HR_Cleaned[[#This Row],[MonthlyIncome]]&lt;5000,"3000-4999",IF(HR_Cleaned[[#This Row],[MonthlyIncome]]&lt;8000,"5000-7999","8000+")))</f>
        <v>3000-4999</v>
      </c>
      <c r="AM574">
        <f>IF(HR_Cleaned[[#This Row],[Attrition]]="Yes",1,0)</f>
        <v>0</v>
      </c>
    </row>
    <row r="575" spans="1:39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>
        <f>IF(HR_Cleaned[[#This Row],[Age]]&lt;25,"18-24",IF(HR_Cleaned[[#This Row],[Age]]&lt;35,"25-34",IF(HR_Cleaned[[#This Row],[Age]]&lt;45,"35-44",IF(HR_Cleaned[[#This Row],[Age]]&lt;55,"45-54","55+"))))</f>
        <v>25-34</v>
      </c>
      <c r="AK57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75" t="str">
        <f>IF(HR_Cleaned[[#This Row],[MonthlyIncome]]&lt;3000,"Below 3000",IF(HR_Cleaned[[#This Row],[MonthlyIncome]]&lt;5000,"3000-4999",IF(HR_Cleaned[[#This Row],[MonthlyIncome]]&lt;8000,"5000-7999","8000+")))</f>
        <v>5000-7999</v>
      </c>
      <c r="AM575">
        <f>IF(HR_Cleaned[[#This Row],[Attrition]]="Yes",1,0)</f>
        <v>1</v>
      </c>
    </row>
    <row r="576" spans="1:39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>
        <f>IF(HR_Cleaned[[#This Row],[Age]]&lt;25,"18-24",IF(HR_Cleaned[[#This Row],[Age]]&lt;35,"25-34",IF(HR_Cleaned[[#This Row],[Age]]&lt;45,"35-44",IF(HR_Cleaned[[#This Row],[Age]]&lt;55,"45-54","55+"))))</f>
        <v>25-34</v>
      </c>
      <c r="AK57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76" t="str">
        <f>IF(HR_Cleaned[[#This Row],[MonthlyIncome]]&lt;3000,"Below 3000",IF(HR_Cleaned[[#This Row],[MonthlyIncome]]&lt;5000,"3000-4999",IF(HR_Cleaned[[#This Row],[MonthlyIncome]]&lt;8000,"5000-7999","8000+")))</f>
        <v>3000-4999</v>
      </c>
      <c r="AM576">
        <f>IF(HR_Cleaned[[#This Row],[Attrition]]="Yes",1,0)</f>
        <v>0</v>
      </c>
    </row>
    <row r="577" spans="1:39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>
        <f>IF(HR_Cleaned[[#This Row],[Age]]&lt;25,"18-24",IF(HR_Cleaned[[#This Row],[Age]]&lt;35,"25-34",IF(HR_Cleaned[[#This Row],[Age]]&lt;45,"35-44",IF(HR_Cleaned[[#This Row],[Age]]&lt;55,"45-54","55+"))))</f>
        <v>45-54</v>
      </c>
      <c r="AK57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77" t="str">
        <f>IF(HR_Cleaned[[#This Row],[MonthlyIncome]]&lt;3000,"Below 3000",IF(HR_Cleaned[[#This Row],[MonthlyIncome]]&lt;5000,"3000-4999",IF(HR_Cleaned[[#This Row],[MonthlyIncome]]&lt;8000,"5000-7999","8000+")))</f>
        <v>5000-7999</v>
      </c>
      <c r="AM577">
        <f>IF(HR_Cleaned[[#This Row],[Attrition]]="Yes",1,0)</f>
        <v>0</v>
      </c>
    </row>
    <row r="578" spans="1:39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>
        <f>IF(HR_Cleaned[[#This Row],[Age]]&lt;25,"18-24",IF(HR_Cleaned[[#This Row],[Age]]&lt;35,"25-34",IF(HR_Cleaned[[#This Row],[Age]]&lt;45,"35-44",IF(HR_Cleaned[[#This Row],[Age]]&lt;55,"45-54","55+"))))</f>
        <v>25-34</v>
      </c>
      <c r="AK57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78" t="str">
        <f>IF(HR_Cleaned[[#This Row],[MonthlyIncome]]&lt;3000,"Below 3000",IF(HR_Cleaned[[#This Row],[MonthlyIncome]]&lt;5000,"3000-4999",IF(HR_Cleaned[[#This Row],[MonthlyIncome]]&lt;8000,"5000-7999","8000+")))</f>
        <v>3000-4999</v>
      </c>
      <c r="AM578">
        <f>IF(HR_Cleaned[[#This Row],[Attrition]]="Yes",1,0)</f>
        <v>0</v>
      </c>
    </row>
    <row r="579" spans="1:39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>
        <f>IF(HR_Cleaned[[#This Row],[Age]]&lt;25,"18-24",IF(HR_Cleaned[[#This Row],[Age]]&lt;35,"25-34",IF(HR_Cleaned[[#This Row],[Age]]&lt;45,"35-44",IF(HR_Cleaned[[#This Row],[Age]]&lt;55,"45-54","55+"))))</f>
        <v>35-44</v>
      </c>
      <c r="AK57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79" t="str">
        <f>IF(HR_Cleaned[[#This Row],[MonthlyIncome]]&lt;3000,"Below 3000",IF(HR_Cleaned[[#This Row],[MonthlyIncome]]&lt;5000,"3000-4999",IF(HR_Cleaned[[#This Row],[MonthlyIncome]]&lt;8000,"5000-7999","8000+")))</f>
        <v>Below 3000</v>
      </c>
      <c r="AM579">
        <f>IF(HR_Cleaned[[#This Row],[Attrition]]="Yes",1,0)</f>
        <v>0</v>
      </c>
    </row>
    <row r="580" spans="1:39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>
        <f>IF(HR_Cleaned[[#This Row],[Age]]&lt;25,"18-24",IF(HR_Cleaned[[#This Row],[Age]]&lt;35,"25-34",IF(HR_Cleaned[[#This Row],[Age]]&lt;45,"35-44",IF(HR_Cleaned[[#This Row],[Age]]&lt;55,"45-54","55+"))))</f>
        <v>35-44</v>
      </c>
      <c r="AK58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580" t="str">
        <f>IF(HR_Cleaned[[#This Row],[MonthlyIncome]]&lt;3000,"Below 3000",IF(HR_Cleaned[[#This Row],[MonthlyIncome]]&lt;5000,"3000-4999",IF(HR_Cleaned[[#This Row],[MonthlyIncome]]&lt;8000,"5000-7999","8000+")))</f>
        <v>5000-7999</v>
      </c>
      <c r="AM580">
        <f>IF(HR_Cleaned[[#This Row],[Attrition]]="Yes",1,0)</f>
        <v>0</v>
      </c>
    </row>
    <row r="581" spans="1:39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>
        <f>IF(HR_Cleaned[[#This Row],[Age]]&lt;25,"18-24",IF(HR_Cleaned[[#This Row],[Age]]&lt;35,"25-34",IF(HR_Cleaned[[#This Row],[Age]]&lt;45,"35-44",IF(HR_Cleaned[[#This Row],[Age]]&lt;55,"45-54","55+"))))</f>
        <v>25-34</v>
      </c>
      <c r="AK58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81" t="str">
        <f>IF(HR_Cleaned[[#This Row],[MonthlyIncome]]&lt;3000,"Below 3000",IF(HR_Cleaned[[#This Row],[MonthlyIncome]]&lt;5000,"3000-4999",IF(HR_Cleaned[[#This Row],[MonthlyIncome]]&lt;8000,"5000-7999","8000+")))</f>
        <v>3000-4999</v>
      </c>
      <c r="AM581">
        <f>IF(HR_Cleaned[[#This Row],[Attrition]]="Yes",1,0)</f>
        <v>0</v>
      </c>
    </row>
    <row r="582" spans="1:39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>
        <f>IF(HR_Cleaned[[#This Row],[Age]]&lt;25,"18-24",IF(HR_Cleaned[[#This Row],[Age]]&lt;35,"25-34",IF(HR_Cleaned[[#This Row],[Age]]&lt;45,"35-44",IF(HR_Cleaned[[#This Row],[Age]]&lt;55,"45-54","55+"))))</f>
        <v>35-44</v>
      </c>
      <c r="AK58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82" t="str">
        <f>IF(HR_Cleaned[[#This Row],[MonthlyIncome]]&lt;3000,"Below 3000",IF(HR_Cleaned[[#This Row],[MonthlyIncome]]&lt;5000,"3000-4999",IF(HR_Cleaned[[#This Row],[MonthlyIncome]]&lt;8000,"5000-7999","8000+")))</f>
        <v>Below 3000</v>
      </c>
      <c r="AM582">
        <f>IF(HR_Cleaned[[#This Row],[Attrition]]="Yes",1,0)</f>
        <v>0</v>
      </c>
    </row>
    <row r="583" spans="1:39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>
        <f>IF(HR_Cleaned[[#This Row],[Age]]&lt;25,"18-24",IF(HR_Cleaned[[#This Row],[Age]]&lt;35,"25-34",IF(HR_Cleaned[[#This Row],[Age]]&lt;45,"35-44",IF(HR_Cleaned[[#This Row],[Age]]&lt;55,"45-54","55+"))))</f>
        <v>25-34</v>
      </c>
      <c r="AK58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83" t="str">
        <f>IF(HR_Cleaned[[#This Row],[MonthlyIncome]]&lt;3000,"Below 3000",IF(HR_Cleaned[[#This Row],[MonthlyIncome]]&lt;5000,"3000-4999",IF(HR_Cleaned[[#This Row],[MonthlyIncome]]&lt;8000,"5000-7999","8000+")))</f>
        <v>3000-4999</v>
      </c>
      <c r="AM583">
        <f>IF(HR_Cleaned[[#This Row],[Attrition]]="Yes",1,0)</f>
        <v>0</v>
      </c>
    </row>
    <row r="584" spans="1:39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>
        <f>IF(HR_Cleaned[[#This Row],[Age]]&lt;25,"18-24",IF(HR_Cleaned[[#This Row],[Age]]&lt;35,"25-34",IF(HR_Cleaned[[#This Row],[Age]]&lt;45,"35-44",IF(HR_Cleaned[[#This Row],[Age]]&lt;55,"45-54","55+"))))</f>
        <v>35-44</v>
      </c>
      <c r="AK58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84" t="str">
        <f>IF(HR_Cleaned[[#This Row],[MonthlyIncome]]&lt;3000,"Below 3000",IF(HR_Cleaned[[#This Row],[MonthlyIncome]]&lt;5000,"3000-4999",IF(HR_Cleaned[[#This Row],[MonthlyIncome]]&lt;8000,"5000-7999","8000+")))</f>
        <v>3000-4999</v>
      </c>
      <c r="AM584">
        <f>IF(HR_Cleaned[[#This Row],[Attrition]]="Yes",1,0)</f>
        <v>0</v>
      </c>
    </row>
    <row r="585" spans="1:39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>
        <f>IF(HR_Cleaned[[#This Row],[Age]]&lt;25,"18-24",IF(HR_Cleaned[[#This Row],[Age]]&lt;35,"25-34",IF(HR_Cleaned[[#This Row],[Age]]&lt;45,"35-44",IF(HR_Cleaned[[#This Row],[Age]]&lt;55,"45-54","55+"))))</f>
        <v>25-34</v>
      </c>
      <c r="AK58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85" t="str">
        <f>IF(HR_Cleaned[[#This Row],[MonthlyIncome]]&lt;3000,"Below 3000",IF(HR_Cleaned[[#This Row],[MonthlyIncome]]&lt;5000,"3000-4999",IF(HR_Cleaned[[#This Row],[MonthlyIncome]]&lt;8000,"5000-7999","8000+")))</f>
        <v>5000-7999</v>
      </c>
      <c r="AM585">
        <f>IF(HR_Cleaned[[#This Row],[Attrition]]="Yes",1,0)</f>
        <v>0</v>
      </c>
    </row>
    <row r="586" spans="1:39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>
        <f>IF(HR_Cleaned[[#This Row],[Age]]&lt;25,"18-24",IF(HR_Cleaned[[#This Row],[Age]]&lt;35,"25-34",IF(HR_Cleaned[[#This Row],[Age]]&lt;45,"35-44",IF(HR_Cleaned[[#This Row],[Age]]&lt;55,"45-54","55+"))))</f>
        <v>35-44</v>
      </c>
      <c r="AK586" t="str">
        <f>IF(HR_Cleaned[[#This Row],[YearsAtCompany]]&lt;=2,"0-2 Years",IF(HR_Cleaned[[#This Row],[YearsAtCompany]]&lt;=5,"3-5 Years",IF(HR_Cleaned[[#This Row],[YearsAtCompany]]&lt;=10,"6-10 Years","11+ Years")))</f>
        <v>11+ Years</v>
      </c>
      <c r="AL586" t="str">
        <f>IF(HR_Cleaned[[#This Row],[MonthlyIncome]]&lt;3000,"Below 3000",IF(HR_Cleaned[[#This Row],[MonthlyIncome]]&lt;5000,"3000-4999",IF(HR_Cleaned[[#This Row],[MonthlyIncome]]&lt;8000,"5000-7999","8000+")))</f>
        <v>8000+</v>
      </c>
      <c r="AM586">
        <f>IF(HR_Cleaned[[#This Row],[Attrition]]="Yes",1,0)</f>
        <v>0</v>
      </c>
    </row>
    <row r="587" spans="1:39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>
        <f>IF(HR_Cleaned[[#This Row],[Age]]&lt;25,"18-24",IF(HR_Cleaned[[#This Row],[Age]]&lt;35,"25-34",IF(HR_Cleaned[[#This Row],[Age]]&lt;45,"35-44",IF(HR_Cleaned[[#This Row],[Age]]&lt;55,"45-54","55+"))))</f>
        <v>18-24</v>
      </c>
      <c r="AK58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87" t="str">
        <f>IF(HR_Cleaned[[#This Row],[MonthlyIncome]]&lt;3000,"Below 3000",IF(HR_Cleaned[[#This Row],[MonthlyIncome]]&lt;5000,"3000-4999",IF(HR_Cleaned[[#This Row],[MonthlyIncome]]&lt;8000,"5000-7999","8000+")))</f>
        <v>Below 3000</v>
      </c>
      <c r="AM587">
        <f>IF(HR_Cleaned[[#This Row],[Attrition]]="Yes",1,0)</f>
        <v>1</v>
      </c>
    </row>
    <row r="588" spans="1:39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>
        <f>IF(HR_Cleaned[[#This Row],[Age]]&lt;25,"18-24",IF(HR_Cleaned[[#This Row],[Age]]&lt;35,"25-34",IF(HR_Cleaned[[#This Row],[Age]]&lt;45,"35-44",IF(HR_Cleaned[[#This Row],[Age]]&lt;55,"45-54","55+"))))</f>
        <v>18-24</v>
      </c>
      <c r="AK58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88" t="str">
        <f>IF(HR_Cleaned[[#This Row],[MonthlyIncome]]&lt;3000,"Below 3000",IF(HR_Cleaned[[#This Row],[MonthlyIncome]]&lt;5000,"3000-4999",IF(HR_Cleaned[[#This Row],[MonthlyIncome]]&lt;8000,"5000-7999","8000+")))</f>
        <v>Below 3000</v>
      </c>
      <c r="AM588">
        <f>IF(HR_Cleaned[[#This Row],[Attrition]]="Yes",1,0)</f>
        <v>0</v>
      </c>
    </row>
    <row r="589" spans="1:39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>
        <f>IF(HR_Cleaned[[#This Row],[Age]]&lt;25,"18-24",IF(HR_Cleaned[[#This Row],[Age]]&lt;35,"25-34",IF(HR_Cleaned[[#This Row],[Age]]&lt;45,"35-44",IF(HR_Cleaned[[#This Row],[Age]]&lt;55,"45-54","55+"))))</f>
        <v>45-54</v>
      </c>
      <c r="AK58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89" t="str">
        <f>IF(HR_Cleaned[[#This Row],[MonthlyIncome]]&lt;3000,"Below 3000",IF(HR_Cleaned[[#This Row],[MonthlyIncome]]&lt;5000,"3000-4999",IF(HR_Cleaned[[#This Row],[MonthlyIncome]]&lt;8000,"5000-7999","8000+")))</f>
        <v>3000-4999</v>
      </c>
      <c r="AM589">
        <f>IF(HR_Cleaned[[#This Row],[Attrition]]="Yes",1,0)</f>
        <v>0</v>
      </c>
    </row>
    <row r="590" spans="1:39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>
        <f>IF(HR_Cleaned[[#This Row],[Age]]&lt;25,"18-24",IF(HR_Cleaned[[#This Row],[Age]]&lt;35,"25-34",IF(HR_Cleaned[[#This Row],[Age]]&lt;45,"35-44",IF(HR_Cleaned[[#This Row],[Age]]&lt;55,"45-54","55+"))))</f>
        <v>45-54</v>
      </c>
      <c r="AK59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90" t="str">
        <f>IF(HR_Cleaned[[#This Row],[MonthlyIncome]]&lt;3000,"Below 3000",IF(HR_Cleaned[[#This Row],[MonthlyIncome]]&lt;5000,"3000-4999",IF(HR_Cleaned[[#This Row],[MonthlyIncome]]&lt;8000,"5000-7999","8000+")))</f>
        <v>8000+</v>
      </c>
      <c r="AM590">
        <f>IF(HR_Cleaned[[#This Row],[Attrition]]="Yes",1,0)</f>
        <v>0</v>
      </c>
    </row>
    <row r="591" spans="1:39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>
        <f>IF(HR_Cleaned[[#This Row],[Age]]&lt;25,"18-24",IF(HR_Cleaned[[#This Row],[Age]]&lt;35,"25-34",IF(HR_Cleaned[[#This Row],[Age]]&lt;45,"35-44",IF(HR_Cleaned[[#This Row],[Age]]&lt;55,"45-54","55+"))))</f>
        <v>25-34</v>
      </c>
      <c r="AK59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91" t="str">
        <f>IF(HR_Cleaned[[#This Row],[MonthlyIncome]]&lt;3000,"Below 3000",IF(HR_Cleaned[[#This Row],[MonthlyIncome]]&lt;5000,"3000-4999",IF(HR_Cleaned[[#This Row],[MonthlyIncome]]&lt;8000,"5000-7999","8000+")))</f>
        <v>Below 3000</v>
      </c>
      <c r="AM591">
        <f>IF(HR_Cleaned[[#This Row],[Attrition]]="Yes",1,0)</f>
        <v>1</v>
      </c>
    </row>
    <row r="592" spans="1:39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>
        <f>IF(HR_Cleaned[[#This Row],[Age]]&lt;25,"18-24",IF(HR_Cleaned[[#This Row],[Age]]&lt;35,"25-34",IF(HR_Cleaned[[#This Row],[Age]]&lt;45,"35-44",IF(HR_Cleaned[[#This Row],[Age]]&lt;55,"45-54","55+"))))</f>
        <v>25-34</v>
      </c>
      <c r="AK59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592" t="str">
        <f>IF(HR_Cleaned[[#This Row],[MonthlyIncome]]&lt;3000,"Below 3000",IF(HR_Cleaned[[#This Row],[MonthlyIncome]]&lt;5000,"3000-4999",IF(HR_Cleaned[[#This Row],[MonthlyIncome]]&lt;8000,"5000-7999","8000+")))</f>
        <v>8000+</v>
      </c>
      <c r="AM592">
        <f>IF(HR_Cleaned[[#This Row],[Attrition]]="Yes",1,0)</f>
        <v>0</v>
      </c>
    </row>
    <row r="593" spans="1:39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>
        <f>IF(HR_Cleaned[[#This Row],[Age]]&lt;25,"18-24",IF(HR_Cleaned[[#This Row],[Age]]&lt;35,"25-34",IF(HR_Cleaned[[#This Row],[Age]]&lt;45,"35-44",IF(HR_Cleaned[[#This Row],[Age]]&lt;55,"45-54","55+"))))</f>
        <v>25-34</v>
      </c>
      <c r="AK59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93" t="str">
        <f>IF(HR_Cleaned[[#This Row],[MonthlyIncome]]&lt;3000,"Below 3000",IF(HR_Cleaned[[#This Row],[MonthlyIncome]]&lt;5000,"3000-4999",IF(HR_Cleaned[[#This Row],[MonthlyIncome]]&lt;8000,"5000-7999","8000+")))</f>
        <v>5000-7999</v>
      </c>
      <c r="AM593">
        <f>IF(HR_Cleaned[[#This Row],[Attrition]]="Yes",1,0)</f>
        <v>1</v>
      </c>
    </row>
    <row r="594" spans="1:39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>
        <f>IF(HR_Cleaned[[#This Row],[Age]]&lt;25,"18-24",IF(HR_Cleaned[[#This Row],[Age]]&lt;35,"25-34",IF(HR_Cleaned[[#This Row],[Age]]&lt;45,"35-44",IF(HR_Cleaned[[#This Row],[Age]]&lt;55,"45-54","55+"))))</f>
        <v>45-54</v>
      </c>
      <c r="AK594" t="str">
        <f>IF(HR_Cleaned[[#This Row],[YearsAtCompany]]&lt;=2,"0-2 Years",IF(HR_Cleaned[[#This Row],[YearsAtCompany]]&lt;=5,"3-5 Years",IF(HR_Cleaned[[#This Row],[YearsAtCompany]]&lt;=10,"6-10 Years","11+ Years")))</f>
        <v>11+ Years</v>
      </c>
      <c r="AL594" t="str">
        <f>IF(HR_Cleaned[[#This Row],[MonthlyIncome]]&lt;3000,"Below 3000",IF(HR_Cleaned[[#This Row],[MonthlyIncome]]&lt;5000,"3000-4999",IF(HR_Cleaned[[#This Row],[MonthlyIncome]]&lt;8000,"5000-7999","8000+")))</f>
        <v>8000+</v>
      </c>
      <c r="AM594">
        <f>IF(HR_Cleaned[[#This Row],[Attrition]]="Yes",1,0)</f>
        <v>0</v>
      </c>
    </row>
    <row r="595" spans="1:39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>
        <f>IF(HR_Cleaned[[#This Row],[Age]]&lt;25,"18-24",IF(HR_Cleaned[[#This Row],[Age]]&lt;35,"25-34",IF(HR_Cleaned[[#This Row],[Age]]&lt;45,"35-44",IF(HR_Cleaned[[#This Row],[Age]]&lt;55,"45-54","55+"))))</f>
        <v>35-44</v>
      </c>
      <c r="AK59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95" t="str">
        <f>IF(HR_Cleaned[[#This Row],[MonthlyIncome]]&lt;3000,"Below 3000",IF(HR_Cleaned[[#This Row],[MonthlyIncome]]&lt;5000,"3000-4999",IF(HR_Cleaned[[#This Row],[MonthlyIncome]]&lt;8000,"5000-7999","8000+")))</f>
        <v>5000-7999</v>
      </c>
      <c r="AM595">
        <f>IF(HR_Cleaned[[#This Row],[Attrition]]="Yes",1,0)</f>
        <v>0</v>
      </c>
    </row>
    <row r="596" spans="1:39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>
        <f>IF(HR_Cleaned[[#This Row],[Age]]&lt;25,"18-24",IF(HR_Cleaned[[#This Row],[Age]]&lt;35,"25-34",IF(HR_Cleaned[[#This Row],[Age]]&lt;45,"35-44",IF(HR_Cleaned[[#This Row],[Age]]&lt;55,"45-54","55+"))))</f>
        <v>25-34</v>
      </c>
      <c r="AK59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596" t="str">
        <f>IF(HR_Cleaned[[#This Row],[MonthlyIncome]]&lt;3000,"Below 3000",IF(HR_Cleaned[[#This Row],[MonthlyIncome]]&lt;5000,"3000-4999",IF(HR_Cleaned[[#This Row],[MonthlyIncome]]&lt;8000,"5000-7999","8000+")))</f>
        <v>Below 3000</v>
      </c>
      <c r="AM596">
        <f>IF(HR_Cleaned[[#This Row],[Attrition]]="Yes",1,0)</f>
        <v>0</v>
      </c>
    </row>
    <row r="597" spans="1:39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>
        <f>IF(HR_Cleaned[[#This Row],[Age]]&lt;25,"18-24",IF(HR_Cleaned[[#This Row],[Age]]&lt;35,"25-34",IF(HR_Cleaned[[#This Row],[Age]]&lt;45,"35-44",IF(HR_Cleaned[[#This Row],[Age]]&lt;55,"45-54","55+"))))</f>
        <v>55+</v>
      </c>
      <c r="AK59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597" t="str">
        <f>IF(HR_Cleaned[[#This Row],[MonthlyIncome]]&lt;3000,"Below 3000",IF(HR_Cleaned[[#This Row],[MonthlyIncome]]&lt;5000,"3000-4999",IF(HR_Cleaned[[#This Row],[MonthlyIncome]]&lt;8000,"5000-7999","8000+")))</f>
        <v>8000+</v>
      </c>
      <c r="AM597">
        <f>IF(HR_Cleaned[[#This Row],[Attrition]]="Yes",1,0)</f>
        <v>1</v>
      </c>
    </row>
    <row r="598" spans="1:39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>
        <f>IF(HR_Cleaned[[#This Row],[Age]]&lt;25,"18-24",IF(HR_Cleaned[[#This Row],[Age]]&lt;35,"25-34",IF(HR_Cleaned[[#This Row],[Age]]&lt;45,"35-44",IF(HR_Cleaned[[#This Row],[Age]]&lt;55,"45-54","55+"))))</f>
        <v>35-44</v>
      </c>
      <c r="AK59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598" t="str">
        <f>IF(HR_Cleaned[[#This Row],[MonthlyIncome]]&lt;3000,"Below 3000",IF(HR_Cleaned[[#This Row],[MonthlyIncome]]&lt;5000,"3000-4999",IF(HR_Cleaned[[#This Row],[MonthlyIncome]]&lt;8000,"5000-7999","8000+")))</f>
        <v>Below 3000</v>
      </c>
      <c r="AM598">
        <f>IF(HR_Cleaned[[#This Row],[Attrition]]="Yes",1,0)</f>
        <v>0</v>
      </c>
    </row>
    <row r="599" spans="1:39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>
        <f>IF(HR_Cleaned[[#This Row],[Age]]&lt;25,"18-24",IF(HR_Cleaned[[#This Row],[Age]]&lt;35,"25-34",IF(HR_Cleaned[[#This Row],[Age]]&lt;45,"35-44",IF(HR_Cleaned[[#This Row],[Age]]&lt;55,"45-54","55+"))))</f>
        <v>35-44</v>
      </c>
      <c r="AK59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599" t="str">
        <f>IF(HR_Cleaned[[#This Row],[MonthlyIncome]]&lt;3000,"Below 3000",IF(HR_Cleaned[[#This Row],[MonthlyIncome]]&lt;5000,"3000-4999",IF(HR_Cleaned[[#This Row],[MonthlyIncome]]&lt;8000,"5000-7999","8000+")))</f>
        <v>5000-7999</v>
      </c>
      <c r="AM599">
        <f>IF(HR_Cleaned[[#This Row],[Attrition]]="Yes",1,0)</f>
        <v>0</v>
      </c>
    </row>
    <row r="600" spans="1:39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>
        <f>IF(HR_Cleaned[[#This Row],[Age]]&lt;25,"18-24",IF(HR_Cleaned[[#This Row],[Age]]&lt;35,"25-34",IF(HR_Cleaned[[#This Row],[Age]]&lt;45,"35-44",IF(HR_Cleaned[[#This Row],[Age]]&lt;55,"45-54","55+"))))</f>
        <v>25-34</v>
      </c>
      <c r="AK60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00" t="str">
        <f>IF(HR_Cleaned[[#This Row],[MonthlyIncome]]&lt;3000,"Below 3000",IF(HR_Cleaned[[#This Row],[MonthlyIncome]]&lt;5000,"3000-4999",IF(HR_Cleaned[[#This Row],[MonthlyIncome]]&lt;8000,"5000-7999","8000+")))</f>
        <v>3000-4999</v>
      </c>
      <c r="AM600">
        <f>IF(HR_Cleaned[[#This Row],[Attrition]]="Yes",1,0)</f>
        <v>1</v>
      </c>
    </row>
    <row r="601" spans="1:39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>
        <f>IF(HR_Cleaned[[#This Row],[Age]]&lt;25,"18-24",IF(HR_Cleaned[[#This Row],[Age]]&lt;35,"25-34",IF(HR_Cleaned[[#This Row],[Age]]&lt;45,"35-44",IF(HR_Cleaned[[#This Row],[Age]]&lt;55,"45-54","55+"))))</f>
        <v>35-44</v>
      </c>
      <c r="AK60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01" t="str">
        <f>IF(HR_Cleaned[[#This Row],[MonthlyIncome]]&lt;3000,"Below 3000",IF(HR_Cleaned[[#This Row],[MonthlyIncome]]&lt;5000,"3000-4999",IF(HR_Cleaned[[#This Row],[MonthlyIncome]]&lt;8000,"5000-7999","8000+")))</f>
        <v>Below 3000</v>
      </c>
      <c r="AM601">
        <f>IF(HR_Cleaned[[#This Row],[Attrition]]="Yes",1,0)</f>
        <v>0</v>
      </c>
    </row>
    <row r="602" spans="1:39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>
        <f>IF(HR_Cleaned[[#This Row],[Age]]&lt;25,"18-24",IF(HR_Cleaned[[#This Row],[Age]]&lt;35,"25-34",IF(HR_Cleaned[[#This Row],[Age]]&lt;45,"35-44",IF(HR_Cleaned[[#This Row],[Age]]&lt;55,"45-54","55+"))))</f>
        <v>25-34</v>
      </c>
      <c r="AK60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602" t="str">
        <f>IF(HR_Cleaned[[#This Row],[MonthlyIncome]]&lt;3000,"Below 3000",IF(HR_Cleaned[[#This Row],[MonthlyIncome]]&lt;5000,"3000-4999",IF(HR_Cleaned[[#This Row],[MonthlyIncome]]&lt;8000,"5000-7999","8000+")))</f>
        <v>5000-7999</v>
      </c>
      <c r="AM602">
        <f>IF(HR_Cleaned[[#This Row],[Attrition]]="Yes",1,0)</f>
        <v>0</v>
      </c>
    </row>
    <row r="603" spans="1:39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>
        <f>IF(HR_Cleaned[[#This Row],[Age]]&lt;25,"18-24",IF(HR_Cleaned[[#This Row],[Age]]&lt;35,"25-34",IF(HR_Cleaned[[#This Row],[Age]]&lt;45,"35-44",IF(HR_Cleaned[[#This Row],[Age]]&lt;55,"45-54","55+"))))</f>
        <v>35-44</v>
      </c>
      <c r="AK60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03" t="str">
        <f>IF(HR_Cleaned[[#This Row],[MonthlyIncome]]&lt;3000,"Below 3000",IF(HR_Cleaned[[#This Row],[MonthlyIncome]]&lt;5000,"3000-4999",IF(HR_Cleaned[[#This Row],[MonthlyIncome]]&lt;8000,"5000-7999","8000+")))</f>
        <v>5000-7999</v>
      </c>
      <c r="AM603">
        <f>IF(HR_Cleaned[[#This Row],[Attrition]]="Yes",1,0)</f>
        <v>0</v>
      </c>
    </row>
    <row r="604" spans="1:39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>
        <f>IF(HR_Cleaned[[#This Row],[Age]]&lt;25,"18-24",IF(HR_Cleaned[[#This Row],[Age]]&lt;35,"25-34",IF(HR_Cleaned[[#This Row],[Age]]&lt;45,"35-44",IF(HR_Cleaned[[#This Row],[Age]]&lt;55,"45-54","55+"))))</f>
        <v>25-34</v>
      </c>
      <c r="AK60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04" t="str">
        <f>IF(HR_Cleaned[[#This Row],[MonthlyIncome]]&lt;3000,"Below 3000",IF(HR_Cleaned[[#This Row],[MonthlyIncome]]&lt;5000,"3000-4999",IF(HR_Cleaned[[#This Row],[MonthlyIncome]]&lt;8000,"5000-7999","8000+")))</f>
        <v>5000-7999</v>
      </c>
      <c r="AM604">
        <f>IF(HR_Cleaned[[#This Row],[Attrition]]="Yes",1,0)</f>
        <v>0</v>
      </c>
    </row>
    <row r="605" spans="1:39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>
        <f>IF(HR_Cleaned[[#This Row],[Age]]&lt;25,"18-24",IF(HR_Cleaned[[#This Row],[Age]]&lt;35,"25-34",IF(HR_Cleaned[[#This Row],[Age]]&lt;45,"35-44",IF(HR_Cleaned[[#This Row],[Age]]&lt;55,"45-54","55+"))))</f>
        <v>45-54</v>
      </c>
      <c r="AK605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05" t="str">
        <f>IF(HR_Cleaned[[#This Row],[MonthlyIncome]]&lt;3000,"Below 3000",IF(HR_Cleaned[[#This Row],[MonthlyIncome]]&lt;5000,"3000-4999",IF(HR_Cleaned[[#This Row],[MonthlyIncome]]&lt;8000,"5000-7999","8000+")))</f>
        <v>Below 3000</v>
      </c>
      <c r="AM605">
        <f>IF(HR_Cleaned[[#This Row],[Attrition]]="Yes",1,0)</f>
        <v>0</v>
      </c>
    </row>
    <row r="606" spans="1:39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>
        <f>IF(HR_Cleaned[[#This Row],[Age]]&lt;25,"18-24",IF(HR_Cleaned[[#This Row],[Age]]&lt;35,"25-34",IF(HR_Cleaned[[#This Row],[Age]]&lt;45,"35-44",IF(HR_Cleaned[[#This Row],[Age]]&lt;55,"45-54","55+"))))</f>
        <v>35-44</v>
      </c>
      <c r="AK60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06" t="str">
        <f>IF(HR_Cleaned[[#This Row],[MonthlyIncome]]&lt;3000,"Below 3000",IF(HR_Cleaned[[#This Row],[MonthlyIncome]]&lt;5000,"3000-4999",IF(HR_Cleaned[[#This Row],[MonthlyIncome]]&lt;8000,"5000-7999","8000+")))</f>
        <v>3000-4999</v>
      </c>
      <c r="AM606">
        <f>IF(HR_Cleaned[[#This Row],[Attrition]]="Yes",1,0)</f>
        <v>0</v>
      </c>
    </row>
    <row r="607" spans="1:39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>
        <f>IF(HR_Cleaned[[#This Row],[Age]]&lt;25,"18-24",IF(HR_Cleaned[[#This Row],[Age]]&lt;35,"25-34",IF(HR_Cleaned[[#This Row],[Age]]&lt;45,"35-44",IF(HR_Cleaned[[#This Row],[Age]]&lt;55,"45-54","55+"))))</f>
        <v>35-44</v>
      </c>
      <c r="AK60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07" t="str">
        <f>IF(HR_Cleaned[[#This Row],[MonthlyIncome]]&lt;3000,"Below 3000",IF(HR_Cleaned[[#This Row],[MonthlyIncome]]&lt;5000,"3000-4999",IF(HR_Cleaned[[#This Row],[MonthlyIncome]]&lt;8000,"5000-7999","8000+")))</f>
        <v>5000-7999</v>
      </c>
      <c r="AM607">
        <f>IF(HR_Cleaned[[#This Row],[Attrition]]="Yes",1,0)</f>
        <v>0</v>
      </c>
    </row>
    <row r="608" spans="1:39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>
        <f>IF(HR_Cleaned[[#This Row],[Age]]&lt;25,"18-24",IF(HR_Cleaned[[#This Row],[Age]]&lt;35,"25-34",IF(HR_Cleaned[[#This Row],[Age]]&lt;45,"35-44",IF(HR_Cleaned[[#This Row],[Age]]&lt;55,"45-54","55+"))))</f>
        <v>25-34</v>
      </c>
      <c r="AK60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08" t="str">
        <f>IF(HR_Cleaned[[#This Row],[MonthlyIncome]]&lt;3000,"Below 3000",IF(HR_Cleaned[[#This Row],[MonthlyIncome]]&lt;5000,"3000-4999",IF(HR_Cleaned[[#This Row],[MonthlyIncome]]&lt;8000,"5000-7999","8000+")))</f>
        <v>Below 3000</v>
      </c>
      <c r="AM608">
        <f>IF(HR_Cleaned[[#This Row],[Attrition]]="Yes",1,0)</f>
        <v>0</v>
      </c>
    </row>
    <row r="609" spans="1:39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>
        <f>IF(HR_Cleaned[[#This Row],[Age]]&lt;25,"18-24",IF(HR_Cleaned[[#This Row],[Age]]&lt;35,"25-34",IF(HR_Cleaned[[#This Row],[Age]]&lt;45,"35-44",IF(HR_Cleaned[[#This Row],[Age]]&lt;55,"45-54","55+"))))</f>
        <v>45-54</v>
      </c>
      <c r="AK60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09" t="str">
        <f>IF(HR_Cleaned[[#This Row],[MonthlyIncome]]&lt;3000,"Below 3000",IF(HR_Cleaned[[#This Row],[MonthlyIncome]]&lt;5000,"3000-4999",IF(HR_Cleaned[[#This Row],[MonthlyIncome]]&lt;8000,"5000-7999","8000+")))</f>
        <v>5000-7999</v>
      </c>
      <c r="AM609">
        <f>IF(HR_Cleaned[[#This Row],[Attrition]]="Yes",1,0)</f>
        <v>1</v>
      </c>
    </row>
    <row r="610" spans="1:39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>
        <f>IF(HR_Cleaned[[#This Row],[Age]]&lt;25,"18-24",IF(HR_Cleaned[[#This Row],[Age]]&lt;35,"25-34",IF(HR_Cleaned[[#This Row],[Age]]&lt;45,"35-44",IF(HR_Cleaned[[#This Row],[Age]]&lt;55,"45-54","55+"))))</f>
        <v>55+</v>
      </c>
      <c r="AK61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10" t="str">
        <f>IF(HR_Cleaned[[#This Row],[MonthlyIncome]]&lt;3000,"Below 3000",IF(HR_Cleaned[[#This Row],[MonthlyIncome]]&lt;5000,"3000-4999",IF(HR_Cleaned[[#This Row],[MonthlyIncome]]&lt;8000,"5000-7999","8000+")))</f>
        <v>5000-7999</v>
      </c>
      <c r="AM610">
        <f>IF(HR_Cleaned[[#This Row],[Attrition]]="Yes",1,0)</f>
        <v>1</v>
      </c>
    </row>
    <row r="611" spans="1:39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>
        <f>IF(HR_Cleaned[[#This Row],[Age]]&lt;25,"18-24",IF(HR_Cleaned[[#This Row],[Age]]&lt;35,"25-34",IF(HR_Cleaned[[#This Row],[Age]]&lt;45,"35-44",IF(HR_Cleaned[[#This Row],[Age]]&lt;55,"45-54","55+"))))</f>
        <v>35-44</v>
      </c>
      <c r="AK61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11" t="str">
        <f>IF(HR_Cleaned[[#This Row],[MonthlyIncome]]&lt;3000,"Below 3000",IF(HR_Cleaned[[#This Row],[MonthlyIncome]]&lt;5000,"3000-4999",IF(HR_Cleaned[[#This Row],[MonthlyIncome]]&lt;8000,"5000-7999","8000+")))</f>
        <v>8000+</v>
      </c>
      <c r="AM611">
        <f>IF(HR_Cleaned[[#This Row],[Attrition]]="Yes",1,0)</f>
        <v>0</v>
      </c>
    </row>
    <row r="612" spans="1:39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>
        <f>IF(HR_Cleaned[[#This Row],[Age]]&lt;25,"18-24",IF(HR_Cleaned[[#This Row],[Age]]&lt;35,"25-34",IF(HR_Cleaned[[#This Row],[Age]]&lt;45,"35-44",IF(HR_Cleaned[[#This Row],[Age]]&lt;55,"45-54","55+"))))</f>
        <v>25-34</v>
      </c>
      <c r="AK61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12" t="str">
        <f>IF(HR_Cleaned[[#This Row],[MonthlyIncome]]&lt;3000,"Below 3000",IF(HR_Cleaned[[#This Row],[MonthlyIncome]]&lt;5000,"3000-4999",IF(HR_Cleaned[[#This Row],[MonthlyIncome]]&lt;8000,"5000-7999","8000+")))</f>
        <v>8000+</v>
      </c>
      <c r="AM612">
        <f>IF(HR_Cleaned[[#This Row],[Attrition]]="Yes",1,0)</f>
        <v>0</v>
      </c>
    </row>
    <row r="613" spans="1:39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>
        <f>IF(HR_Cleaned[[#This Row],[Age]]&lt;25,"18-24",IF(HR_Cleaned[[#This Row],[Age]]&lt;35,"25-34",IF(HR_Cleaned[[#This Row],[Age]]&lt;45,"35-44",IF(HR_Cleaned[[#This Row],[Age]]&lt;55,"45-54","55+"))))</f>
        <v>35-44</v>
      </c>
      <c r="AK61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13" t="str">
        <f>IF(HR_Cleaned[[#This Row],[MonthlyIncome]]&lt;3000,"Below 3000",IF(HR_Cleaned[[#This Row],[MonthlyIncome]]&lt;5000,"3000-4999",IF(HR_Cleaned[[#This Row],[MonthlyIncome]]&lt;8000,"5000-7999","8000+")))</f>
        <v>8000+</v>
      </c>
      <c r="AM613">
        <f>IF(HR_Cleaned[[#This Row],[Attrition]]="Yes",1,0)</f>
        <v>0</v>
      </c>
    </row>
    <row r="614" spans="1:39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>
        <f>IF(HR_Cleaned[[#This Row],[Age]]&lt;25,"18-24",IF(HR_Cleaned[[#This Row],[Age]]&lt;35,"25-34",IF(HR_Cleaned[[#This Row],[Age]]&lt;45,"35-44",IF(HR_Cleaned[[#This Row],[Age]]&lt;55,"45-54","55+"))))</f>
        <v>25-34</v>
      </c>
      <c r="AK61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14" t="str">
        <f>IF(HR_Cleaned[[#This Row],[MonthlyIncome]]&lt;3000,"Below 3000",IF(HR_Cleaned[[#This Row],[MonthlyIncome]]&lt;5000,"3000-4999",IF(HR_Cleaned[[#This Row],[MonthlyIncome]]&lt;8000,"5000-7999","8000+")))</f>
        <v>3000-4999</v>
      </c>
      <c r="AM614">
        <f>IF(HR_Cleaned[[#This Row],[Attrition]]="Yes",1,0)</f>
        <v>0</v>
      </c>
    </row>
    <row r="615" spans="1:39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>
        <f>IF(HR_Cleaned[[#This Row],[Age]]&lt;25,"18-24",IF(HR_Cleaned[[#This Row],[Age]]&lt;35,"25-34",IF(HR_Cleaned[[#This Row],[Age]]&lt;45,"35-44",IF(HR_Cleaned[[#This Row],[Age]]&lt;55,"45-54","55+"))))</f>
        <v>25-34</v>
      </c>
      <c r="AK61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15" t="str">
        <f>IF(HR_Cleaned[[#This Row],[MonthlyIncome]]&lt;3000,"Below 3000",IF(HR_Cleaned[[#This Row],[MonthlyIncome]]&lt;5000,"3000-4999",IF(HR_Cleaned[[#This Row],[MonthlyIncome]]&lt;8000,"5000-7999","8000+")))</f>
        <v>3000-4999</v>
      </c>
      <c r="AM615">
        <f>IF(HR_Cleaned[[#This Row],[Attrition]]="Yes",1,0)</f>
        <v>0</v>
      </c>
    </row>
    <row r="616" spans="1:39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>
        <f>IF(HR_Cleaned[[#This Row],[Age]]&lt;25,"18-24",IF(HR_Cleaned[[#This Row],[Age]]&lt;35,"25-34",IF(HR_Cleaned[[#This Row],[Age]]&lt;45,"35-44",IF(HR_Cleaned[[#This Row],[Age]]&lt;55,"45-54","55+"))))</f>
        <v>25-34</v>
      </c>
      <c r="AK61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16" t="str">
        <f>IF(HR_Cleaned[[#This Row],[MonthlyIncome]]&lt;3000,"Below 3000",IF(HR_Cleaned[[#This Row],[MonthlyIncome]]&lt;5000,"3000-4999",IF(HR_Cleaned[[#This Row],[MonthlyIncome]]&lt;8000,"5000-7999","8000+")))</f>
        <v>Below 3000</v>
      </c>
      <c r="AM616">
        <f>IF(HR_Cleaned[[#This Row],[Attrition]]="Yes",1,0)</f>
        <v>1</v>
      </c>
    </row>
    <row r="617" spans="1:39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>
        <f>IF(HR_Cleaned[[#This Row],[Age]]&lt;25,"18-24",IF(HR_Cleaned[[#This Row],[Age]]&lt;35,"25-34",IF(HR_Cleaned[[#This Row],[Age]]&lt;45,"35-44",IF(HR_Cleaned[[#This Row],[Age]]&lt;55,"45-54","55+"))))</f>
        <v>25-34</v>
      </c>
      <c r="AK61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17" t="str">
        <f>IF(HR_Cleaned[[#This Row],[MonthlyIncome]]&lt;3000,"Below 3000",IF(HR_Cleaned[[#This Row],[MonthlyIncome]]&lt;5000,"3000-4999",IF(HR_Cleaned[[#This Row],[MonthlyIncome]]&lt;8000,"5000-7999","8000+")))</f>
        <v>Below 3000</v>
      </c>
      <c r="AM617">
        <f>IF(HR_Cleaned[[#This Row],[Attrition]]="Yes",1,0)</f>
        <v>0</v>
      </c>
    </row>
    <row r="618" spans="1:39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>
        <f>IF(HR_Cleaned[[#This Row],[Age]]&lt;25,"18-24",IF(HR_Cleaned[[#This Row],[Age]]&lt;35,"25-34",IF(HR_Cleaned[[#This Row],[Age]]&lt;45,"35-44",IF(HR_Cleaned[[#This Row],[Age]]&lt;55,"45-54","55+"))))</f>
        <v>45-54</v>
      </c>
      <c r="AK61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618" t="str">
        <f>IF(HR_Cleaned[[#This Row],[MonthlyIncome]]&lt;3000,"Below 3000",IF(HR_Cleaned[[#This Row],[MonthlyIncome]]&lt;5000,"3000-4999",IF(HR_Cleaned[[#This Row],[MonthlyIncome]]&lt;8000,"5000-7999","8000+")))</f>
        <v>8000+</v>
      </c>
      <c r="AM618">
        <f>IF(HR_Cleaned[[#This Row],[Attrition]]="Yes",1,0)</f>
        <v>0</v>
      </c>
    </row>
    <row r="619" spans="1:39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>
        <f>IF(HR_Cleaned[[#This Row],[Age]]&lt;25,"18-24",IF(HR_Cleaned[[#This Row],[Age]]&lt;35,"25-34",IF(HR_Cleaned[[#This Row],[Age]]&lt;45,"35-44",IF(HR_Cleaned[[#This Row],[Age]]&lt;55,"45-54","55+"))))</f>
        <v>35-44</v>
      </c>
      <c r="AK61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19" t="str">
        <f>IF(HR_Cleaned[[#This Row],[MonthlyIncome]]&lt;3000,"Below 3000",IF(HR_Cleaned[[#This Row],[MonthlyIncome]]&lt;5000,"3000-4999",IF(HR_Cleaned[[#This Row],[MonthlyIncome]]&lt;8000,"5000-7999","8000+")))</f>
        <v>5000-7999</v>
      </c>
      <c r="AM619">
        <f>IF(HR_Cleaned[[#This Row],[Attrition]]="Yes",1,0)</f>
        <v>0</v>
      </c>
    </row>
    <row r="620" spans="1:39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>
        <f>IF(HR_Cleaned[[#This Row],[Age]]&lt;25,"18-24",IF(HR_Cleaned[[#This Row],[Age]]&lt;35,"25-34",IF(HR_Cleaned[[#This Row],[Age]]&lt;45,"35-44",IF(HR_Cleaned[[#This Row],[Age]]&lt;55,"45-54","55+"))))</f>
        <v>25-34</v>
      </c>
      <c r="AK62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20" t="str">
        <f>IF(HR_Cleaned[[#This Row],[MonthlyIncome]]&lt;3000,"Below 3000",IF(HR_Cleaned[[#This Row],[MonthlyIncome]]&lt;5000,"3000-4999",IF(HR_Cleaned[[#This Row],[MonthlyIncome]]&lt;8000,"5000-7999","8000+")))</f>
        <v>3000-4999</v>
      </c>
      <c r="AM620">
        <f>IF(HR_Cleaned[[#This Row],[Attrition]]="Yes",1,0)</f>
        <v>0</v>
      </c>
    </row>
    <row r="621" spans="1:39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>
        <f>IF(HR_Cleaned[[#This Row],[Age]]&lt;25,"18-24",IF(HR_Cleaned[[#This Row],[Age]]&lt;35,"25-34",IF(HR_Cleaned[[#This Row],[Age]]&lt;45,"35-44",IF(HR_Cleaned[[#This Row],[Age]]&lt;55,"45-54","55+"))))</f>
        <v>25-34</v>
      </c>
      <c r="AK62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21" t="str">
        <f>IF(HR_Cleaned[[#This Row],[MonthlyIncome]]&lt;3000,"Below 3000",IF(HR_Cleaned[[#This Row],[MonthlyIncome]]&lt;5000,"3000-4999",IF(HR_Cleaned[[#This Row],[MonthlyIncome]]&lt;8000,"5000-7999","8000+")))</f>
        <v>3000-4999</v>
      </c>
      <c r="AM621">
        <f>IF(HR_Cleaned[[#This Row],[Attrition]]="Yes",1,0)</f>
        <v>0</v>
      </c>
    </row>
    <row r="622" spans="1:39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>
        <f>IF(HR_Cleaned[[#This Row],[Age]]&lt;25,"18-24",IF(HR_Cleaned[[#This Row],[Age]]&lt;35,"25-34",IF(HR_Cleaned[[#This Row],[Age]]&lt;45,"35-44",IF(HR_Cleaned[[#This Row],[Age]]&lt;55,"45-54","55+"))))</f>
        <v>35-44</v>
      </c>
      <c r="AK62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22" t="str">
        <f>IF(HR_Cleaned[[#This Row],[MonthlyIncome]]&lt;3000,"Below 3000",IF(HR_Cleaned[[#This Row],[MonthlyIncome]]&lt;5000,"3000-4999",IF(HR_Cleaned[[#This Row],[MonthlyIncome]]&lt;8000,"5000-7999","8000+")))</f>
        <v>Below 3000</v>
      </c>
      <c r="AM622">
        <f>IF(HR_Cleaned[[#This Row],[Attrition]]="Yes",1,0)</f>
        <v>0</v>
      </c>
    </row>
    <row r="623" spans="1:39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>
        <f>IF(HR_Cleaned[[#This Row],[Age]]&lt;25,"18-24",IF(HR_Cleaned[[#This Row],[Age]]&lt;35,"25-34",IF(HR_Cleaned[[#This Row],[Age]]&lt;45,"35-44",IF(HR_Cleaned[[#This Row],[Age]]&lt;55,"45-54","55+"))))</f>
        <v>35-44</v>
      </c>
      <c r="AK62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623" t="str">
        <f>IF(HR_Cleaned[[#This Row],[MonthlyIncome]]&lt;3000,"Below 3000",IF(HR_Cleaned[[#This Row],[MonthlyIncome]]&lt;5000,"3000-4999",IF(HR_Cleaned[[#This Row],[MonthlyIncome]]&lt;8000,"5000-7999","8000+")))</f>
        <v>5000-7999</v>
      </c>
      <c r="AM623">
        <f>IF(HR_Cleaned[[#This Row],[Attrition]]="Yes",1,0)</f>
        <v>0</v>
      </c>
    </row>
    <row r="624" spans="1:39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>
        <f>IF(HR_Cleaned[[#This Row],[Age]]&lt;25,"18-24",IF(HR_Cleaned[[#This Row],[Age]]&lt;35,"25-34",IF(HR_Cleaned[[#This Row],[Age]]&lt;45,"35-44",IF(HR_Cleaned[[#This Row],[Age]]&lt;55,"45-54","55+"))))</f>
        <v>25-34</v>
      </c>
      <c r="AK62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24" t="str">
        <f>IF(HR_Cleaned[[#This Row],[MonthlyIncome]]&lt;3000,"Below 3000",IF(HR_Cleaned[[#This Row],[MonthlyIncome]]&lt;5000,"3000-4999",IF(HR_Cleaned[[#This Row],[MonthlyIncome]]&lt;8000,"5000-7999","8000+")))</f>
        <v>3000-4999</v>
      </c>
      <c r="AM624">
        <f>IF(HR_Cleaned[[#This Row],[Attrition]]="Yes",1,0)</f>
        <v>0</v>
      </c>
    </row>
    <row r="625" spans="1:39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>
        <f>IF(HR_Cleaned[[#This Row],[Age]]&lt;25,"18-24",IF(HR_Cleaned[[#This Row],[Age]]&lt;35,"25-34",IF(HR_Cleaned[[#This Row],[Age]]&lt;45,"35-44",IF(HR_Cleaned[[#This Row],[Age]]&lt;55,"45-54","55+"))))</f>
        <v>25-34</v>
      </c>
      <c r="AK62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25" t="str">
        <f>IF(HR_Cleaned[[#This Row],[MonthlyIncome]]&lt;3000,"Below 3000",IF(HR_Cleaned[[#This Row],[MonthlyIncome]]&lt;5000,"3000-4999",IF(HR_Cleaned[[#This Row],[MonthlyIncome]]&lt;8000,"5000-7999","8000+")))</f>
        <v>3000-4999</v>
      </c>
      <c r="AM625">
        <f>IF(HR_Cleaned[[#This Row],[Attrition]]="Yes",1,0)</f>
        <v>0</v>
      </c>
    </row>
    <row r="626" spans="1:39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>
        <f>IF(HR_Cleaned[[#This Row],[Age]]&lt;25,"18-24",IF(HR_Cleaned[[#This Row],[Age]]&lt;35,"25-34",IF(HR_Cleaned[[#This Row],[Age]]&lt;45,"35-44",IF(HR_Cleaned[[#This Row],[Age]]&lt;55,"45-54","55+"))))</f>
        <v>45-54</v>
      </c>
      <c r="AK62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26" t="str">
        <f>IF(HR_Cleaned[[#This Row],[MonthlyIncome]]&lt;3000,"Below 3000",IF(HR_Cleaned[[#This Row],[MonthlyIncome]]&lt;5000,"3000-4999",IF(HR_Cleaned[[#This Row],[MonthlyIncome]]&lt;8000,"5000-7999","8000+")))</f>
        <v>8000+</v>
      </c>
      <c r="AM626">
        <f>IF(HR_Cleaned[[#This Row],[Attrition]]="Yes",1,0)</f>
        <v>0</v>
      </c>
    </row>
    <row r="627" spans="1:39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>
        <f>IF(HR_Cleaned[[#This Row],[Age]]&lt;25,"18-24",IF(HR_Cleaned[[#This Row],[Age]]&lt;35,"25-34",IF(HR_Cleaned[[#This Row],[Age]]&lt;45,"35-44",IF(HR_Cleaned[[#This Row],[Age]]&lt;55,"45-54","55+"))))</f>
        <v>45-54</v>
      </c>
      <c r="AK62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27" t="str">
        <f>IF(HR_Cleaned[[#This Row],[MonthlyIncome]]&lt;3000,"Below 3000",IF(HR_Cleaned[[#This Row],[MonthlyIncome]]&lt;5000,"3000-4999",IF(HR_Cleaned[[#This Row],[MonthlyIncome]]&lt;8000,"5000-7999","8000+")))</f>
        <v>8000+</v>
      </c>
      <c r="AM627">
        <f>IF(HR_Cleaned[[#This Row],[Attrition]]="Yes",1,0)</f>
        <v>0</v>
      </c>
    </row>
    <row r="628" spans="1:39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>
        <f>IF(HR_Cleaned[[#This Row],[Age]]&lt;25,"18-24",IF(HR_Cleaned[[#This Row],[Age]]&lt;35,"25-34",IF(HR_Cleaned[[#This Row],[Age]]&lt;45,"35-44",IF(HR_Cleaned[[#This Row],[Age]]&lt;55,"45-54","55+"))))</f>
        <v>25-34</v>
      </c>
      <c r="AK62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28" t="str">
        <f>IF(HR_Cleaned[[#This Row],[MonthlyIncome]]&lt;3000,"Below 3000",IF(HR_Cleaned[[#This Row],[MonthlyIncome]]&lt;5000,"3000-4999",IF(HR_Cleaned[[#This Row],[MonthlyIncome]]&lt;8000,"5000-7999","8000+")))</f>
        <v>5000-7999</v>
      </c>
      <c r="AM628">
        <f>IF(HR_Cleaned[[#This Row],[Attrition]]="Yes",1,0)</f>
        <v>0</v>
      </c>
    </row>
    <row r="629" spans="1:39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>
        <f>IF(HR_Cleaned[[#This Row],[Age]]&lt;25,"18-24",IF(HR_Cleaned[[#This Row],[Age]]&lt;35,"25-34",IF(HR_Cleaned[[#This Row],[Age]]&lt;45,"35-44",IF(HR_Cleaned[[#This Row],[Age]]&lt;55,"45-54","55+"))))</f>
        <v>45-54</v>
      </c>
      <c r="AK62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29" t="str">
        <f>IF(HR_Cleaned[[#This Row],[MonthlyIncome]]&lt;3000,"Below 3000",IF(HR_Cleaned[[#This Row],[MonthlyIncome]]&lt;5000,"3000-4999",IF(HR_Cleaned[[#This Row],[MonthlyIncome]]&lt;8000,"5000-7999","8000+")))</f>
        <v>8000+</v>
      </c>
      <c r="AM629">
        <f>IF(HR_Cleaned[[#This Row],[Attrition]]="Yes",1,0)</f>
        <v>0</v>
      </c>
    </row>
    <row r="630" spans="1:39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>
        <f>IF(HR_Cleaned[[#This Row],[Age]]&lt;25,"18-24",IF(HR_Cleaned[[#This Row],[Age]]&lt;35,"25-34",IF(HR_Cleaned[[#This Row],[Age]]&lt;45,"35-44",IF(HR_Cleaned[[#This Row],[Age]]&lt;55,"45-54","55+"))))</f>
        <v>35-44</v>
      </c>
      <c r="AK63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30" t="str">
        <f>IF(HR_Cleaned[[#This Row],[MonthlyIncome]]&lt;3000,"Below 3000",IF(HR_Cleaned[[#This Row],[MonthlyIncome]]&lt;5000,"3000-4999",IF(HR_Cleaned[[#This Row],[MonthlyIncome]]&lt;8000,"5000-7999","8000+")))</f>
        <v>5000-7999</v>
      </c>
      <c r="AM630">
        <f>IF(HR_Cleaned[[#This Row],[Attrition]]="Yes",1,0)</f>
        <v>0</v>
      </c>
    </row>
    <row r="631" spans="1:39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>
        <f>IF(HR_Cleaned[[#This Row],[Age]]&lt;25,"18-24",IF(HR_Cleaned[[#This Row],[Age]]&lt;35,"25-34",IF(HR_Cleaned[[#This Row],[Age]]&lt;45,"35-44",IF(HR_Cleaned[[#This Row],[Age]]&lt;55,"45-54","55+"))))</f>
        <v>25-34</v>
      </c>
      <c r="AK63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31" t="str">
        <f>IF(HR_Cleaned[[#This Row],[MonthlyIncome]]&lt;3000,"Below 3000",IF(HR_Cleaned[[#This Row],[MonthlyIncome]]&lt;5000,"3000-4999",IF(HR_Cleaned[[#This Row],[MonthlyIncome]]&lt;8000,"5000-7999","8000+")))</f>
        <v>3000-4999</v>
      </c>
      <c r="AM631">
        <f>IF(HR_Cleaned[[#This Row],[Attrition]]="Yes",1,0)</f>
        <v>0</v>
      </c>
    </row>
    <row r="632" spans="1:39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>
        <f>IF(HR_Cleaned[[#This Row],[Age]]&lt;25,"18-24",IF(HR_Cleaned[[#This Row],[Age]]&lt;35,"25-34",IF(HR_Cleaned[[#This Row],[Age]]&lt;45,"35-44",IF(HR_Cleaned[[#This Row],[Age]]&lt;55,"45-54","55+"))))</f>
        <v>18-24</v>
      </c>
      <c r="AK63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32" t="str">
        <f>IF(HR_Cleaned[[#This Row],[MonthlyIncome]]&lt;3000,"Below 3000",IF(HR_Cleaned[[#This Row],[MonthlyIncome]]&lt;5000,"3000-4999",IF(HR_Cleaned[[#This Row],[MonthlyIncome]]&lt;8000,"5000-7999","8000+")))</f>
        <v>3000-4999</v>
      </c>
      <c r="AM632">
        <f>IF(HR_Cleaned[[#This Row],[Attrition]]="Yes",1,0)</f>
        <v>0</v>
      </c>
    </row>
    <row r="633" spans="1:39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>
        <f>IF(HR_Cleaned[[#This Row],[Age]]&lt;25,"18-24",IF(HR_Cleaned[[#This Row],[Age]]&lt;35,"25-34",IF(HR_Cleaned[[#This Row],[Age]]&lt;45,"35-44",IF(HR_Cleaned[[#This Row],[Age]]&lt;55,"45-54","55+"))))</f>
        <v>35-44</v>
      </c>
      <c r="AK63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33" t="str">
        <f>IF(HR_Cleaned[[#This Row],[MonthlyIncome]]&lt;3000,"Below 3000",IF(HR_Cleaned[[#This Row],[MonthlyIncome]]&lt;5000,"3000-4999",IF(HR_Cleaned[[#This Row],[MonthlyIncome]]&lt;8000,"5000-7999","8000+")))</f>
        <v>Below 3000</v>
      </c>
      <c r="AM633">
        <f>IF(HR_Cleaned[[#This Row],[Attrition]]="Yes",1,0)</f>
        <v>0</v>
      </c>
    </row>
    <row r="634" spans="1:39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>
        <f>IF(HR_Cleaned[[#This Row],[Age]]&lt;25,"18-24",IF(HR_Cleaned[[#This Row],[Age]]&lt;35,"25-34",IF(HR_Cleaned[[#This Row],[Age]]&lt;45,"35-44",IF(HR_Cleaned[[#This Row],[Age]]&lt;55,"45-54","55+"))))</f>
        <v>35-44</v>
      </c>
      <c r="AK63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34" t="str">
        <f>IF(HR_Cleaned[[#This Row],[MonthlyIncome]]&lt;3000,"Below 3000",IF(HR_Cleaned[[#This Row],[MonthlyIncome]]&lt;5000,"3000-4999",IF(HR_Cleaned[[#This Row],[MonthlyIncome]]&lt;8000,"5000-7999","8000+")))</f>
        <v>Below 3000</v>
      </c>
      <c r="AM634">
        <f>IF(HR_Cleaned[[#This Row],[Attrition]]="Yes",1,0)</f>
        <v>0</v>
      </c>
    </row>
    <row r="635" spans="1:39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>
        <f>IF(HR_Cleaned[[#This Row],[Age]]&lt;25,"18-24",IF(HR_Cleaned[[#This Row],[Age]]&lt;35,"25-34",IF(HR_Cleaned[[#This Row],[Age]]&lt;45,"35-44",IF(HR_Cleaned[[#This Row],[Age]]&lt;55,"45-54","55+"))))</f>
        <v>35-44</v>
      </c>
      <c r="AK63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35" t="str">
        <f>IF(HR_Cleaned[[#This Row],[MonthlyIncome]]&lt;3000,"Below 3000",IF(HR_Cleaned[[#This Row],[MonthlyIncome]]&lt;5000,"3000-4999",IF(HR_Cleaned[[#This Row],[MonthlyIncome]]&lt;8000,"5000-7999","8000+")))</f>
        <v>Below 3000</v>
      </c>
      <c r="AM635">
        <f>IF(HR_Cleaned[[#This Row],[Attrition]]="Yes",1,0)</f>
        <v>0</v>
      </c>
    </row>
    <row r="636" spans="1:39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>
        <f>IF(HR_Cleaned[[#This Row],[Age]]&lt;25,"18-24",IF(HR_Cleaned[[#This Row],[Age]]&lt;35,"25-34",IF(HR_Cleaned[[#This Row],[Age]]&lt;45,"35-44",IF(HR_Cleaned[[#This Row],[Age]]&lt;55,"45-54","55+"))))</f>
        <v>25-34</v>
      </c>
      <c r="AK63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36" t="str">
        <f>IF(HR_Cleaned[[#This Row],[MonthlyIncome]]&lt;3000,"Below 3000",IF(HR_Cleaned[[#This Row],[MonthlyIncome]]&lt;5000,"3000-4999",IF(HR_Cleaned[[#This Row],[MonthlyIncome]]&lt;8000,"5000-7999","8000+")))</f>
        <v>3000-4999</v>
      </c>
      <c r="AM636">
        <f>IF(HR_Cleaned[[#This Row],[Attrition]]="Yes",1,0)</f>
        <v>0</v>
      </c>
    </row>
    <row r="637" spans="1:39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>
        <f>IF(HR_Cleaned[[#This Row],[Age]]&lt;25,"18-24",IF(HR_Cleaned[[#This Row],[Age]]&lt;35,"25-34",IF(HR_Cleaned[[#This Row],[Age]]&lt;45,"35-44",IF(HR_Cleaned[[#This Row],[Age]]&lt;55,"45-54","55+"))))</f>
        <v>35-44</v>
      </c>
      <c r="AK63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637" t="str">
        <f>IF(HR_Cleaned[[#This Row],[MonthlyIncome]]&lt;3000,"Below 3000",IF(HR_Cleaned[[#This Row],[MonthlyIncome]]&lt;5000,"3000-4999",IF(HR_Cleaned[[#This Row],[MonthlyIncome]]&lt;8000,"5000-7999","8000+")))</f>
        <v>8000+</v>
      </c>
      <c r="AM637">
        <f>IF(HR_Cleaned[[#This Row],[Attrition]]="Yes",1,0)</f>
        <v>0</v>
      </c>
    </row>
    <row r="638" spans="1:39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>
        <f>IF(HR_Cleaned[[#This Row],[Age]]&lt;25,"18-24",IF(HR_Cleaned[[#This Row],[Age]]&lt;35,"25-34",IF(HR_Cleaned[[#This Row],[Age]]&lt;45,"35-44",IF(HR_Cleaned[[#This Row],[Age]]&lt;55,"45-54","55+"))))</f>
        <v>35-44</v>
      </c>
      <c r="AK63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38" t="str">
        <f>IF(HR_Cleaned[[#This Row],[MonthlyIncome]]&lt;3000,"Below 3000",IF(HR_Cleaned[[#This Row],[MonthlyIncome]]&lt;5000,"3000-4999",IF(HR_Cleaned[[#This Row],[MonthlyIncome]]&lt;8000,"5000-7999","8000+")))</f>
        <v>Below 3000</v>
      </c>
      <c r="AM638">
        <f>IF(HR_Cleaned[[#This Row],[Attrition]]="Yes",1,0)</f>
        <v>1</v>
      </c>
    </row>
    <row r="639" spans="1:39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>
        <f>IF(HR_Cleaned[[#This Row],[Age]]&lt;25,"18-24",IF(HR_Cleaned[[#This Row],[Age]]&lt;35,"25-34",IF(HR_Cleaned[[#This Row],[Age]]&lt;45,"35-44",IF(HR_Cleaned[[#This Row],[Age]]&lt;55,"45-54","55+"))))</f>
        <v>25-34</v>
      </c>
      <c r="AK63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39" t="str">
        <f>IF(HR_Cleaned[[#This Row],[MonthlyIncome]]&lt;3000,"Below 3000",IF(HR_Cleaned[[#This Row],[MonthlyIncome]]&lt;5000,"3000-4999",IF(HR_Cleaned[[#This Row],[MonthlyIncome]]&lt;8000,"5000-7999","8000+")))</f>
        <v>Below 3000</v>
      </c>
      <c r="AM639">
        <f>IF(HR_Cleaned[[#This Row],[Attrition]]="Yes",1,0)</f>
        <v>0</v>
      </c>
    </row>
    <row r="640" spans="1:39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>
        <f>IF(HR_Cleaned[[#This Row],[Age]]&lt;25,"18-24",IF(HR_Cleaned[[#This Row],[Age]]&lt;35,"25-34",IF(HR_Cleaned[[#This Row],[Age]]&lt;45,"35-44",IF(HR_Cleaned[[#This Row],[Age]]&lt;55,"45-54","55+"))))</f>
        <v>25-34</v>
      </c>
      <c r="AK64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40" t="str">
        <f>IF(HR_Cleaned[[#This Row],[MonthlyIncome]]&lt;3000,"Below 3000",IF(HR_Cleaned[[#This Row],[MonthlyIncome]]&lt;5000,"3000-4999",IF(HR_Cleaned[[#This Row],[MonthlyIncome]]&lt;8000,"5000-7999","8000+")))</f>
        <v>3000-4999</v>
      </c>
      <c r="AM640">
        <f>IF(HR_Cleaned[[#This Row],[Attrition]]="Yes",1,0)</f>
        <v>0</v>
      </c>
    </row>
    <row r="641" spans="1:39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>
        <f>IF(HR_Cleaned[[#This Row],[Age]]&lt;25,"18-24",IF(HR_Cleaned[[#This Row],[Age]]&lt;35,"25-34",IF(HR_Cleaned[[#This Row],[Age]]&lt;45,"35-44",IF(HR_Cleaned[[#This Row],[Age]]&lt;55,"45-54","55+"))))</f>
        <v>45-54</v>
      </c>
      <c r="AK64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41" t="str">
        <f>IF(HR_Cleaned[[#This Row],[MonthlyIncome]]&lt;3000,"Below 3000",IF(HR_Cleaned[[#This Row],[MonthlyIncome]]&lt;5000,"3000-4999",IF(HR_Cleaned[[#This Row],[MonthlyIncome]]&lt;8000,"5000-7999","8000+")))</f>
        <v>3000-4999</v>
      </c>
      <c r="AM641">
        <f>IF(HR_Cleaned[[#This Row],[Attrition]]="Yes",1,0)</f>
        <v>0</v>
      </c>
    </row>
    <row r="642" spans="1:39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>
        <f>IF(HR_Cleaned[[#This Row],[Age]]&lt;25,"18-24",IF(HR_Cleaned[[#This Row],[Age]]&lt;35,"25-34",IF(HR_Cleaned[[#This Row],[Age]]&lt;45,"35-44",IF(HR_Cleaned[[#This Row],[Age]]&lt;55,"45-54","55+"))))</f>
        <v>18-24</v>
      </c>
      <c r="AK64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42" t="str">
        <f>IF(HR_Cleaned[[#This Row],[MonthlyIncome]]&lt;3000,"Below 3000",IF(HR_Cleaned[[#This Row],[MonthlyIncome]]&lt;5000,"3000-4999",IF(HR_Cleaned[[#This Row],[MonthlyIncome]]&lt;8000,"5000-7999","8000+")))</f>
        <v>3000-4999</v>
      </c>
      <c r="AM642">
        <f>IF(HR_Cleaned[[#This Row],[Attrition]]="Yes",1,0)</f>
        <v>0</v>
      </c>
    </row>
    <row r="643" spans="1:39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>
        <f>IF(HR_Cleaned[[#This Row],[Age]]&lt;25,"18-24",IF(HR_Cleaned[[#This Row],[Age]]&lt;35,"25-34",IF(HR_Cleaned[[#This Row],[Age]]&lt;45,"35-44",IF(HR_Cleaned[[#This Row],[Age]]&lt;55,"45-54","55+"))))</f>
        <v>25-34</v>
      </c>
      <c r="AK64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43" t="str">
        <f>IF(HR_Cleaned[[#This Row],[MonthlyIncome]]&lt;3000,"Below 3000",IF(HR_Cleaned[[#This Row],[MonthlyIncome]]&lt;5000,"3000-4999",IF(HR_Cleaned[[#This Row],[MonthlyIncome]]&lt;8000,"5000-7999","8000+")))</f>
        <v>5000-7999</v>
      </c>
      <c r="AM643">
        <f>IF(HR_Cleaned[[#This Row],[Attrition]]="Yes",1,0)</f>
        <v>0</v>
      </c>
    </row>
    <row r="644" spans="1:39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>
        <f>IF(HR_Cleaned[[#This Row],[Age]]&lt;25,"18-24",IF(HR_Cleaned[[#This Row],[Age]]&lt;35,"25-34",IF(HR_Cleaned[[#This Row],[Age]]&lt;45,"35-44",IF(HR_Cleaned[[#This Row],[Age]]&lt;55,"45-54","55+"))))</f>
        <v>35-44</v>
      </c>
      <c r="AK64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44" t="str">
        <f>IF(HR_Cleaned[[#This Row],[MonthlyIncome]]&lt;3000,"Below 3000",IF(HR_Cleaned[[#This Row],[MonthlyIncome]]&lt;5000,"3000-4999",IF(HR_Cleaned[[#This Row],[MonthlyIncome]]&lt;8000,"5000-7999","8000+")))</f>
        <v>Below 3000</v>
      </c>
      <c r="AM644">
        <f>IF(HR_Cleaned[[#This Row],[Attrition]]="Yes",1,0)</f>
        <v>0</v>
      </c>
    </row>
    <row r="645" spans="1:39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>
        <f>IF(HR_Cleaned[[#This Row],[Age]]&lt;25,"18-24",IF(HR_Cleaned[[#This Row],[Age]]&lt;35,"25-34",IF(HR_Cleaned[[#This Row],[Age]]&lt;45,"35-44",IF(HR_Cleaned[[#This Row],[Age]]&lt;55,"45-54","55+"))))</f>
        <v>35-44</v>
      </c>
      <c r="AK64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45" t="str">
        <f>IF(HR_Cleaned[[#This Row],[MonthlyIncome]]&lt;3000,"Below 3000",IF(HR_Cleaned[[#This Row],[MonthlyIncome]]&lt;5000,"3000-4999",IF(HR_Cleaned[[#This Row],[MonthlyIncome]]&lt;8000,"5000-7999","8000+")))</f>
        <v>5000-7999</v>
      </c>
      <c r="AM645">
        <f>IF(HR_Cleaned[[#This Row],[Attrition]]="Yes",1,0)</f>
        <v>0</v>
      </c>
    </row>
    <row r="646" spans="1:39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>
        <f>IF(HR_Cleaned[[#This Row],[Age]]&lt;25,"18-24",IF(HR_Cleaned[[#This Row],[Age]]&lt;35,"25-34",IF(HR_Cleaned[[#This Row],[Age]]&lt;45,"35-44",IF(HR_Cleaned[[#This Row],[Age]]&lt;55,"45-54","55+"))))</f>
        <v>25-34</v>
      </c>
      <c r="AK64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46" t="str">
        <f>IF(HR_Cleaned[[#This Row],[MonthlyIncome]]&lt;3000,"Below 3000",IF(HR_Cleaned[[#This Row],[MonthlyIncome]]&lt;5000,"3000-4999",IF(HR_Cleaned[[#This Row],[MonthlyIncome]]&lt;8000,"5000-7999","8000+")))</f>
        <v>Below 3000</v>
      </c>
      <c r="AM646">
        <f>IF(HR_Cleaned[[#This Row],[Attrition]]="Yes",1,0)</f>
        <v>0</v>
      </c>
    </row>
    <row r="647" spans="1:39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>
        <f>IF(HR_Cleaned[[#This Row],[Age]]&lt;25,"18-24",IF(HR_Cleaned[[#This Row],[Age]]&lt;35,"25-34",IF(HR_Cleaned[[#This Row],[Age]]&lt;45,"35-44",IF(HR_Cleaned[[#This Row],[Age]]&lt;55,"45-54","55+"))))</f>
        <v>25-34</v>
      </c>
      <c r="AK64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47" t="str">
        <f>IF(HR_Cleaned[[#This Row],[MonthlyIncome]]&lt;3000,"Below 3000",IF(HR_Cleaned[[#This Row],[MonthlyIncome]]&lt;5000,"3000-4999",IF(HR_Cleaned[[#This Row],[MonthlyIncome]]&lt;8000,"5000-7999","8000+")))</f>
        <v>Below 3000</v>
      </c>
      <c r="AM647">
        <f>IF(HR_Cleaned[[#This Row],[Attrition]]="Yes",1,0)</f>
        <v>1</v>
      </c>
    </row>
    <row r="648" spans="1:39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>
        <f>IF(HR_Cleaned[[#This Row],[Age]]&lt;25,"18-24",IF(HR_Cleaned[[#This Row],[Age]]&lt;35,"25-34",IF(HR_Cleaned[[#This Row],[Age]]&lt;45,"35-44",IF(HR_Cleaned[[#This Row],[Age]]&lt;55,"45-54","55+"))))</f>
        <v>45-54</v>
      </c>
      <c r="AK64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48" t="str">
        <f>IF(HR_Cleaned[[#This Row],[MonthlyIncome]]&lt;3000,"Below 3000",IF(HR_Cleaned[[#This Row],[MonthlyIncome]]&lt;5000,"3000-4999",IF(HR_Cleaned[[#This Row],[MonthlyIncome]]&lt;8000,"5000-7999","8000+")))</f>
        <v>8000+</v>
      </c>
      <c r="AM648">
        <f>IF(HR_Cleaned[[#This Row],[Attrition]]="Yes",1,0)</f>
        <v>0</v>
      </c>
    </row>
    <row r="649" spans="1:39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>
        <f>IF(HR_Cleaned[[#This Row],[Age]]&lt;25,"18-24",IF(HR_Cleaned[[#This Row],[Age]]&lt;35,"25-34",IF(HR_Cleaned[[#This Row],[Age]]&lt;45,"35-44",IF(HR_Cleaned[[#This Row],[Age]]&lt;55,"45-54","55+"))))</f>
        <v>35-44</v>
      </c>
      <c r="AK64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649" t="str">
        <f>IF(HR_Cleaned[[#This Row],[MonthlyIncome]]&lt;3000,"Below 3000",IF(HR_Cleaned[[#This Row],[MonthlyIncome]]&lt;5000,"3000-4999",IF(HR_Cleaned[[#This Row],[MonthlyIncome]]&lt;8000,"5000-7999","8000+")))</f>
        <v>8000+</v>
      </c>
      <c r="AM649">
        <f>IF(HR_Cleaned[[#This Row],[Attrition]]="Yes",1,0)</f>
        <v>0</v>
      </c>
    </row>
    <row r="650" spans="1:39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>
        <f>IF(HR_Cleaned[[#This Row],[Age]]&lt;25,"18-24",IF(HR_Cleaned[[#This Row],[Age]]&lt;35,"25-34",IF(HR_Cleaned[[#This Row],[Age]]&lt;45,"35-44",IF(HR_Cleaned[[#This Row],[Age]]&lt;55,"45-54","55+"))))</f>
        <v>35-44</v>
      </c>
      <c r="AK65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50" t="str">
        <f>IF(HR_Cleaned[[#This Row],[MonthlyIncome]]&lt;3000,"Below 3000",IF(HR_Cleaned[[#This Row],[MonthlyIncome]]&lt;5000,"3000-4999",IF(HR_Cleaned[[#This Row],[MonthlyIncome]]&lt;8000,"5000-7999","8000+")))</f>
        <v>Below 3000</v>
      </c>
      <c r="AM650">
        <f>IF(HR_Cleaned[[#This Row],[Attrition]]="Yes",1,0)</f>
        <v>0</v>
      </c>
    </row>
    <row r="651" spans="1:39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>
        <f>IF(HR_Cleaned[[#This Row],[Age]]&lt;25,"18-24",IF(HR_Cleaned[[#This Row],[Age]]&lt;35,"25-34",IF(HR_Cleaned[[#This Row],[Age]]&lt;45,"35-44",IF(HR_Cleaned[[#This Row],[Age]]&lt;55,"45-54","55+"))))</f>
        <v>45-54</v>
      </c>
      <c r="AK651" t="str">
        <f>IF(HR_Cleaned[[#This Row],[YearsAtCompany]]&lt;=2,"0-2 Years",IF(HR_Cleaned[[#This Row],[YearsAtCompany]]&lt;=5,"3-5 Years",IF(HR_Cleaned[[#This Row],[YearsAtCompany]]&lt;=10,"6-10 Years","11+ Years")))</f>
        <v>11+ Years</v>
      </c>
      <c r="AL651" t="str">
        <f>IF(HR_Cleaned[[#This Row],[MonthlyIncome]]&lt;3000,"Below 3000",IF(HR_Cleaned[[#This Row],[MonthlyIncome]]&lt;5000,"3000-4999",IF(HR_Cleaned[[#This Row],[MonthlyIncome]]&lt;8000,"5000-7999","8000+")))</f>
        <v>8000+</v>
      </c>
      <c r="AM651">
        <f>IF(HR_Cleaned[[#This Row],[Attrition]]="Yes",1,0)</f>
        <v>0</v>
      </c>
    </row>
    <row r="652" spans="1:39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>
        <f>IF(HR_Cleaned[[#This Row],[Age]]&lt;25,"18-24",IF(HR_Cleaned[[#This Row],[Age]]&lt;35,"25-34",IF(HR_Cleaned[[#This Row],[Age]]&lt;45,"35-44",IF(HR_Cleaned[[#This Row],[Age]]&lt;55,"45-54","55+"))))</f>
        <v>35-44</v>
      </c>
      <c r="AK65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52" t="str">
        <f>IF(HR_Cleaned[[#This Row],[MonthlyIncome]]&lt;3000,"Below 3000",IF(HR_Cleaned[[#This Row],[MonthlyIncome]]&lt;5000,"3000-4999",IF(HR_Cleaned[[#This Row],[MonthlyIncome]]&lt;8000,"5000-7999","8000+")))</f>
        <v>5000-7999</v>
      </c>
      <c r="AM652">
        <f>IF(HR_Cleaned[[#This Row],[Attrition]]="Yes",1,0)</f>
        <v>0</v>
      </c>
    </row>
    <row r="653" spans="1:39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>
        <f>IF(HR_Cleaned[[#This Row],[Age]]&lt;25,"18-24",IF(HR_Cleaned[[#This Row],[Age]]&lt;35,"25-34",IF(HR_Cleaned[[#This Row],[Age]]&lt;45,"35-44",IF(HR_Cleaned[[#This Row],[Age]]&lt;55,"45-54","55+"))))</f>
        <v>45-54</v>
      </c>
      <c r="AK65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53" t="str">
        <f>IF(HR_Cleaned[[#This Row],[MonthlyIncome]]&lt;3000,"Below 3000",IF(HR_Cleaned[[#This Row],[MonthlyIncome]]&lt;5000,"3000-4999",IF(HR_Cleaned[[#This Row],[MonthlyIncome]]&lt;8000,"5000-7999","8000+")))</f>
        <v>3000-4999</v>
      </c>
      <c r="AM653">
        <f>IF(HR_Cleaned[[#This Row],[Attrition]]="Yes",1,0)</f>
        <v>0</v>
      </c>
    </row>
    <row r="654" spans="1:39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>
        <f>IF(HR_Cleaned[[#This Row],[Age]]&lt;25,"18-24",IF(HR_Cleaned[[#This Row],[Age]]&lt;35,"25-34",IF(HR_Cleaned[[#This Row],[Age]]&lt;45,"35-44",IF(HR_Cleaned[[#This Row],[Age]]&lt;55,"45-54","55+"))))</f>
        <v>35-44</v>
      </c>
      <c r="AK65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54" t="str">
        <f>IF(HR_Cleaned[[#This Row],[MonthlyIncome]]&lt;3000,"Below 3000",IF(HR_Cleaned[[#This Row],[MonthlyIncome]]&lt;5000,"3000-4999",IF(HR_Cleaned[[#This Row],[MonthlyIncome]]&lt;8000,"5000-7999","8000+")))</f>
        <v>5000-7999</v>
      </c>
      <c r="AM654">
        <f>IF(HR_Cleaned[[#This Row],[Attrition]]="Yes",1,0)</f>
        <v>0</v>
      </c>
    </row>
    <row r="655" spans="1:39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>
        <f>IF(HR_Cleaned[[#This Row],[Age]]&lt;25,"18-24",IF(HR_Cleaned[[#This Row],[Age]]&lt;35,"25-34",IF(HR_Cleaned[[#This Row],[Age]]&lt;45,"35-44",IF(HR_Cleaned[[#This Row],[Age]]&lt;55,"45-54","55+"))))</f>
        <v>45-54</v>
      </c>
      <c r="AK65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655" t="str">
        <f>IF(HR_Cleaned[[#This Row],[MonthlyIncome]]&lt;3000,"Below 3000",IF(HR_Cleaned[[#This Row],[MonthlyIncome]]&lt;5000,"3000-4999",IF(HR_Cleaned[[#This Row],[MonthlyIncome]]&lt;8000,"5000-7999","8000+")))</f>
        <v>8000+</v>
      </c>
      <c r="AM655">
        <f>IF(HR_Cleaned[[#This Row],[Attrition]]="Yes",1,0)</f>
        <v>0</v>
      </c>
    </row>
    <row r="656" spans="1:39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>
        <f>IF(HR_Cleaned[[#This Row],[Age]]&lt;25,"18-24",IF(HR_Cleaned[[#This Row],[Age]]&lt;35,"25-34",IF(HR_Cleaned[[#This Row],[Age]]&lt;45,"35-44",IF(HR_Cleaned[[#This Row],[Age]]&lt;55,"45-54","55+"))))</f>
        <v>35-44</v>
      </c>
      <c r="AK65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56" t="str">
        <f>IF(HR_Cleaned[[#This Row],[MonthlyIncome]]&lt;3000,"Below 3000",IF(HR_Cleaned[[#This Row],[MonthlyIncome]]&lt;5000,"3000-4999",IF(HR_Cleaned[[#This Row],[MonthlyIncome]]&lt;8000,"5000-7999","8000+")))</f>
        <v>5000-7999</v>
      </c>
      <c r="AM656">
        <f>IF(HR_Cleaned[[#This Row],[Attrition]]="Yes",1,0)</f>
        <v>0</v>
      </c>
    </row>
    <row r="657" spans="1:39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>
        <f>IF(HR_Cleaned[[#This Row],[Age]]&lt;25,"18-24",IF(HR_Cleaned[[#This Row],[Age]]&lt;35,"25-34",IF(HR_Cleaned[[#This Row],[Age]]&lt;45,"35-44",IF(HR_Cleaned[[#This Row],[Age]]&lt;55,"45-54","55+"))))</f>
        <v>25-34</v>
      </c>
      <c r="AK65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57" t="str">
        <f>IF(HR_Cleaned[[#This Row],[MonthlyIncome]]&lt;3000,"Below 3000",IF(HR_Cleaned[[#This Row],[MonthlyIncome]]&lt;5000,"3000-4999",IF(HR_Cleaned[[#This Row],[MonthlyIncome]]&lt;8000,"5000-7999","8000+")))</f>
        <v>Below 3000</v>
      </c>
      <c r="AM657">
        <f>IF(HR_Cleaned[[#This Row],[Attrition]]="Yes",1,0)</f>
        <v>0</v>
      </c>
    </row>
    <row r="658" spans="1:39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>
        <f>IF(HR_Cleaned[[#This Row],[Age]]&lt;25,"18-24",IF(HR_Cleaned[[#This Row],[Age]]&lt;35,"25-34",IF(HR_Cleaned[[#This Row],[Age]]&lt;45,"35-44",IF(HR_Cleaned[[#This Row],[Age]]&lt;55,"45-54","55+"))))</f>
        <v>25-34</v>
      </c>
      <c r="AK65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58" t="str">
        <f>IF(HR_Cleaned[[#This Row],[MonthlyIncome]]&lt;3000,"Below 3000",IF(HR_Cleaned[[#This Row],[MonthlyIncome]]&lt;5000,"3000-4999",IF(HR_Cleaned[[#This Row],[MonthlyIncome]]&lt;8000,"5000-7999","8000+")))</f>
        <v>Below 3000</v>
      </c>
      <c r="AM658">
        <f>IF(HR_Cleaned[[#This Row],[Attrition]]="Yes",1,0)</f>
        <v>1</v>
      </c>
    </row>
    <row r="659" spans="1:39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>
        <f>IF(HR_Cleaned[[#This Row],[Age]]&lt;25,"18-24",IF(HR_Cleaned[[#This Row],[Age]]&lt;35,"25-34",IF(HR_Cleaned[[#This Row],[Age]]&lt;45,"35-44",IF(HR_Cleaned[[#This Row],[Age]]&lt;55,"45-54","55+"))))</f>
        <v>25-34</v>
      </c>
      <c r="AK65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59" t="str">
        <f>IF(HR_Cleaned[[#This Row],[MonthlyIncome]]&lt;3000,"Below 3000",IF(HR_Cleaned[[#This Row],[MonthlyIncome]]&lt;5000,"3000-4999",IF(HR_Cleaned[[#This Row],[MonthlyIncome]]&lt;8000,"5000-7999","8000+")))</f>
        <v>Below 3000</v>
      </c>
      <c r="AM659">
        <f>IF(HR_Cleaned[[#This Row],[Attrition]]="Yes",1,0)</f>
        <v>0</v>
      </c>
    </row>
    <row r="660" spans="1:39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>
        <f>IF(HR_Cleaned[[#This Row],[Age]]&lt;25,"18-24",IF(HR_Cleaned[[#This Row],[Age]]&lt;35,"25-34",IF(HR_Cleaned[[#This Row],[Age]]&lt;45,"35-44",IF(HR_Cleaned[[#This Row],[Age]]&lt;55,"45-54","55+"))))</f>
        <v>35-44</v>
      </c>
      <c r="AK66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60" t="str">
        <f>IF(HR_Cleaned[[#This Row],[MonthlyIncome]]&lt;3000,"Below 3000",IF(HR_Cleaned[[#This Row],[MonthlyIncome]]&lt;5000,"3000-4999",IF(HR_Cleaned[[#This Row],[MonthlyIncome]]&lt;8000,"5000-7999","8000+")))</f>
        <v>Below 3000</v>
      </c>
      <c r="AM660">
        <f>IF(HR_Cleaned[[#This Row],[Attrition]]="Yes",1,0)</f>
        <v>0</v>
      </c>
    </row>
    <row r="661" spans="1:39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>
        <f>IF(HR_Cleaned[[#This Row],[Age]]&lt;25,"18-24",IF(HR_Cleaned[[#This Row],[Age]]&lt;35,"25-34",IF(HR_Cleaned[[#This Row],[Age]]&lt;45,"35-44",IF(HR_Cleaned[[#This Row],[Age]]&lt;55,"45-54","55+"))))</f>
        <v>25-34</v>
      </c>
      <c r="AK66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61" t="str">
        <f>IF(HR_Cleaned[[#This Row],[MonthlyIncome]]&lt;3000,"Below 3000",IF(HR_Cleaned[[#This Row],[MonthlyIncome]]&lt;5000,"3000-4999",IF(HR_Cleaned[[#This Row],[MonthlyIncome]]&lt;8000,"5000-7999","8000+")))</f>
        <v>3000-4999</v>
      </c>
      <c r="AM661">
        <f>IF(HR_Cleaned[[#This Row],[Attrition]]="Yes",1,0)</f>
        <v>0</v>
      </c>
    </row>
    <row r="662" spans="1:39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>
        <f>IF(HR_Cleaned[[#This Row],[Age]]&lt;25,"18-24",IF(HR_Cleaned[[#This Row],[Age]]&lt;35,"25-34",IF(HR_Cleaned[[#This Row],[Age]]&lt;45,"35-44",IF(HR_Cleaned[[#This Row],[Age]]&lt;55,"45-54","55+"))))</f>
        <v>55+</v>
      </c>
      <c r="AK66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62" t="str">
        <f>IF(HR_Cleaned[[#This Row],[MonthlyIncome]]&lt;3000,"Below 3000",IF(HR_Cleaned[[#This Row],[MonthlyIncome]]&lt;5000,"3000-4999",IF(HR_Cleaned[[#This Row],[MonthlyIncome]]&lt;8000,"5000-7999","8000+")))</f>
        <v>Below 3000</v>
      </c>
      <c r="AM662">
        <f>IF(HR_Cleaned[[#This Row],[Attrition]]="Yes",1,0)</f>
        <v>1</v>
      </c>
    </row>
    <row r="663" spans="1:39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>
        <f>IF(HR_Cleaned[[#This Row],[Age]]&lt;25,"18-24",IF(HR_Cleaned[[#This Row],[Age]]&lt;35,"25-34",IF(HR_Cleaned[[#This Row],[Age]]&lt;45,"35-44",IF(HR_Cleaned[[#This Row],[Age]]&lt;55,"45-54","55+"))))</f>
        <v>35-44</v>
      </c>
      <c r="AK66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63" t="str">
        <f>IF(HR_Cleaned[[#This Row],[MonthlyIncome]]&lt;3000,"Below 3000",IF(HR_Cleaned[[#This Row],[MonthlyIncome]]&lt;5000,"3000-4999",IF(HR_Cleaned[[#This Row],[MonthlyIncome]]&lt;8000,"5000-7999","8000+")))</f>
        <v>3000-4999</v>
      </c>
      <c r="AM663">
        <f>IF(HR_Cleaned[[#This Row],[Attrition]]="Yes",1,0)</f>
        <v>0</v>
      </c>
    </row>
    <row r="664" spans="1:39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>
        <f>IF(HR_Cleaned[[#This Row],[Age]]&lt;25,"18-24",IF(HR_Cleaned[[#This Row],[Age]]&lt;35,"25-34",IF(HR_Cleaned[[#This Row],[Age]]&lt;45,"35-44",IF(HR_Cleaned[[#This Row],[Age]]&lt;55,"45-54","55+"))))</f>
        <v>18-24</v>
      </c>
      <c r="AK66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64" t="str">
        <f>IF(HR_Cleaned[[#This Row],[MonthlyIncome]]&lt;3000,"Below 3000",IF(HR_Cleaned[[#This Row],[MonthlyIncome]]&lt;5000,"3000-4999",IF(HR_Cleaned[[#This Row],[MonthlyIncome]]&lt;8000,"5000-7999","8000+")))</f>
        <v>Below 3000</v>
      </c>
      <c r="AM664">
        <f>IF(HR_Cleaned[[#This Row],[Attrition]]="Yes",1,0)</f>
        <v>1</v>
      </c>
    </row>
    <row r="665" spans="1:39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>
        <f>IF(HR_Cleaned[[#This Row],[Age]]&lt;25,"18-24",IF(HR_Cleaned[[#This Row],[Age]]&lt;35,"25-34",IF(HR_Cleaned[[#This Row],[Age]]&lt;45,"35-44",IF(HR_Cleaned[[#This Row],[Age]]&lt;55,"45-54","55+"))))</f>
        <v>18-24</v>
      </c>
      <c r="AK665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65" t="str">
        <f>IF(HR_Cleaned[[#This Row],[MonthlyIncome]]&lt;3000,"Below 3000",IF(HR_Cleaned[[#This Row],[MonthlyIncome]]&lt;5000,"3000-4999",IF(HR_Cleaned[[#This Row],[MonthlyIncome]]&lt;8000,"5000-7999","8000+")))</f>
        <v>Below 3000</v>
      </c>
      <c r="AM665">
        <f>IF(HR_Cleaned[[#This Row],[Attrition]]="Yes",1,0)</f>
        <v>1</v>
      </c>
    </row>
    <row r="666" spans="1:39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>
        <f>IF(HR_Cleaned[[#This Row],[Age]]&lt;25,"18-24",IF(HR_Cleaned[[#This Row],[Age]]&lt;35,"25-34",IF(HR_Cleaned[[#This Row],[Age]]&lt;45,"35-44",IF(HR_Cleaned[[#This Row],[Age]]&lt;55,"45-54","55+"))))</f>
        <v>35-44</v>
      </c>
      <c r="AK666" t="str">
        <f>IF(HR_Cleaned[[#This Row],[YearsAtCompany]]&lt;=2,"0-2 Years",IF(HR_Cleaned[[#This Row],[YearsAtCompany]]&lt;=5,"3-5 Years",IF(HR_Cleaned[[#This Row],[YearsAtCompany]]&lt;=10,"6-10 Years","11+ Years")))</f>
        <v>11+ Years</v>
      </c>
      <c r="AL666" t="str">
        <f>IF(HR_Cleaned[[#This Row],[MonthlyIncome]]&lt;3000,"Below 3000",IF(HR_Cleaned[[#This Row],[MonthlyIncome]]&lt;5000,"3000-4999",IF(HR_Cleaned[[#This Row],[MonthlyIncome]]&lt;8000,"5000-7999","8000+")))</f>
        <v>5000-7999</v>
      </c>
      <c r="AM666">
        <f>IF(HR_Cleaned[[#This Row],[Attrition]]="Yes",1,0)</f>
        <v>0</v>
      </c>
    </row>
    <row r="667" spans="1:39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>
        <f>IF(HR_Cleaned[[#This Row],[Age]]&lt;25,"18-24",IF(HR_Cleaned[[#This Row],[Age]]&lt;35,"25-34",IF(HR_Cleaned[[#This Row],[Age]]&lt;45,"35-44",IF(HR_Cleaned[[#This Row],[Age]]&lt;55,"45-54","55+"))))</f>
        <v>45-54</v>
      </c>
      <c r="AK66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67" t="str">
        <f>IF(HR_Cleaned[[#This Row],[MonthlyIncome]]&lt;3000,"Below 3000",IF(HR_Cleaned[[#This Row],[MonthlyIncome]]&lt;5000,"3000-4999",IF(HR_Cleaned[[#This Row],[MonthlyIncome]]&lt;8000,"5000-7999","8000+")))</f>
        <v>3000-4999</v>
      </c>
      <c r="AM667">
        <f>IF(HR_Cleaned[[#This Row],[Attrition]]="Yes",1,0)</f>
        <v>0</v>
      </c>
    </row>
    <row r="668" spans="1:39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>
        <f>IF(HR_Cleaned[[#This Row],[Age]]&lt;25,"18-24",IF(HR_Cleaned[[#This Row],[Age]]&lt;35,"25-34",IF(HR_Cleaned[[#This Row],[Age]]&lt;45,"35-44",IF(HR_Cleaned[[#This Row],[Age]]&lt;55,"45-54","55+"))))</f>
        <v>18-24</v>
      </c>
      <c r="AK66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68" t="str">
        <f>IF(HR_Cleaned[[#This Row],[MonthlyIncome]]&lt;3000,"Below 3000",IF(HR_Cleaned[[#This Row],[MonthlyIncome]]&lt;5000,"3000-4999",IF(HR_Cleaned[[#This Row],[MonthlyIncome]]&lt;8000,"5000-7999","8000+")))</f>
        <v>3000-4999</v>
      </c>
      <c r="AM668">
        <f>IF(HR_Cleaned[[#This Row],[Attrition]]="Yes",1,0)</f>
        <v>1</v>
      </c>
    </row>
    <row r="669" spans="1:39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>
        <f>IF(HR_Cleaned[[#This Row],[Age]]&lt;25,"18-24",IF(HR_Cleaned[[#This Row],[Age]]&lt;35,"25-34",IF(HR_Cleaned[[#This Row],[Age]]&lt;45,"35-44",IF(HR_Cleaned[[#This Row],[Age]]&lt;55,"45-54","55+"))))</f>
        <v>35-44</v>
      </c>
      <c r="AK66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69" t="str">
        <f>IF(HR_Cleaned[[#This Row],[MonthlyIncome]]&lt;3000,"Below 3000",IF(HR_Cleaned[[#This Row],[MonthlyIncome]]&lt;5000,"3000-4999",IF(HR_Cleaned[[#This Row],[MonthlyIncome]]&lt;8000,"5000-7999","8000+")))</f>
        <v>Below 3000</v>
      </c>
      <c r="AM669">
        <f>IF(HR_Cleaned[[#This Row],[Attrition]]="Yes",1,0)</f>
        <v>1</v>
      </c>
    </row>
    <row r="670" spans="1:39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>
        <f>IF(HR_Cleaned[[#This Row],[Age]]&lt;25,"18-24",IF(HR_Cleaned[[#This Row],[Age]]&lt;35,"25-34",IF(HR_Cleaned[[#This Row],[Age]]&lt;45,"35-44",IF(HR_Cleaned[[#This Row],[Age]]&lt;55,"45-54","55+"))))</f>
        <v>25-34</v>
      </c>
      <c r="AK67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70" t="str">
        <f>IF(HR_Cleaned[[#This Row],[MonthlyIncome]]&lt;3000,"Below 3000",IF(HR_Cleaned[[#This Row],[MonthlyIncome]]&lt;5000,"3000-4999",IF(HR_Cleaned[[#This Row],[MonthlyIncome]]&lt;8000,"5000-7999","8000+")))</f>
        <v>Below 3000</v>
      </c>
      <c r="AM670">
        <f>IF(HR_Cleaned[[#This Row],[Attrition]]="Yes",1,0)</f>
        <v>0</v>
      </c>
    </row>
    <row r="671" spans="1:39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>
        <f>IF(HR_Cleaned[[#This Row],[Age]]&lt;25,"18-24",IF(HR_Cleaned[[#This Row],[Age]]&lt;35,"25-34",IF(HR_Cleaned[[#This Row],[Age]]&lt;45,"35-44",IF(HR_Cleaned[[#This Row],[Age]]&lt;55,"45-54","55+"))))</f>
        <v>35-44</v>
      </c>
      <c r="AK67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71" t="str">
        <f>IF(HR_Cleaned[[#This Row],[MonthlyIncome]]&lt;3000,"Below 3000",IF(HR_Cleaned[[#This Row],[MonthlyIncome]]&lt;5000,"3000-4999",IF(HR_Cleaned[[#This Row],[MonthlyIncome]]&lt;8000,"5000-7999","8000+")))</f>
        <v>Below 3000</v>
      </c>
      <c r="AM671">
        <f>IF(HR_Cleaned[[#This Row],[Attrition]]="Yes",1,0)</f>
        <v>1</v>
      </c>
    </row>
    <row r="672" spans="1:39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>
        <f>IF(HR_Cleaned[[#This Row],[Age]]&lt;25,"18-24",IF(HR_Cleaned[[#This Row],[Age]]&lt;35,"25-34",IF(HR_Cleaned[[#This Row],[Age]]&lt;45,"35-44",IF(HR_Cleaned[[#This Row],[Age]]&lt;55,"45-54","55+"))))</f>
        <v>25-34</v>
      </c>
      <c r="AK67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72" t="str">
        <f>IF(HR_Cleaned[[#This Row],[MonthlyIncome]]&lt;3000,"Below 3000",IF(HR_Cleaned[[#This Row],[MonthlyIncome]]&lt;5000,"3000-4999",IF(HR_Cleaned[[#This Row],[MonthlyIncome]]&lt;8000,"5000-7999","8000+")))</f>
        <v>Below 3000</v>
      </c>
      <c r="AM672">
        <f>IF(HR_Cleaned[[#This Row],[Attrition]]="Yes",1,0)</f>
        <v>0</v>
      </c>
    </row>
    <row r="673" spans="1:39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>
        <f>IF(HR_Cleaned[[#This Row],[Age]]&lt;25,"18-24",IF(HR_Cleaned[[#This Row],[Age]]&lt;35,"25-34",IF(HR_Cleaned[[#This Row],[Age]]&lt;45,"35-44",IF(HR_Cleaned[[#This Row],[Age]]&lt;55,"45-54","55+"))))</f>
        <v>25-34</v>
      </c>
      <c r="AK67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73" t="str">
        <f>IF(HR_Cleaned[[#This Row],[MonthlyIncome]]&lt;3000,"Below 3000",IF(HR_Cleaned[[#This Row],[MonthlyIncome]]&lt;5000,"3000-4999",IF(HR_Cleaned[[#This Row],[MonthlyIncome]]&lt;8000,"5000-7999","8000+")))</f>
        <v>Below 3000</v>
      </c>
      <c r="AM673">
        <f>IF(HR_Cleaned[[#This Row],[Attrition]]="Yes",1,0)</f>
        <v>0</v>
      </c>
    </row>
    <row r="674" spans="1:39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>
        <f>IF(HR_Cleaned[[#This Row],[Age]]&lt;25,"18-24",IF(HR_Cleaned[[#This Row],[Age]]&lt;35,"25-34",IF(HR_Cleaned[[#This Row],[Age]]&lt;45,"35-44",IF(HR_Cleaned[[#This Row],[Age]]&lt;55,"45-54","55+"))))</f>
        <v>35-44</v>
      </c>
      <c r="AK67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74" t="str">
        <f>IF(HR_Cleaned[[#This Row],[MonthlyIncome]]&lt;3000,"Below 3000",IF(HR_Cleaned[[#This Row],[MonthlyIncome]]&lt;5000,"3000-4999",IF(HR_Cleaned[[#This Row],[MonthlyIncome]]&lt;8000,"5000-7999","8000+")))</f>
        <v>5000-7999</v>
      </c>
      <c r="AM674">
        <f>IF(HR_Cleaned[[#This Row],[Attrition]]="Yes",1,0)</f>
        <v>0</v>
      </c>
    </row>
    <row r="675" spans="1:39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>
        <f>IF(HR_Cleaned[[#This Row],[Age]]&lt;25,"18-24",IF(HR_Cleaned[[#This Row],[Age]]&lt;35,"25-34",IF(HR_Cleaned[[#This Row],[Age]]&lt;45,"35-44",IF(HR_Cleaned[[#This Row],[Age]]&lt;55,"45-54","55+"))))</f>
        <v>25-34</v>
      </c>
      <c r="AK67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75" t="str">
        <f>IF(HR_Cleaned[[#This Row],[MonthlyIncome]]&lt;3000,"Below 3000",IF(HR_Cleaned[[#This Row],[MonthlyIncome]]&lt;5000,"3000-4999",IF(HR_Cleaned[[#This Row],[MonthlyIncome]]&lt;8000,"5000-7999","8000+")))</f>
        <v>Below 3000</v>
      </c>
      <c r="AM675">
        <f>IF(HR_Cleaned[[#This Row],[Attrition]]="Yes",1,0)</f>
        <v>0</v>
      </c>
    </row>
    <row r="676" spans="1:39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>
        <f>IF(HR_Cleaned[[#This Row],[Age]]&lt;25,"18-24",IF(HR_Cleaned[[#This Row],[Age]]&lt;35,"25-34",IF(HR_Cleaned[[#This Row],[Age]]&lt;45,"35-44",IF(HR_Cleaned[[#This Row],[Age]]&lt;55,"45-54","55+"))))</f>
        <v>55+</v>
      </c>
      <c r="AK67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76" t="str">
        <f>IF(HR_Cleaned[[#This Row],[MonthlyIncome]]&lt;3000,"Below 3000",IF(HR_Cleaned[[#This Row],[MonthlyIncome]]&lt;5000,"3000-4999",IF(HR_Cleaned[[#This Row],[MonthlyIncome]]&lt;8000,"5000-7999","8000+")))</f>
        <v>8000+</v>
      </c>
      <c r="AM676">
        <f>IF(HR_Cleaned[[#This Row],[Attrition]]="Yes",1,0)</f>
        <v>0</v>
      </c>
    </row>
    <row r="677" spans="1:39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>
        <f>IF(HR_Cleaned[[#This Row],[Age]]&lt;25,"18-24",IF(HR_Cleaned[[#This Row],[Age]]&lt;35,"25-34",IF(HR_Cleaned[[#This Row],[Age]]&lt;45,"35-44",IF(HR_Cleaned[[#This Row],[Age]]&lt;55,"45-54","55+"))))</f>
        <v>25-34</v>
      </c>
      <c r="AK67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77" t="str">
        <f>IF(HR_Cleaned[[#This Row],[MonthlyIncome]]&lt;3000,"Below 3000",IF(HR_Cleaned[[#This Row],[MonthlyIncome]]&lt;5000,"3000-4999",IF(HR_Cleaned[[#This Row],[MonthlyIncome]]&lt;8000,"5000-7999","8000+")))</f>
        <v>Below 3000</v>
      </c>
      <c r="AM677">
        <f>IF(HR_Cleaned[[#This Row],[Attrition]]="Yes",1,0)</f>
        <v>0</v>
      </c>
    </row>
    <row r="678" spans="1:39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>
        <f>IF(HR_Cleaned[[#This Row],[Age]]&lt;25,"18-24",IF(HR_Cleaned[[#This Row],[Age]]&lt;35,"25-34",IF(HR_Cleaned[[#This Row],[Age]]&lt;45,"35-44",IF(HR_Cleaned[[#This Row],[Age]]&lt;55,"45-54","55+"))))</f>
        <v>35-44</v>
      </c>
      <c r="AK67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78" t="str">
        <f>IF(HR_Cleaned[[#This Row],[MonthlyIncome]]&lt;3000,"Below 3000",IF(HR_Cleaned[[#This Row],[MonthlyIncome]]&lt;5000,"3000-4999",IF(HR_Cleaned[[#This Row],[MonthlyIncome]]&lt;8000,"5000-7999","8000+")))</f>
        <v>3000-4999</v>
      </c>
      <c r="AM678">
        <f>IF(HR_Cleaned[[#This Row],[Attrition]]="Yes",1,0)</f>
        <v>0</v>
      </c>
    </row>
    <row r="679" spans="1:39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>
        <f>IF(HR_Cleaned[[#This Row],[Age]]&lt;25,"18-24",IF(HR_Cleaned[[#This Row],[Age]]&lt;35,"25-34",IF(HR_Cleaned[[#This Row],[Age]]&lt;45,"35-44",IF(HR_Cleaned[[#This Row],[Age]]&lt;55,"45-54","55+"))))</f>
        <v>45-54</v>
      </c>
      <c r="AK67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679" t="str">
        <f>IF(HR_Cleaned[[#This Row],[MonthlyIncome]]&lt;3000,"Below 3000",IF(HR_Cleaned[[#This Row],[MonthlyIncome]]&lt;5000,"3000-4999",IF(HR_Cleaned[[#This Row],[MonthlyIncome]]&lt;8000,"5000-7999","8000+")))</f>
        <v>5000-7999</v>
      </c>
      <c r="AM679">
        <f>IF(HR_Cleaned[[#This Row],[Attrition]]="Yes",1,0)</f>
        <v>0</v>
      </c>
    </row>
    <row r="680" spans="1:39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>
        <f>IF(HR_Cleaned[[#This Row],[Age]]&lt;25,"18-24",IF(HR_Cleaned[[#This Row],[Age]]&lt;35,"25-34",IF(HR_Cleaned[[#This Row],[Age]]&lt;45,"35-44",IF(HR_Cleaned[[#This Row],[Age]]&lt;55,"45-54","55+"))))</f>
        <v>45-54</v>
      </c>
      <c r="AK68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80" t="str">
        <f>IF(HR_Cleaned[[#This Row],[MonthlyIncome]]&lt;3000,"Below 3000",IF(HR_Cleaned[[#This Row],[MonthlyIncome]]&lt;5000,"3000-4999",IF(HR_Cleaned[[#This Row],[MonthlyIncome]]&lt;8000,"5000-7999","8000+")))</f>
        <v>Below 3000</v>
      </c>
      <c r="AM680">
        <f>IF(HR_Cleaned[[#This Row],[Attrition]]="Yes",1,0)</f>
        <v>0</v>
      </c>
    </row>
    <row r="681" spans="1:39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>
        <f>IF(HR_Cleaned[[#This Row],[Age]]&lt;25,"18-24",IF(HR_Cleaned[[#This Row],[Age]]&lt;35,"25-34",IF(HR_Cleaned[[#This Row],[Age]]&lt;45,"35-44",IF(HR_Cleaned[[#This Row],[Age]]&lt;55,"45-54","55+"))))</f>
        <v>25-34</v>
      </c>
      <c r="AK68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81" t="str">
        <f>IF(HR_Cleaned[[#This Row],[MonthlyIncome]]&lt;3000,"Below 3000",IF(HR_Cleaned[[#This Row],[MonthlyIncome]]&lt;5000,"3000-4999",IF(HR_Cleaned[[#This Row],[MonthlyIncome]]&lt;8000,"5000-7999","8000+")))</f>
        <v>5000-7999</v>
      </c>
      <c r="AM681">
        <f>IF(HR_Cleaned[[#This Row],[Attrition]]="Yes",1,0)</f>
        <v>0</v>
      </c>
    </row>
    <row r="682" spans="1:39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>
        <f>IF(HR_Cleaned[[#This Row],[Age]]&lt;25,"18-24",IF(HR_Cleaned[[#This Row],[Age]]&lt;35,"25-34",IF(HR_Cleaned[[#This Row],[Age]]&lt;45,"35-44",IF(HR_Cleaned[[#This Row],[Age]]&lt;55,"45-54","55+"))))</f>
        <v>35-44</v>
      </c>
      <c r="AK68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82" t="str">
        <f>IF(HR_Cleaned[[#This Row],[MonthlyIncome]]&lt;3000,"Below 3000",IF(HR_Cleaned[[#This Row],[MonthlyIncome]]&lt;5000,"3000-4999",IF(HR_Cleaned[[#This Row],[MonthlyIncome]]&lt;8000,"5000-7999","8000+")))</f>
        <v>3000-4999</v>
      </c>
      <c r="AM682">
        <f>IF(HR_Cleaned[[#This Row],[Attrition]]="Yes",1,0)</f>
        <v>0</v>
      </c>
    </row>
    <row r="683" spans="1:39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>
        <f>IF(HR_Cleaned[[#This Row],[Age]]&lt;25,"18-24",IF(HR_Cleaned[[#This Row],[Age]]&lt;35,"25-34",IF(HR_Cleaned[[#This Row],[Age]]&lt;45,"35-44",IF(HR_Cleaned[[#This Row],[Age]]&lt;55,"45-54","55+"))))</f>
        <v>35-44</v>
      </c>
      <c r="AK68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683" t="str">
        <f>IF(HR_Cleaned[[#This Row],[MonthlyIncome]]&lt;3000,"Below 3000",IF(HR_Cleaned[[#This Row],[MonthlyIncome]]&lt;5000,"3000-4999",IF(HR_Cleaned[[#This Row],[MonthlyIncome]]&lt;8000,"5000-7999","8000+")))</f>
        <v>8000+</v>
      </c>
      <c r="AM683">
        <f>IF(HR_Cleaned[[#This Row],[Attrition]]="Yes",1,0)</f>
        <v>0</v>
      </c>
    </row>
    <row r="684" spans="1:39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>
        <f>IF(HR_Cleaned[[#This Row],[Age]]&lt;25,"18-24",IF(HR_Cleaned[[#This Row],[Age]]&lt;35,"25-34",IF(HR_Cleaned[[#This Row],[Age]]&lt;45,"35-44",IF(HR_Cleaned[[#This Row],[Age]]&lt;55,"45-54","55+"))))</f>
        <v>25-34</v>
      </c>
      <c r="AK68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84" t="str">
        <f>IF(HR_Cleaned[[#This Row],[MonthlyIncome]]&lt;3000,"Below 3000",IF(HR_Cleaned[[#This Row],[MonthlyIncome]]&lt;5000,"3000-4999",IF(HR_Cleaned[[#This Row],[MonthlyIncome]]&lt;8000,"5000-7999","8000+")))</f>
        <v>Below 3000</v>
      </c>
      <c r="AM684">
        <f>IF(HR_Cleaned[[#This Row],[Attrition]]="Yes",1,0)</f>
        <v>0</v>
      </c>
    </row>
    <row r="685" spans="1:39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>
        <f>IF(HR_Cleaned[[#This Row],[Age]]&lt;25,"18-24",IF(HR_Cleaned[[#This Row],[Age]]&lt;35,"25-34",IF(HR_Cleaned[[#This Row],[Age]]&lt;45,"35-44",IF(HR_Cleaned[[#This Row],[Age]]&lt;55,"45-54","55+"))))</f>
        <v>25-34</v>
      </c>
      <c r="AK685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85" t="str">
        <f>IF(HR_Cleaned[[#This Row],[MonthlyIncome]]&lt;3000,"Below 3000",IF(HR_Cleaned[[#This Row],[MonthlyIncome]]&lt;5000,"3000-4999",IF(HR_Cleaned[[#This Row],[MonthlyIncome]]&lt;8000,"5000-7999","8000+")))</f>
        <v>Below 3000</v>
      </c>
      <c r="AM685">
        <f>IF(HR_Cleaned[[#This Row],[Attrition]]="Yes",1,0)</f>
        <v>1</v>
      </c>
    </row>
    <row r="686" spans="1:39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>
        <f>IF(HR_Cleaned[[#This Row],[Age]]&lt;25,"18-24",IF(HR_Cleaned[[#This Row],[Age]]&lt;35,"25-34",IF(HR_Cleaned[[#This Row],[Age]]&lt;45,"35-44",IF(HR_Cleaned[[#This Row],[Age]]&lt;55,"45-54","55+"))))</f>
        <v>35-44</v>
      </c>
      <c r="AK68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86" t="str">
        <f>IF(HR_Cleaned[[#This Row],[MonthlyIncome]]&lt;3000,"Below 3000",IF(HR_Cleaned[[#This Row],[MonthlyIncome]]&lt;5000,"3000-4999",IF(HR_Cleaned[[#This Row],[MonthlyIncome]]&lt;8000,"5000-7999","8000+")))</f>
        <v>8000+</v>
      </c>
      <c r="AM686">
        <f>IF(HR_Cleaned[[#This Row],[Attrition]]="Yes",1,0)</f>
        <v>0</v>
      </c>
    </row>
    <row r="687" spans="1:39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>
        <f>IF(HR_Cleaned[[#This Row],[Age]]&lt;25,"18-24",IF(HR_Cleaned[[#This Row],[Age]]&lt;35,"25-34",IF(HR_Cleaned[[#This Row],[Age]]&lt;45,"35-44",IF(HR_Cleaned[[#This Row],[Age]]&lt;55,"45-54","55+"))))</f>
        <v>25-34</v>
      </c>
      <c r="AK68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87" t="str">
        <f>IF(HR_Cleaned[[#This Row],[MonthlyIncome]]&lt;3000,"Below 3000",IF(HR_Cleaned[[#This Row],[MonthlyIncome]]&lt;5000,"3000-4999",IF(HR_Cleaned[[#This Row],[MonthlyIncome]]&lt;8000,"5000-7999","8000+")))</f>
        <v>3000-4999</v>
      </c>
      <c r="AM687">
        <f>IF(HR_Cleaned[[#This Row],[Attrition]]="Yes",1,0)</f>
        <v>0</v>
      </c>
    </row>
    <row r="688" spans="1:39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>
        <f>IF(HR_Cleaned[[#This Row],[Age]]&lt;25,"18-24",IF(HR_Cleaned[[#This Row],[Age]]&lt;35,"25-34",IF(HR_Cleaned[[#This Row],[Age]]&lt;45,"35-44",IF(HR_Cleaned[[#This Row],[Age]]&lt;55,"45-54","55+"))))</f>
        <v>35-44</v>
      </c>
      <c r="AK68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688" t="str">
        <f>IF(HR_Cleaned[[#This Row],[MonthlyIncome]]&lt;3000,"Below 3000",IF(HR_Cleaned[[#This Row],[MonthlyIncome]]&lt;5000,"3000-4999",IF(HR_Cleaned[[#This Row],[MonthlyIncome]]&lt;8000,"5000-7999","8000+")))</f>
        <v>3000-4999</v>
      </c>
      <c r="AM688">
        <f>IF(HR_Cleaned[[#This Row],[Attrition]]="Yes",1,0)</f>
        <v>0</v>
      </c>
    </row>
    <row r="689" spans="1:39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>
        <f>IF(HR_Cleaned[[#This Row],[Age]]&lt;25,"18-24",IF(HR_Cleaned[[#This Row],[Age]]&lt;35,"25-34",IF(HR_Cleaned[[#This Row],[Age]]&lt;45,"35-44",IF(HR_Cleaned[[#This Row],[Age]]&lt;55,"45-54","55+"))))</f>
        <v>35-44</v>
      </c>
      <c r="AK68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689" t="str">
        <f>IF(HR_Cleaned[[#This Row],[MonthlyIncome]]&lt;3000,"Below 3000",IF(HR_Cleaned[[#This Row],[MonthlyIncome]]&lt;5000,"3000-4999",IF(HR_Cleaned[[#This Row],[MonthlyIncome]]&lt;8000,"5000-7999","8000+")))</f>
        <v>Below 3000</v>
      </c>
      <c r="AM689">
        <f>IF(HR_Cleaned[[#This Row],[Attrition]]="Yes",1,0)</f>
        <v>0</v>
      </c>
    </row>
    <row r="690" spans="1:39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>
        <f>IF(HR_Cleaned[[#This Row],[Age]]&lt;25,"18-24",IF(HR_Cleaned[[#This Row],[Age]]&lt;35,"25-34",IF(HR_Cleaned[[#This Row],[Age]]&lt;45,"35-44",IF(HR_Cleaned[[#This Row],[Age]]&lt;55,"45-54","55+"))))</f>
        <v>18-24</v>
      </c>
      <c r="AK69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90" t="str">
        <f>IF(HR_Cleaned[[#This Row],[MonthlyIncome]]&lt;3000,"Below 3000",IF(HR_Cleaned[[#This Row],[MonthlyIncome]]&lt;5000,"3000-4999",IF(HR_Cleaned[[#This Row],[MonthlyIncome]]&lt;8000,"5000-7999","8000+")))</f>
        <v>Below 3000</v>
      </c>
      <c r="AM690">
        <f>IF(HR_Cleaned[[#This Row],[Attrition]]="Yes",1,0)</f>
        <v>1</v>
      </c>
    </row>
    <row r="691" spans="1:39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>
        <f>IF(HR_Cleaned[[#This Row],[Age]]&lt;25,"18-24",IF(HR_Cleaned[[#This Row],[Age]]&lt;35,"25-34",IF(HR_Cleaned[[#This Row],[Age]]&lt;45,"35-44",IF(HR_Cleaned[[#This Row],[Age]]&lt;55,"45-54","55+"))))</f>
        <v>18-24</v>
      </c>
      <c r="AK69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91" t="str">
        <f>IF(HR_Cleaned[[#This Row],[MonthlyIncome]]&lt;3000,"Below 3000",IF(HR_Cleaned[[#This Row],[MonthlyIncome]]&lt;5000,"3000-4999",IF(HR_Cleaned[[#This Row],[MonthlyIncome]]&lt;8000,"5000-7999","8000+")))</f>
        <v>Below 3000</v>
      </c>
      <c r="AM691">
        <f>IF(HR_Cleaned[[#This Row],[Attrition]]="Yes",1,0)</f>
        <v>1</v>
      </c>
    </row>
    <row r="692" spans="1:39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>
        <f>IF(HR_Cleaned[[#This Row],[Age]]&lt;25,"18-24",IF(HR_Cleaned[[#This Row],[Age]]&lt;35,"25-34",IF(HR_Cleaned[[#This Row],[Age]]&lt;45,"35-44",IF(HR_Cleaned[[#This Row],[Age]]&lt;55,"45-54","55+"))))</f>
        <v>25-34</v>
      </c>
      <c r="AK69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92" t="str">
        <f>IF(HR_Cleaned[[#This Row],[MonthlyIncome]]&lt;3000,"Below 3000",IF(HR_Cleaned[[#This Row],[MonthlyIncome]]&lt;5000,"3000-4999",IF(HR_Cleaned[[#This Row],[MonthlyIncome]]&lt;8000,"5000-7999","8000+")))</f>
        <v>5000-7999</v>
      </c>
      <c r="AM692">
        <f>IF(HR_Cleaned[[#This Row],[Attrition]]="Yes",1,0)</f>
        <v>0</v>
      </c>
    </row>
    <row r="693" spans="1:39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>
        <f>IF(HR_Cleaned[[#This Row],[Age]]&lt;25,"18-24",IF(HR_Cleaned[[#This Row],[Age]]&lt;35,"25-34",IF(HR_Cleaned[[#This Row],[Age]]&lt;45,"35-44",IF(HR_Cleaned[[#This Row],[Age]]&lt;55,"45-54","55+"))))</f>
        <v>35-44</v>
      </c>
      <c r="AK69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693" t="str">
        <f>IF(HR_Cleaned[[#This Row],[MonthlyIncome]]&lt;3000,"Below 3000",IF(HR_Cleaned[[#This Row],[MonthlyIncome]]&lt;5000,"3000-4999",IF(HR_Cleaned[[#This Row],[MonthlyIncome]]&lt;8000,"5000-7999","8000+")))</f>
        <v>3000-4999</v>
      </c>
      <c r="AM693">
        <f>IF(HR_Cleaned[[#This Row],[Attrition]]="Yes",1,0)</f>
        <v>0</v>
      </c>
    </row>
    <row r="694" spans="1:39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>
        <f>IF(HR_Cleaned[[#This Row],[Age]]&lt;25,"18-24",IF(HR_Cleaned[[#This Row],[Age]]&lt;35,"25-34",IF(HR_Cleaned[[#This Row],[Age]]&lt;45,"35-44",IF(HR_Cleaned[[#This Row],[Age]]&lt;55,"45-54","55+"))))</f>
        <v>25-34</v>
      </c>
      <c r="AK69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94" t="str">
        <f>IF(HR_Cleaned[[#This Row],[MonthlyIncome]]&lt;3000,"Below 3000",IF(HR_Cleaned[[#This Row],[MonthlyIncome]]&lt;5000,"3000-4999",IF(HR_Cleaned[[#This Row],[MonthlyIncome]]&lt;8000,"5000-7999","8000+")))</f>
        <v>5000-7999</v>
      </c>
      <c r="AM694">
        <f>IF(HR_Cleaned[[#This Row],[Attrition]]="Yes",1,0)</f>
        <v>0</v>
      </c>
    </row>
    <row r="695" spans="1:39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>
        <f>IF(HR_Cleaned[[#This Row],[Age]]&lt;25,"18-24",IF(HR_Cleaned[[#This Row],[Age]]&lt;35,"25-34",IF(HR_Cleaned[[#This Row],[Age]]&lt;45,"35-44",IF(HR_Cleaned[[#This Row],[Age]]&lt;55,"45-54","55+"))))</f>
        <v>35-44</v>
      </c>
      <c r="AK69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695" t="str">
        <f>IF(HR_Cleaned[[#This Row],[MonthlyIncome]]&lt;3000,"Below 3000",IF(HR_Cleaned[[#This Row],[MonthlyIncome]]&lt;5000,"3000-4999",IF(HR_Cleaned[[#This Row],[MonthlyIncome]]&lt;8000,"5000-7999","8000+")))</f>
        <v>8000+</v>
      </c>
      <c r="AM695">
        <f>IF(HR_Cleaned[[#This Row],[Attrition]]="Yes",1,0)</f>
        <v>1</v>
      </c>
    </row>
    <row r="696" spans="1:39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>
        <f>IF(HR_Cleaned[[#This Row],[Age]]&lt;25,"18-24",IF(HR_Cleaned[[#This Row],[Age]]&lt;35,"25-34",IF(HR_Cleaned[[#This Row],[Age]]&lt;45,"35-44",IF(HR_Cleaned[[#This Row],[Age]]&lt;55,"45-54","55+"))))</f>
        <v>25-34</v>
      </c>
      <c r="AK69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96" t="str">
        <f>IF(HR_Cleaned[[#This Row],[MonthlyIncome]]&lt;3000,"Below 3000",IF(HR_Cleaned[[#This Row],[MonthlyIncome]]&lt;5000,"3000-4999",IF(HR_Cleaned[[#This Row],[MonthlyIncome]]&lt;8000,"5000-7999","8000+")))</f>
        <v>5000-7999</v>
      </c>
      <c r="AM696">
        <f>IF(HR_Cleaned[[#This Row],[Attrition]]="Yes",1,0)</f>
        <v>0</v>
      </c>
    </row>
    <row r="697" spans="1:39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>
        <f>IF(HR_Cleaned[[#This Row],[Age]]&lt;25,"18-24",IF(HR_Cleaned[[#This Row],[Age]]&lt;35,"25-34",IF(HR_Cleaned[[#This Row],[Age]]&lt;45,"35-44",IF(HR_Cleaned[[#This Row],[Age]]&lt;55,"45-54","55+"))))</f>
        <v>35-44</v>
      </c>
      <c r="AK69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697" t="str">
        <f>IF(HR_Cleaned[[#This Row],[MonthlyIncome]]&lt;3000,"Below 3000",IF(HR_Cleaned[[#This Row],[MonthlyIncome]]&lt;5000,"3000-4999",IF(HR_Cleaned[[#This Row],[MonthlyIncome]]&lt;8000,"5000-7999","8000+")))</f>
        <v>8000+</v>
      </c>
      <c r="AM697">
        <f>IF(HR_Cleaned[[#This Row],[Attrition]]="Yes",1,0)</f>
        <v>1</v>
      </c>
    </row>
    <row r="698" spans="1:39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>
        <f>IF(HR_Cleaned[[#This Row],[Age]]&lt;25,"18-24",IF(HR_Cleaned[[#This Row],[Age]]&lt;35,"25-34",IF(HR_Cleaned[[#This Row],[Age]]&lt;45,"35-44",IF(HR_Cleaned[[#This Row],[Age]]&lt;55,"45-54","55+"))))</f>
        <v>45-54</v>
      </c>
      <c r="AK69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698" t="str">
        <f>IF(HR_Cleaned[[#This Row],[MonthlyIncome]]&lt;3000,"Below 3000",IF(HR_Cleaned[[#This Row],[MonthlyIncome]]&lt;5000,"3000-4999",IF(HR_Cleaned[[#This Row],[MonthlyIncome]]&lt;8000,"5000-7999","8000+")))</f>
        <v>3000-4999</v>
      </c>
      <c r="AM698">
        <f>IF(HR_Cleaned[[#This Row],[Attrition]]="Yes",1,0)</f>
        <v>0</v>
      </c>
    </row>
    <row r="699" spans="1:39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>
        <f>IF(HR_Cleaned[[#This Row],[Age]]&lt;25,"18-24",IF(HR_Cleaned[[#This Row],[Age]]&lt;35,"25-34",IF(HR_Cleaned[[#This Row],[Age]]&lt;45,"35-44",IF(HR_Cleaned[[#This Row],[Age]]&lt;55,"45-54","55+"))))</f>
        <v>25-34</v>
      </c>
      <c r="AK69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699" t="str">
        <f>IF(HR_Cleaned[[#This Row],[MonthlyIncome]]&lt;3000,"Below 3000",IF(HR_Cleaned[[#This Row],[MonthlyIncome]]&lt;5000,"3000-4999",IF(HR_Cleaned[[#This Row],[MonthlyIncome]]&lt;8000,"5000-7999","8000+")))</f>
        <v>Below 3000</v>
      </c>
      <c r="AM699">
        <f>IF(HR_Cleaned[[#This Row],[Attrition]]="Yes",1,0)</f>
        <v>0</v>
      </c>
    </row>
    <row r="700" spans="1:39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>
        <f>IF(HR_Cleaned[[#This Row],[Age]]&lt;25,"18-24",IF(HR_Cleaned[[#This Row],[Age]]&lt;35,"25-34",IF(HR_Cleaned[[#This Row],[Age]]&lt;45,"35-44",IF(HR_Cleaned[[#This Row],[Age]]&lt;55,"45-54","55+"))))</f>
        <v>35-44</v>
      </c>
      <c r="AK70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00" t="str">
        <f>IF(HR_Cleaned[[#This Row],[MonthlyIncome]]&lt;3000,"Below 3000",IF(HR_Cleaned[[#This Row],[MonthlyIncome]]&lt;5000,"3000-4999",IF(HR_Cleaned[[#This Row],[MonthlyIncome]]&lt;8000,"5000-7999","8000+")))</f>
        <v>3000-4999</v>
      </c>
      <c r="AM700">
        <f>IF(HR_Cleaned[[#This Row],[Attrition]]="Yes",1,0)</f>
        <v>0</v>
      </c>
    </row>
    <row r="701" spans="1:39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>
        <f>IF(HR_Cleaned[[#This Row],[Age]]&lt;25,"18-24",IF(HR_Cleaned[[#This Row],[Age]]&lt;35,"25-34",IF(HR_Cleaned[[#This Row],[Age]]&lt;45,"35-44",IF(HR_Cleaned[[#This Row],[Age]]&lt;55,"45-54","55+"))))</f>
        <v>45-54</v>
      </c>
      <c r="AK70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01" t="str">
        <f>IF(HR_Cleaned[[#This Row],[MonthlyIncome]]&lt;3000,"Below 3000",IF(HR_Cleaned[[#This Row],[MonthlyIncome]]&lt;5000,"3000-4999",IF(HR_Cleaned[[#This Row],[MonthlyIncome]]&lt;8000,"5000-7999","8000+")))</f>
        <v>8000+</v>
      </c>
      <c r="AM701">
        <f>IF(HR_Cleaned[[#This Row],[Attrition]]="Yes",1,0)</f>
        <v>0</v>
      </c>
    </row>
    <row r="702" spans="1:39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>
        <f>IF(HR_Cleaned[[#This Row],[Age]]&lt;25,"18-24",IF(HR_Cleaned[[#This Row],[Age]]&lt;35,"25-34",IF(HR_Cleaned[[#This Row],[Age]]&lt;45,"35-44",IF(HR_Cleaned[[#This Row],[Age]]&lt;55,"45-54","55+"))))</f>
        <v>55+</v>
      </c>
      <c r="AK70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02" t="str">
        <f>IF(HR_Cleaned[[#This Row],[MonthlyIncome]]&lt;3000,"Below 3000",IF(HR_Cleaned[[#This Row],[MonthlyIncome]]&lt;5000,"3000-4999",IF(HR_Cleaned[[#This Row],[MonthlyIncome]]&lt;8000,"5000-7999","8000+")))</f>
        <v>Below 3000</v>
      </c>
      <c r="AM702">
        <f>IF(HR_Cleaned[[#This Row],[Attrition]]="Yes",1,0)</f>
        <v>1</v>
      </c>
    </row>
    <row r="703" spans="1:39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>
        <f>IF(HR_Cleaned[[#This Row],[Age]]&lt;25,"18-24",IF(HR_Cleaned[[#This Row],[Age]]&lt;35,"25-34",IF(HR_Cleaned[[#This Row],[Age]]&lt;45,"35-44",IF(HR_Cleaned[[#This Row],[Age]]&lt;55,"45-54","55+"))))</f>
        <v>45-54</v>
      </c>
      <c r="AK70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703" t="str">
        <f>IF(HR_Cleaned[[#This Row],[MonthlyIncome]]&lt;3000,"Below 3000",IF(HR_Cleaned[[#This Row],[MonthlyIncome]]&lt;5000,"3000-4999",IF(HR_Cleaned[[#This Row],[MonthlyIncome]]&lt;8000,"5000-7999","8000+")))</f>
        <v>8000+</v>
      </c>
      <c r="AM703">
        <f>IF(HR_Cleaned[[#This Row],[Attrition]]="Yes",1,0)</f>
        <v>0</v>
      </c>
    </row>
    <row r="704" spans="1:39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>
        <f>IF(HR_Cleaned[[#This Row],[Age]]&lt;25,"18-24",IF(HR_Cleaned[[#This Row],[Age]]&lt;35,"25-34",IF(HR_Cleaned[[#This Row],[Age]]&lt;45,"35-44",IF(HR_Cleaned[[#This Row],[Age]]&lt;55,"45-54","55+"))))</f>
        <v>25-34</v>
      </c>
      <c r="AK70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04" t="str">
        <f>IF(HR_Cleaned[[#This Row],[MonthlyIncome]]&lt;3000,"Below 3000",IF(HR_Cleaned[[#This Row],[MonthlyIncome]]&lt;5000,"3000-4999",IF(HR_Cleaned[[#This Row],[MonthlyIncome]]&lt;8000,"5000-7999","8000+")))</f>
        <v>5000-7999</v>
      </c>
      <c r="AM704">
        <f>IF(HR_Cleaned[[#This Row],[Attrition]]="Yes",1,0)</f>
        <v>0</v>
      </c>
    </row>
    <row r="705" spans="1:39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>
        <f>IF(HR_Cleaned[[#This Row],[Age]]&lt;25,"18-24",IF(HR_Cleaned[[#This Row],[Age]]&lt;35,"25-34",IF(HR_Cleaned[[#This Row],[Age]]&lt;45,"35-44",IF(HR_Cleaned[[#This Row],[Age]]&lt;55,"45-54","55+"))))</f>
        <v>35-44</v>
      </c>
      <c r="AK70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05" t="str">
        <f>IF(HR_Cleaned[[#This Row],[MonthlyIncome]]&lt;3000,"Below 3000",IF(HR_Cleaned[[#This Row],[MonthlyIncome]]&lt;5000,"3000-4999",IF(HR_Cleaned[[#This Row],[MonthlyIncome]]&lt;8000,"5000-7999","8000+")))</f>
        <v>5000-7999</v>
      </c>
      <c r="AM705">
        <f>IF(HR_Cleaned[[#This Row],[Attrition]]="Yes",1,0)</f>
        <v>0</v>
      </c>
    </row>
    <row r="706" spans="1:39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>
        <f>IF(HR_Cleaned[[#This Row],[Age]]&lt;25,"18-24",IF(HR_Cleaned[[#This Row],[Age]]&lt;35,"25-34",IF(HR_Cleaned[[#This Row],[Age]]&lt;45,"35-44",IF(HR_Cleaned[[#This Row],[Age]]&lt;55,"45-54","55+"))))</f>
        <v>35-44</v>
      </c>
      <c r="AK70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06" t="str">
        <f>IF(HR_Cleaned[[#This Row],[MonthlyIncome]]&lt;3000,"Below 3000",IF(HR_Cleaned[[#This Row],[MonthlyIncome]]&lt;5000,"3000-4999",IF(HR_Cleaned[[#This Row],[MonthlyIncome]]&lt;8000,"5000-7999","8000+")))</f>
        <v>5000-7999</v>
      </c>
      <c r="AM706">
        <f>IF(HR_Cleaned[[#This Row],[Attrition]]="Yes",1,0)</f>
        <v>0</v>
      </c>
    </row>
    <row r="707" spans="1:39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>
        <f>IF(HR_Cleaned[[#This Row],[Age]]&lt;25,"18-24",IF(HR_Cleaned[[#This Row],[Age]]&lt;35,"25-34",IF(HR_Cleaned[[#This Row],[Age]]&lt;45,"35-44",IF(HR_Cleaned[[#This Row],[Age]]&lt;55,"45-54","55+"))))</f>
        <v>35-44</v>
      </c>
      <c r="AK70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07" t="str">
        <f>IF(HR_Cleaned[[#This Row],[MonthlyIncome]]&lt;3000,"Below 3000",IF(HR_Cleaned[[#This Row],[MonthlyIncome]]&lt;5000,"3000-4999",IF(HR_Cleaned[[#This Row],[MonthlyIncome]]&lt;8000,"5000-7999","8000+")))</f>
        <v>5000-7999</v>
      </c>
      <c r="AM707">
        <f>IF(HR_Cleaned[[#This Row],[Attrition]]="Yes",1,0)</f>
        <v>0</v>
      </c>
    </row>
    <row r="708" spans="1:39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>
        <f>IF(HR_Cleaned[[#This Row],[Age]]&lt;25,"18-24",IF(HR_Cleaned[[#This Row],[Age]]&lt;35,"25-34",IF(HR_Cleaned[[#This Row],[Age]]&lt;45,"35-44",IF(HR_Cleaned[[#This Row],[Age]]&lt;55,"45-54","55+"))))</f>
        <v>35-44</v>
      </c>
      <c r="AK70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08" t="str">
        <f>IF(HR_Cleaned[[#This Row],[MonthlyIncome]]&lt;3000,"Below 3000",IF(HR_Cleaned[[#This Row],[MonthlyIncome]]&lt;5000,"3000-4999",IF(HR_Cleaned[[#This Row],[MonthlyIncome]]&lt;8000,"5000-7999","8000+")))</f>
        <v>8000+</v>
      </c>
      <c r="AM708">
        <f>IF(HR_Cleaned[[#This Row],[Attrition]]="Yes",1,0)</f>
        <v>1</v>
      </c>
    </row>
    <row r="709" spans="1:39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>
        <f>IF(HR_Cleaned[[#This Row],[Age]]&lt;25,"18-24",IF(HR_Cleaned[[#This Row],[Age]]&lt;35,"25-34",IF(HR_Cleaned[[#This Row],[Age]]&lt;45,"35-44",IF(HR_Cleaned[[#This Row],[Age]]&lt;55,"45-54","55+"))))</f>
        <v>45-54</v>
      </c>
      <c r="AK70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709" t="str">
        <f>IF(HR_Cleaned[[#This Row],[MonthlyIncome]]&lt;3000,"Below 3000",IF(HR_Cleaned[[#This Row],[MonthlyIncome]]&lt;5000,"3000-4999",IF(HR_Cleaned[[#This Row],[MonthlyIncome]]&lt;8000,"5000-7999","8000+")))</f>
        <v>5000-7999</v>
      </c>
      <c r="AM709">
        <f>IF(HR_Cleaned[[#This Row],[Attrition]]="Yes",1,0)</f>
        <v>0</v>
      </c>
    </row>
    <row r="710" spans="1:39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>
        <f>IF(HR_Cleaned[[#This Row],[Age]]&lt;25,"18-24",IF(HR_Cleaned[[#This Row],[Age]]&lt;35,"25-34",IF(HR_Cleaned[[#This Row],[Age]]&lt;45,"35-44",IF(HR_Cleaned[[#This Row],[Age]]&lt;55,"45-54","55+"))))</f>
        <v>35-44</v>
      </c>
      <c r="AK71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10" t="str">
        <f>IF(HR_Cleaned[[#This Row],[MonthlyIncome]]&lt;3000,"Below 3000",IF(HR_Cleaned[[#This Row],[MonthlyIncome]]&lt;5000,"3000-4999",IF(HR_Cleaned[[#This Row],[MonthlyIncome]]&lt;8000,"5000-7999","8000+")))</f>
        <v>5000-7999</v>
      </c>
      <c r="AM710">
        <f>IF(HR_Cleaned[[#This Row],[Attrition]]="Yes",1,0)</f>
        <v>0</v>
      </c>
    </row>
    <row r="711" spans="1:39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>
        <f>IF(HR_Cleaned[[#This Row],[Age]]&lt;25,"18-24",IF(HR_Cleaned[[#This Row],[Age]]&lt;35,"25-34",IF(HR_Cleaned[[#This Row],[Age]]&lt;45,"35-44",IF(HR_Cleaned[[#This Row],[Age]]&lt;55,"45-54","55+"))))</f>
        <v>25-34</v>
      </c>
      <c r="AK71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11" t="str">
        <f>IF(HR_Cleaned[[#This Row],[MonthlyIncome]]&lt;3000,"Below 3000",IF(HR_Cleaned[[#This Row],[MonthlyIncome]]&lt;5000,"3000-4999",IF(HR_Cleaned[[#This Row],[MonthlyIncome]]&lt;8000,"5000-7999","8000+")))</f>
        <v>Below 3000</v>
      </c>
      <c r="AM711">
        <f>IF(HR_Cleaned[[#This Row],[Attrition]]="Yes",1,0)</f>
        <v>1</v>
      </c>
    </row>
    <row r="712" spans="1:39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>
        <f>IF(HR_Cleaned[[#This Row],[Age]]&lt;25,"18-24",IF(HR_Cleaned[[#This Row],[Age]]&lt;35,"25-34",IF(HR_Cleaned[[#This Row],[Age]]&lt;45,"35-44",IF(HR_Cleaned[[#This Row],[Age]]&lt;55,"45-54","55+"))))</f>
        <v>25-34</v>
      </c>
      <c r="AK71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12" t="str">
        <f>IF(HR_Cleaned[[#This Row],[MonthlyIncome]]&lt;3000,"Below 3000",IF(HR_Cleaned[[#This Row],[MonthlyIncome]]&lt;5000,"3000-4999",IF(HR_Cleaned[[#This Row],[MonthlyIncome]]&lt;8000,"5000-7999","8000+")))</f>
        <v>8000+</v>
      </c>
      <c r="AM712">
        <f>IF(HR_Cleaned[[#This Row],[Attrition]]="Yes",1,0)</f>
        <v>0</v>
      </c>
    </row>
    <row r="713" spans="1:39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>
        <f>IF(HR_Cleaned[[#This Row],[Age]]&lt;25,"18-24",IF(HR_Cleaned[[#This Row],[Age]]&lt;35,"25-34",IF(HR_Cleaned[[#This Row],[Age]]&lt;45,"35-44",IF(HR_Cleaned[[#This Row],[Age]]&lt;55,"45-54","55+"))))</f>
        <v>25-34</v>
      </c>
      <c r="AK71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13" t="str">
        <f>IF(HR_Cleaned[[#This Row],[MonthlyIncome]]&lt;3000,"Below 3000",IF(HR_Cleaned[[#This Row],[MonthlyIncome]]&lt;5000,"3000-4999",IF(HR_Cleaned[[#This Row],[MonthlyIncome]]&lt;8000,"5000-7999","8000+")))</f>
        <v>Below 3000</v>
      </c>
      <c r="AM713">
        <f>IF(HR_Cleaned[[#This Row],[Attrition]]="Yes",1,0)</f>
        <v>1</v>
      </c>
    </row>
    <row r="714" spans="1:39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>
        <f>IF(HR_Cleaned[[#This Row],[Age]]&lt;25,"18-24",IF(HR_Cleaned[[#This Row],[Age]]&lt;35,"25-34",IF(HR_Cleaned[[#This Row],[Age]]&lt;45,"35-44",IF(HR_Cleaned[[#This Row],[Age]]&lt;55,"45-54","55+"))))</f>
        <v>25-34</v>
      </c>
      <c r="AK71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14" t="str">
        <f>IF(HR_Cleaned[[#This Row],[MonthlyIncome]]&lt;3000,"Below 3000",IF(HR_Cleaned[[#This Row],[MonthlyIncome]]&lt;5000,"3000-4999",IF(HR_Cleaned[[#This Row],[MonthlyIncome]]&lt;8000,"5000-7999","8000+")))</f>
        <v>3000-4999</v>
      </c>
      <c r="AM714">
        <f>IF(HR_Cleaned[[#This Row],[Attrition]]="Yes",1,0)</f>
        <v>0</v>
      </c>
    </row>
    <row r="715" spans="1:39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>
        <f>IF(HR_Cleaned[[#This Row],[Age]]&lt;25,"18-24",IF(HR_Cleaned[[#This Row],[Age]]&lt;35,"25-34",IF(HR_Cleaned[[#This Row],[Age]]&lt;45,"35-44",IF(HR_Cleaned[[#This Row],[Age]]&lt;55,"45-54","55+"))))</f>
        <v>45-54</v>
      </c>
      <c r="AK71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15" t="str">
        <f>IF(HR_Cleaned[[#This Row],[MonthlyIncome]]&lt;3000,"Below 3000",IF(HR_Cleaned[[#This Row],[MonthlyIncome]]&lt;5000,"3000-4999",IF(HR_Cleaned[[#This Row],[MonthlyIncome]]&lt;8000,"5000-7999","8000+")))</f>
        <v>Below 3000</v>
      </c>
      <c r="AM715">
        <f>IF(HR_Cleaned[[#This Row],[Attrition]]="Yes",1,0)</f>
        <v>0</v>
      </c>
    </row>
    <row r="716" spans="1:39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>
        <f>IF(HR_Cleaned[[#This Row],[Age]]&lt;25,"18-24",IF(HR_Cleaned[[#This Row],[Age]]&lt;35,"25-34",IF(HR_Cleaned[[#This Row],[Age]]&lt;45,"35-44",IF(HR_Cleaned[[#This Row],[Age]]&lt;55,"45-54","55+"))))</f>
        <v>45-54</v>
      </c>
      <c r="AK71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16" t="str">
        <f>IF(HR_Cleaned[[#This Row],[MonthlyIncome]]&lt;3000,"Below 3000",IF(HR_Cleaned[[#This Row],[MonthlyIncome]]&lt;5000,"3000-4999",IF(HR_Cleaned[[#This Row],[MonthlyIncome]]&lt;8000,"5000-7999","8000+")))</f>
        <v>8000+</v>
      </c>
      <c r="AM716">
        <f>IF(HR_Cleaned[[#This Row],[Attrition]]="Yes",1,0)</f>
        <v>0</v>
      </c>
    </row>
    <row r="717" spans="1:39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>
        <f>IF(HR_Cleaned[[#This Row],[Age]]&lt;25,"18-24",IF(HR_Cleaned[[#This Row],[Age]]&lt;35,"25-34",IF(HR_Cleaned[[#This Row],[Age]]&lt;45,"35-44",IF(HR_Cleaned[[#This Row],[Age]]&lt;55,"45-54","55+"))))</f>
        <v>25-34</v>
      </c>
      <c r="AK71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17" t="str">
        <f>IF(HR_Cleaned[[#This Row],[MonthlyIncome]]&lt;3000,"Below 3000",IF(HR_Cleaned[[#This Row],[MonthlyIncome]]&lt;5000,"3000-4999",IF(HR_Cleaned[[#This Row],[MonthlyIncome]]&lt;8000,"5000-7999","8000+")))</f>
        <v>5000-7999</v>
      </c>
      <c r="AM717">
        <f>IF(HR_Cleaned[[#This Row],[Attrition]]="Yes",1,0)</f>
        <v>0</v>
      </c>
    </row>
    <row r="718" spans="1:39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>
        <f>IF(HR_Cleaned[[#This Row],[Age]]&lt;25,"18-24",IF(HR_Cleaned[[#This Row],[Age]]&lt;35,"25-34",IF(HR_Cleaned[[#This Row],[Age]]&lt;45,"35-44",IF(HR_Cleaned[[#This Row],[Age]]&lt;55,"45-54","55+"))))</f>
        <v>35-44</v>
      </c>
      <c r="AK71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718" t="str">
        <f>IF(HR_Cleaned[[#This Row],[MonthlyIncome]]&lt;3000,"Below 3000",IF(HR_Cleaned[[#This Row],[MonthlyIncome]]&lt;5000,"3000-4999",IF(HR_Cleaned[[#This Row],[MonthlyIncome]]&lt;8000,"5000-7999","8000+")))</f>
        <v>8000+</v>
      </c>
      <c r="AM718">
        <f>IF(HR_Cleaned[[#This Row],[Attrition]]="Yes",1,0)</f>
        <v>0</v>
      </c>
    </row>
    <row r="719" spans="1:39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>
        <f>IF(HR_Cleaned[[#This Row],[Age]]&lt;25,"18-24",IF(HR_Cleaned[[#This Row],[Age]]&lt;35,"25-34",IF(HR_Cleaned[[#This Row],[Age]]&lt;45,"35-44",IF(HR_Cleaned[[#This Row],[Age]]&lt;55,"45-54","55+"))))</f>
        <v>25-34</v>
      </c>
      <c r="AK71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19" t="str">
        <f>IF(HR_Cleaned[[#This Row],[MonthlyIncome]]&lt;3000,"Below 3000",IF(HR_Cleaned[[#This Row],[MonthlyIncome]]&lt;5000,"3000-4999",IF(HR_Cleaned[[#This Row],[MonthlyIncome]]&lt;8000,"5000-7999","8000+")))</f>
        <v>Below 3000</v>
      </c>
      <c r="AM719">
        <f>IF(HR_Cleaned[[#This Row],[Attrition]]="Yes",1,0)</f>
        <v>0</v>
      </c>
    </row>
    <row r="720" spans="1:39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>
        <f>IF(HR_Cleaned[[#This Row],[Age]]&lt;25,"18-24",IF(HR_Cleaned[[#This Row],[Age]]&lt;35,"25-34",IF(HR_Cleaned[[#This Row],[Age]]&lt;45,"35-44",IF(HR_Cleaned[[#This Row],[Age]]&lt;55,"45-54","55+"))))</f>
        <v>45-54</v>
      </c>
      <c r="AK72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20" t="str">
        <f>IF(HR_Cleaned[[#This Row],[MonthlyIncome]]&lt;3000,"Below 3000",IF(HR_Cleaned[[#This Row],[MonthlyIncome]]&lt;5000,"3000-4999",IF(HR_Cleaned[[#This Row],[MonthlyIncome]]&lt;8000,"5000-7999","8000+")))</f>
        <v>3000-4999</v>
      </c>
      <c r="AM720">
        <f>IF(HR_Cleaned[[#This Row],[Attrition]]="Yes",1,0)</f>
        <v>0</v>
      </c>
    </row>
    <row r="721" spans="1:39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>
        <f>IF(HR_Cleaned[[#This Row],[Age]]&lt;25,"18-24",IF(HR_Cleaned[[#This Row],[Age]]&lt;35,"25-34",IF(HR_Cleaned[[#This Row],[Age]]&lt;45,"35-44",IF(HR_Cleaned[[#This Row],[Age]]&lt;55,"45-54","55+"))))</f>
        <v>45-54</v>
      </c>
      <c r="AK72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21" t="str">
        <f>IF(HR_Cleaned[[#This Row],[MonthlyIncome]]&lt;3000,"Below 3000",IF(HR_Cleaned[[#This Row],[MonthlyIncome]]&lt;5000,"3000-4999",IF(HR_Cleaned[[#This Row],[MonthlyIncome]]&lt;8000,"5000-7999","8000+")))</f>
        <v>3000-4999</v>
      </c>
      <c r="AM721">
        <f>IF(HR_Cleaned[[#This Row],[Attrition]]="Yes",1,0)</f>
        <v>0</v>
      </c>
    </row>
    <row r="722" spans="1:39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>
        <f>IF(HR_Cleaned[[#This Row],[Age]]&lt;25,"18-24",IF(HR_Cleaned[[#This Row],[Age]]&lt;35,"25-34",IF(HR_Cleaned[[#This Row],[Age]]&lt;45,"35-44",IF(HR_Cleaned[[#This Row],[Age]]&lt;55,"45-54","55+"))))</f>
        <v>25-34</v>
      </c>
      <c r="AK72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22" t="str">
        <f>IF(HR_Cleaned[[#This Row],[MonthlyIncome]]&lt;3000,"Below 3000",IF(HR_Cleaned[[#This Row],[MonthlyIncome]]&lt;5000,"3000-4999",IF(HR_Cleaned[[#This Row],[MonthlyIncome]]&lt;8000,"5000-7999","8000+")))</f>
        <v>Below 3000</v>
      </c>
      <c r="AM722">
        <f>IF(HR_Cleaned[[#This Row],[Attrition]]="Yes",1,0)</f>
        <v>1</v>
      </c>
    </row>
    <row r="723" spans="1:39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>
        <f>IF(HR_Cleaned[[#This Row],[Age]]&lt;25,"18-24",IF(HR_Cleaned[[#This Row],[Age]]&lt;35,"25-34",IF(HR_Cleaned[[#This Row],[Age]]&lt;45,"35-44",IF(HR_Cleaned[[#This Row],[Age]]&lt;55,"45-54","55+"))))</f>
        <v>45-54</v>
      </c>
      <c r="AK72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723" t="str">
        <f>IF(HR_Cleaned[[#This Row],[MonthlyIncome]]&lt;3000,"Below 3000",IF(HR_Cleaned[[#This Row],[MonthlyIncome]]&lt;5000,"3000-4999",IF(HR_Cleaned[[#This Row],[MonthlyIncome]]&lt;8000,"5000-7999","8000+")))</f>
        <v>8000+</v>
      </c>
      <c r="AM723">
        <f>IF(HR_Cleaned[[#This Row],[Attrition]]="Yes",1,0)</f>
        <v>0</v>
      </c>
    </row>
    <row r="724" spans="1:39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>
        <f>IF(HR_Cleaned[[#This Row],[Age]]&lt;25,"18-24",IF(HR_Cleaned[[#This Row],[Age]]&lt;35,"25-34",IF(HR_Cleaned[[#This Row],[Age]]&lt;45,"35-44",IF(HR_Cleaned[[#This Row],[Age]]&lt;55,"45-54","55+"))))</f>
        <v>35-44</v>
      </c>
      <c r="AK72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24" t="str">
        <f>IF(HR_Cleaned[[#This Row],[MonthlyIncome]]&lt;3000,"Below 3000",IF(HR_Cleaned[[#This Row],[MonthlyIncome]]&lt;5000,"3000-4999",IF(HR_Cleaned[[#This Row],[MonthlyIncome]]&lt;8000,"5000-7999","8000+")))</f>
        <v>Below 3000</v>
      </c>
      <c r="AM724">
        <f>IF(HR_Cleaned[[#This Row],[Attrition]]="Yes",1,0)</f>
        <v>0</v>
      </c>
    </row>
    <row r="725" spans="1:39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>
        <f>IF(HR_Cleaned[[#This Row],[Age]]&lt;25,"18-24",IF(HR_Cleaned[[#This Row],[Age]]&lt;35,"25-34",IF(HR_Cleaned[[#This Row],[Age]]&lt;45,"35-44",IF(HR_Cleaned[[#This Row],[Age]]&lt;55,"45-54","55+"))))</f>
        <v>45-54</v>
      </c>
      <c r="AK72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25" t="str">
        <f>IF(HR_Cleaned[[#This Row],[MonthlyIncome]]&lt;3000,"Below 3000",IF(HR_Cleaned[[#This Row],[MonthlyIncome]]&lt;5000,"3000-4999",IF(HR_Cleaned[[#This Row],[MonthlyIncome]]&lt;8000,"5000-7999","8000+")))</f>
        <v>8000+</v>
      </c>
      <c r="AM725">
        <f>IF(HR_Cleaned[[#This Row],[Attrition]]="Yes",1,0)</f>
        <v>0</v>
      </c>
    </row>
    <row r="726" spans="1:39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>
        <f>IF(HR_Cleaned[[#This Row],[Age]]&lt;25,"18-24",IF(HR_Cleaned[[#This Row],[Age]]&lt;35,"25-34",IF(HR_Cleaned[[#This Row],[Age]]&lt;45,"35-44",IF(HR_Cleaned[[#This Row],[Age]]&lt;55,"45-54","55+"))))</f>
        <v>18-24</v>
      </c>
      <c r="AK72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26" t="str">
        <f>IF(HR_Cleaned[[#This Row],[MonthlyIncome]]&lt;3000,"Below 3000",IF(HR_Cleaned[[#This Row],[MonthlyIncome]]&lt;5000,"3000-4999",IF(HR_Cleaned[[#This Row],[MonthlyIncome]]&lt;8000,"5000-7999","8000+")))</f>
        <v>3000-4999</v>
      </c>
      <c r="AM726">
        <f>IF(HR_Cleaned[[#This Row],[Attrition]]="Yes",1,0)</f>
        <v>0</v>
      </c>
    </row>
    <row r="727" spans="1:39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>
        <f>IF(HR_Cleaned[[#This Row],[Age]]&lt;25,"18-24",IF(HR_Cleaned[[#This Row],[Age]]&lt;35,"25-34",IF(HR_Cleaned[[#This Row],[Age]]&lt;45,"35-44",IF(HR_Cleaned[[#This Row],[Age]]&lt;55,"45-54","55+"))))</f>
        <v>35-44</v>
      </c>
      <c r="AK72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27" t="str">
        <f>IF(HR_Cleaned[[#This Row],[MonthlyIncome]]&lt;3000,"Below 3000",IF(HR_Cleaned[[#This Row],[MonthlyIncome]]&lt;5000,"3000-4999",IF(HR_Cleaned[[#This Row],[MonthlyIncome]]&lt;8000,"5000-7999","8000+")))</f>
        <v>3000-4999</v>
      </c>
      <c r="AM727">
        <f>IF(HR_Cleaned[[#This Row],[Attrition]]="Yes",1,0)</f>
        <v>1</v>
      </c>
    </row>
    <row r="728" spans="1:39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>
        <f>IF(HR_Cleaned[[#This Row],[Age]]&lt;25,"18-24",IF(HR_Cleaned[[#This Row],[Age]]&lt;35,"25-34",IF(HR_Cleaned[[#This Row],[Age]]&lt;45,"35-44",IF(HR_Cleaned[[#This Row],[Age]]&lt;55,"45-54","55+"))))</f>
        <v>25-34</v>
      </c>
      <c r="AK72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28" t="str">
        <f>IF(HR_Cleaned[[#This Row],[MonthlyIncome]]&lt;3000,"Below 3000",IF(HR_Cleaned[[#This Row],[MonthlyIncome]]&lt;5000,"3000-4999",IF(HR_Cleaned[[#This Row],[MonthlyIncome]]&lt;8000,"5000-7999","8000+")))</f>
        <v>3000-4999</v>
      </c>
      <c r="AM728">
        <f>IF(HR_Cleaned[[#This Row],[Attrition]]="Yes",1,0)</f>
        <v>0</v>
      </c>
    </row>
    <row r="729" spans="1:39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>
        <f>IF(HR_Cleaned[[#This Row],[Age]]&lt;25,"18-24",IF(HR_Cleaned[[#This Row],[Age]]&lt;35,"25-34",IF(HR_Cleaned[[#This Row],[Age]]&lt;45,"35-44",IF(HR_Cleaned[[#This Row],[Age]]&lt;55,"45-54","55+"))))</f>
        <v>18-24</v>
      </c>
      <c r="AK72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29" t="str">
        <f>IF(HR_Cleaned[[#This Row],[MonthlyIncome]]&lt;3000,"Below 3000",IF(HR_Cleaned[[#This Row],[MonthlyIncome]]&lt;5000,"3000-4999",IF(HR_Cleaned[[#This Row],[MonthlyIncome]]&lt;8000,"5000-7999","8000+")))</f>
        <v>Below 3000</v>
      </c>
      <c r="AM729">
        <f>IF(HR_Cleaned[[#This Row],[Attrition]]="Yes",1,0)</f>
        <v>0</v>
      </c>
    </row>
    <row r="730" spans="1:39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>
        <f>IF(HR_Cleaned[[#This Row],[Age]]&lt;25,"18-24",IF(HR_Cleaned[[#This Row],[Age]]&lt;35,"25-34",IF(HR_Cleaned[[#This Row],[Age]]&lt;45,"35-44",IF(HR_Cleaned[[#This Row],[Age]]&lt;55,"45-54","55+"))))</f>
        <v>45-54</v>
      </c>
      <c r="AK73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30" t="str">
        <f>IF(HR_Cleaned[[#This Row],[MonthlyIncome]]&lt;3000,"Below 3000",IF(HR_Cleaned[[#This Row],[MonthlyIncome]]&lt;5000,"3000-4999",IF(HR_Cleaned[[#This Row],[MonthlyIncome]]&lt;8000,"5000-7999","8000+")))</f>
        <v>8000+</v>
      </c>
      <c r="AM730">
        <f>IF(HR_Cleaned[[#This Row],[Attrition]]="Yes",1,0)</f>
        <v>0</v>
      </c>
    </row>
    <row r="731" spans="1:39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>
        <f>IF(HR_Cleaned[[#This Row],[Age]]&lt;25,"18-24",IF(HR_Cleaned[[#This Row],[Age]]&lt;35,"25-34",IF(HR_Cleaned[[#This Row],[Age]]&lt;45,"35-44",IF(HR_Cleaned[[#This Row],[Age]]&lt;55,"45-54","55+"))))</f>
        <v>35-44</v>
      </c>
      <c r="AK731" t="str">
        <f>IF(HR_Cleaned[[#This Row],[YearsAtCompany]]&lt;=2,"0-2 Years",IF(HR_Cleaned[[#This Row],[YearsAtCompany]]&lt;=5,"3-5 Years",IF(HR_Cleaned[[#This Row],[YearsAtCompany]]&lt;=10,"6-10 Years","11+ Years")))</f>
        <v>11+ Years</v>
      </c>
      <c r="AL731" t="str">
        <f>IF(HR_Cleaned[[#This Row],[MonthlyIncome]]&lt;3000,"Below 3000",IF(HR_Cleaned[[#This Row],[MonthlyIncome]]&lt;5000,"3000-4999",IF(HR_Cleaned[[#This Row],[MonthlyIncome]]&lt;8000,"5000-7999","8000+")))</f>
        <v>8000+</v>
      </c>
      <c r="AM731">
        <f>IF(HR_Cleaned[[#This Row],[Attrition]]="Yes",1,0)</f>
        <v>0</v>
      </c>
    </row>
    <row r="732" spans="1:39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>
        <f>IF(HR_Cleaned[[#This Row],[Age]]&lt;25,"18-24",IF(HR_Cleaned[[#This Row],[Age]]&lt;35,"25-34",IF(HR_Cleaned[[#This Row],[Age]]&lt;45,"35-44",IF(HR_Cleaned[[#This Row],[Age]]&lt;55,"45-54","55+"))))</f>
        <v>25-34</v>
      </c>
      <c r="AK73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32" t="str">
        <f>IF(HR_Cleaned[[#This Row],[MonthlyIncome]]&lt;3000,"Below 3000",IF(HR_Cleaned[[#This Row],[MonthlyIncome]]&lt;5000,"3000-4999",IF(HR_Cleaned[[#This Row],[MonthlyIncome]]&lt;8000,"5000-7999","8000+")))</f>
        <v>8000+</v>
      </c>
      <c r="AM732">
        <f>IF(HR_Cleaned[[#This Row],[Attrition]]="Yes",1,0)</f>
        <v>0</v>
      </c>
    </row>
    <row r="733" spans="1:39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>
        <f>IF(HR_Cleaned[[#This Row],[Age]]&lt;25,"18-24",IF(HR_Cleaned[[#This Row],[Age]]&lt;35,"25-34",IF(HR_Cleaned[[#This Row],[Age]]&lt;45,"35-44",IF(HR_Cleaned[[#This Row],[Age]]&lt;55,"45-54","55+"))))</f>
        <v>18-24</v>
      </c>
      <c r="AK73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33" t="str">
        <f>IF(HR_Cleaned[[#This Row],[MonthlyIncome]]&lt;3000,"Below 3000",IF(HR_Cleaned[[#This Row],[MonthlyIncome]]&lt;5000,"3000-4999",IF(HR_Cleaned[[#This Row],[MonthlyIncome]]&lt;8000,"5000-7999","8000+")))</f>
        <v>Below 3000</v>
      </c>
      <c r="AM733">
        <f>IF(HR_Cleaned[[#This Row],[Attrition]]="Yes",1,0)</f>
        <v>1</v>
      </c>
    </row>
    <row r="734" spans="1:39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>
        <f>IF(HR_Cleaned[[#This Row],[Age]]&lt;25,"18-24",IF(HR_Cleaned[[#This Row],[Age]]&lt;35,"25-34",IF(HR_Cleaned[[#This Row],[Age]]&lt;45,"35-44",IF(HR_Cleaned[[#This Row],[Age]]&lt;55,"45-54","55+"))))</f>
        <v>25-34</v>
      </c>
      <c r="AK73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34" t="str">
        <f>IF(HR_Cleaned[[#This Row],[MonthlyIncome]]&lt;3000,"Below 3000",IF(HR_Cleaned[[#This Row],[MonthlyIncome]]&lt;5000,"3000-4999",IF(HR_Cleaned[[#This Row],[MonthlyIncome]]&lt;8000,"5000-7999","8000+")))</f>
        <v>Below 3000</v>
      </c>
      <c r="AM734">
        <f>IF(HR_Cleaned[[#This Row],[Attrition]]="Yes",1,0)</f>
        <v>1</v>
      </c>
    </row>
    <row r="735" spans="1:39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>
        <f>IF(HR_Cleaned[[#This Row],[Age]]&lt;25,"18-24",IF(HR_Cleaned[[#This Row],[Age]]&lt;35,"25-34",IF(HR_Cleaned[[#This Row],[Age]]&lt;45,"35-44",IF(HR_Cleaned[[#This Row],[Age]]&lt;55,"45-54","55+"))))</f>
        <v>25-34</v>
      </c>
      <c r="AK73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35" t="str">
        <f>IF(HR_Cleaned[[#This Row],[MonthlyIncome]]&lt;3000,"Below 3000",IF(HR_Cleaned[[#This Row],[MonthlyIncome]]&lt;5000,"3000-4999",IF(HR_Cleaned[[#This Row],[MonthlyIncome]]&lt;8000,"5000-7999","8000+")))</f>
        <v>5000-7999</v>
      </c>
      <c r="AM735">
        <f>IF(HR_Cleaned[[#This Row],[Attrition]]="Yes",1,0)</f>
        <v>0</v>
      </c>
    </row>
    <row r="736" spans="1:39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>
        <f>IF(HR_Cleaned[[#This Row],[Age]]&lt;25,"18-24",IF(HR_Cleaned[[#This Row],[Age]]&lt;35,"25-34",IF(HR_Cleaned[[#This Row],[Age]]&lt;45,"35-44",IF(HR_Cleaned[[#This Row],[Age]]&lt;55,"45-54","55+"))))</f>
        <v>18-24</v>
      </c>
      <c r="AK73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36" t="str">
        <f>IF(HR_Cleaned[[#This Row],[MonthlyIncome]]&lt;3000,"Below 3000",IF(HR_Cleaned[[#This Row],[MonthlyIncome]]&lt;5000,"3000-4999",IF(HR_Cleaned[[#This Row],[MonthlyIncome]]&lt;8000,"5000-7999","8000+")))</f>
        <v>Below 3000</v>
      </c>
      <c r="AM736">
        <f>IF(HR_Cleaned[[#This Row],[Attrition]]="Yes",1,0)</f>
        <v>0</v>
      </c>
    </row>
    <row r="737" spans="1:39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>
        <f>IF(HR_Cleaned[[#This Row],[Age]]&lt;25,"18-24",IF(HR_Cleaned[[#This Row],[Age]]&lt;35,"25-34",IF(HR_Cleaned[[#This Row],[Age]]&lt;45,"35-44",IF(HR_Cleaned[[#This Row],[Age]]&lt;55,"45-54","55+"))))</f>
        <v>45-54</v>
      </c>
      <c r="AK73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37" t="str">
        <f>IF(HR_Cleaned[[#This Row],[MonthlyIncome]]&lt;3000,"Below 3000",IF(HR_Cleaned[[#This Row],[MonthlyIncome]]&lt;5000,"3000-4999",IF(HR_Cleaned[[#This Row],[MonthlyIncome]]&lt;8000,"5000-7999","8000+")))</f>
        <v>3000-4999</v>
      </c>
      <c r="AM737">
        <f>IF(HR_Cleaned[[#This Row],[Attrition]]="Yes",1,0)</f>
        <v>0</v>
      </c>
    </row>
    <row r="738" spans="1:39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>
        <f>IF(HR_Cleaned[[#This Row],[Age]]&lt;25,"18-24",IF(HR_Cleaned[[#This Row],[Age]]&lt;35,"25-34",IF(HR_Cleaned[[#This Row],[Age]]&lt;45,"35-44",IF(HR_Cleaned[[#This Row],[Age]]&lt;55,"45-54","55+"))))</f>
        <v>45-54</v>
      </c>
      <c r="AK73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738" t="str">
        <f>IF(HR_Cleaned[[#This Row],[MonthlyIncome]]&lt;3000,"Below 3000",IF(HR_Cleaned[[#This Row],[MonthlyIncome]]&lt;5000,"3000-4999",IF(HR_Cleaned[[#This Row],[MonthlyIncome]]&lt;8000,"5000-7999","8000+")))</f>
        <v>8000+</v>
      </c>
      <c r="AM738">
        <f>IF(HR_Cleaned[[#This Row],[Attrition]]="Yes",1,0)</f>
        <v>0</v>
      </c>
    </row>
    <row r="739" spans="1:39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>
        <f>IF(HR_Cleaned[[#This Row],[Age]]&lt;25,"18-24",IF(HR_Cleaned[[#This Row],[Age]]&lt;35,"25-34",IF(HR_Cleaned[[#This Row],[Age]]&lt;45,"35-44",IF(HR_Cleaned[[#This Row],[Age]]&lt;55,"45-54","55+"))))</f>
        <v>35-44</v>
      </c>
      <c r="AK73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39" t="str">
        <f>IF(HR_Cleaned[[#This Row],[MonthlyIncome]]&lt;3000,"Below 3000",IF(HR_Cleaned[[#This Row],[MonthlyIncome]]&lt;5000,"3000-4999",IF(HR_Cleaned[[#This Row],[MonthlyIncome]]&lt;8000,"5000-7999","8000+")))</f>
        <v>5000-7999</v>
      </c>
      <c r="AM739">
        <f>IF(HR_Cleaned[[#This Row],[Attrition]]="Yes",1,0)</f>
        <v>0</v>
      </c>
    </row>
    <row r="740" spans="1:39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>
        <f>IF(HR_Cleaned[[#This Row],[Age]]&lt;25,"18-24",IF(HR_Cleaned[[#This Row],[Age]]&lt;35,"25-34",IF(HR_Cleaned[[#This Row],[Age]]&lt;45,"35-44",IF(HR_Cleaned[[#This Row],[Age]]&lt;55,"45-54","55+"))))</f>
        <v>35-44</v>
      </c>
      <c r="AK74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740" t="str">
        <f>IF(HR_Cleaned[[#This Row],[MonthlyIncome]]&lt;3000,"Below 3000",IF(HR_Cleaned[[#This Row],[MonthlyIncome]]&lt;5000,"3000-4999",IF(HR_Cleaned[[#This Row],[MonthlyIncome]]&lt;8000,"5000-7999","8000+")))</f>
        <v>8000+</v>
      </c>
      <c r="AM740">
        <f>IF(HR_Cleaned[[#This Row],[Attrition]]="Yes",1,0)</f>
        <v>0</v>
      </c>
    </row>
    <row r="741" spans="1:39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>
        <f>IF(HR_Cleaned[[#This Row],[Age]]&lt;25,"18-24",IF(HR_Cleaned[[#This Row],[Age]]&lt;35,"25-34",IF(HR_Cleaned[[#This Row],[Age]]&lt;45,"35-44",IF(HR_Cleaned[[#This Row],[Age]]&lt;55,"45-54","55+"))))</f>
        <v>25-34</v>
      </c>
      <c r="AK74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41" t="str">
        <f>IF(HR_Cleaned[[#This Row],[MonthlyIncome]]&lt;3000,"Below 3000",IF(HR_Cleaned[[#This Row],[MonthlyIncome]]&lt;5000,"3000-4999",IF(HR_Cleaned[[#This Row],[MonthlyIncome]]&lt;8000,"5000-7999","8000+")))</f>
        <v>3000-4999</v>
      </c>
      <c r="AM741">
        <f>IF(HR_Cleaned[[#This Row],[Attrition]]="Yes",1,0)</f>
        <v>0</v>
      </c>
    </row>
    <row r="742" spans="1:39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>
        <f>IF(HR_Cleaned[[#This Row],[Age]]&lt;25,"18-24",IF(HR_Cleaned[[#This Row],[Age]]&lt;35,"25-34",IF(HR_Cleaned[[#This Row],[Age]]&lt;45,"35-44",IF(HR_Cleaned[[#This Row],[Age]]&lt;55,"45-54","55+"))))</f>
        <v>35-44</v>
      </c>
      <c r="AK74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42" t="str">
        <f>IF(HR_Cleaned[[#This Row],[MonthlyIncome]]&lt;3000,"Below 3000",IF(HR_Cleaned[[#This Row],[MonthlyIncome]]&lt;5000,"3000-4999",IF(HR_Cleaned[[#This Row],[MonthlyIncome]]&lt;8000,"5000-7999","8000+")))</f>
        <v>3000-4999</v>
      </c>
      <c r="AM742">
        <f>IF(HR_Cleaned[[#This Row],[Attrition]]="Yes",1,0)</f>
        <v>0</v>
      </c>
    </row>
    <row r="743" spans="1:39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>
        <f>IF(HR_Cleaned[[#This Row],[Age]]&lt;25,"18-24",IF(HR_Cleaned[[#This Row],[Age]]&lt;35,"25-34",IF(HR_Cleaned[[#This Row],[Age]]&lt;45,"35-44",IF(HR_Cleaned[[#This Row],[Age]]&lt;55,"45-54","55+"))))</f>
        <v>35-44</v>
      </c>
      <c r="AK74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43" t="str">
        <f>IF(HR_Cleaned[[#This Row],[MonthlyIncome]]&lt;3000,"Below 3000",IF(HR_Cleaned[[#This Row],[MonthlyIncome]]&lt;5000,"3000-4999",IF(HR_Cleaned[[#This Row],[MonthlyIncome]]&lt;8000,"5000-7999","8000+")))</f>
        <v>8000+</v>
      </c>
      <c r="AM743">
        <f>IF(HR_Cleaned[[#This Row],[Attrition]]="Yes",1,0)</f>
        <v>0</v>
      </c>
    </row>
    <row r="744" spans="1:39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>
        <f>IF(HR_Cleaned[[#This Row],[Age]]&lt;25,"18-24",IF(HR_Cleaned[[#This Row],[Age]]&lt;35,"25-34",IF(HR_Cleaned[[#This Row],[Age]]&lt;45,"35-44",IF(HR_Cleaned[[#This Row],[Age]]&lt;55,"45-54","55+"))))</f>
        <v>45-54</v>
      </c>
      <c r="AK74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44" t="str">
        <f>IF(HR_Cleaned[[#This Row],[MonthlyIncome]]&lt;3000,"Below 3000",IF(HR_Cleaned[[#This Row],[MonthlyIncome]]&lt;5000,"3000-4999",IF(HR_Cleaned[[#This Row],[MonthlyIncome]]&lt;8000,"5000-7999","8000+")))</f>
        <v>Below 3000</v>
      </c>
      <c r="AM744">
        <f>IF(HR_Cleaned[[#This Row],[Attrition]]="Yes",1,0)</f>
        <v>0</v>
      </c>
    </row>
    <row r="745" spans="1:39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>
        <f>IF(HR_Cleaned[[#This Row],[Age]]&lt;25,"18-24",IF(HR_Cleaned[[#This Row],[Age]]&lt;35,"25-34",IF(HR_Cleaned[[#This Row],[Age]]&lt;45,"35-44",IF(HR_Cleaned[[#This Row],[Age]]&lt;55,"45-54","55+"))))</f>
        <v>55+</v>
      </c>
      <c r="AK74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45" t="str">
        <f>IF(HR_Cleaned[[#This Row],[MonthlyIncome]]&lt;3000,"Below 3000",IF(HR_Cleaned[[#This Row],[MonthlyIncome]]&lt;5000,"3000-4999",IF(HR_Cleaned[[#This Row],[MonthlyIncome]]&lt;8000,"5000-7999","8000+")))</f>
        <v>8000+</v>
      </c>
      <c r="AM745">
        <f>IF(HR_Cleaned[[#This Row],[Attrition]]="Yes",1,0)</f>
        <v>0</v>
      </c>
    </row>
    <row r="746" spans="1:39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>
        <f>IF(HR_Cleaned[[#This Row],[Age]]&lt;25,"18-24",IF(HR_Cleaned[[#This Row],[Age]]&lt;35,"25-34",IF(HR_Cleaned[[#This Row],[Age]]&lt;45,"35-44",IF(HR_Cleaned[[#This Row],[Age]]&lt;55,"45-54","55+"))))</f>
        <v>35-44</v>
      </c>
      <c r="AK74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46" t="str">
        <f>IF(HR_Cleaned[[#This Row],[MonthlyIncome]]&lt;3000,"Below 3000",IF(HR_Cleaned[[#This Row],[MonthlyIncome]]&lt;5000,"3000-4999",IF(HR_Cleaned[[#This Row],[MonthlyIncome]]&lt;8000,"5000-7999","8000+")))</f>
        <v>3000-4999</v>
      </c>
      <c r="AM746">
        <f>IF(HR_Cleaned[[#This Row],[Attrition]]="Yes",1,0)</f>
        <v>1</v>
      </c>
    </row>
    <row r="747" spans="1:39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>
        <f>IF(HR_Cleaned[[#This Row],[Age]]&lt;25,"18-24",IF(HR_Cleaned[[#This Row],[Age]]&lt;35,"25-34",IF(HR_Cleaned[[#This Row],[Age]]&lt;45,"35-44",IF(HR_Cleaned[[#This Row],[Age]]&lt;55,"45-54","55+"))))</f>
        <v>55+</v>
      </c>
      <c r="AK74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47" t="str">
        <f>IF(HR_Cleaned[[#This Row],[MonthlyIncome]]&lt;3000,"Below 3000",IF(HR_Cleaned[[#This Row],[MonthlyIncome]]&lt;5000,"3000-4999",IF(HR_Cleaned[[#This Row],[MonthlyIncome]]&lt;8000,"5000-7999","8000+")))</f>
        <v>5000-7999</v>
      </c>
      <c r="AM747">
        <f>IF(HR_Cleaned[[#This Row],[Attrition]]="Yes",1,0)</f>
        <v>0</v>
      </c>
    </row>
    <row r="748" spans="1:39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>
        <f>IF(HR_Cleaned[[#This Row],[Age]]&lt;25,"18-24",IF(HR_Cleaned[[#This Row],[Age]]&lt;35,"25-34",IF(HR_Cleaned[[#This Row],[Age]]&lt;45,"35-44",IF(HR_Cleaned[[#This Row],[Age]]&lt;55,"45-54","55+"))))</f>
        <v>35-44</v>
      </c>
      <c r="AK74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748" t="str">
        <f>IF(HR_Cleaned[[#This Row],[MonthlyIncome]]&lt;3000,"Below 3000",IF(HR_Cleaned[[#This Row],[MonthlyIncome]]&lt;5000,"3000-4999",IF(HR_Cleaned[[#This Row],[MonthlyIncome]]&lt;8000,"5000-7999","8000+")))</f>
        <v>8000+</v>
      </c>
      <c r="AM748">
        <f>IF(HR_Cleaned[[#This Row],[Attrition]]="Yes",1,0)</f>
        <v>0</v>
      </c>
    </row>
    <row r="749" spans="1:39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>
        <f>IF(HR_Cleaned[[#This Row],[Age]]&lt;25,"18-24",IF(HR_Cleaned[[#This Row],[Age]]&lt;35,"25-34",IF(HR_Cleaned[[#This Row],[Age]]&lt;45,"35-44",IF(HR_Cleaned[[#This Row],[Age]]&lt;55,"45-54","55+"))))</f>
        <v>35-44</v>
      </c>
      <c r="AK74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49" t="str">
        <f>IF(HR_Cleaned[[#This Row],[MonthlyIncome]]&lt;3000,"Below 3000",IF(HR_Cleaned[[#This Row],[MonthlyIncome]]&lt;5000,"3000-4999",IF(HR_Cleaned[[#This Row],[MonthlyIncome]]&lt;8000,"5000-7999","8000+")))</f>
        <v>5000-7999</v>
      </c>
      <c r="AM749">
        <f>IF(HR_Cleaned[[#This Row],[Attrition]]="Yes",1,0)</f>
        <v>0</v>
      </c>
    </row>
    <row r="750" spans="1:39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>
        <f>IF(HR_Cleaned[[#This Row],[Age]]&lt;25,"18-24",IF(HR_Cleaned[[#This Row],[Age]]&lt;35,"25-34",IF(HR_Cleaned[[#This Row],[Age]]&lt;45,"35-44",IF(HR_Cleaned[[#This Row],[Age]]&lt;55,"45-54","55+"))))</f>
        <v>25-34</v>
      </c>
      <c r="AK75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50" t="str">
        <f>IF(HR_Cleaned[[#This Row],[MonthlyIncome]]&lt;3000,"Below 3000",IF(HR_Cleaned[[#This Row],[MonthlyIncome]]&lt;5000,"3000-4999",IF(HR_Cleaned[[#This Row],[MonthlyIncome]]&lt;8000,"5000-7999","8000+")))</f>
        <v>3000-4999</v>
      </c>
      <c r="AM750">
        <f>IF(HR_Cleaned[[#This Row],[Attrition]]="Yes",1,0)</f>
        <v>1</v>
      </c>
    </row>
    <row r="751" spans="1:39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>
        <f>IF(HR_Cleaned[[#This Row],[Age]]&lt;25,"18-24",IF(HR_Cleaned[[#This Row],[Age]]&lt;35,"25-34",IF(HR_Cleaned[[#This Row],[Age]]&lt;45,"35-44",IF(HR_Cleaned[[#This Row],[Age]]&lt;55,"45-54","55+"))))</f>
        <v>45-54</v>
      </c>
      <c r="AK751" t="str">
        <f>IF(HR_Cleaned[[#This Row],[YearsAtCompany]]&lt;=2,"0-2 Years",IF(HR_Cleaned[[#This Row],[YearsAtCompany]]&lt;=5,"3-5 Years",IF(HR_Cleaned[[#This Row],[YearsAtCompany]]&lt;=10,"6-10 Years","11+ Years")))</f>
        <v>11+ Years</v>
      </c>
      <c r="AL751" t="str">
        <f>IF(HR_Cleaned[[#This Row],[MonthlyIncome]]&lt;3000,"Below 3000",IF(HR_Cleaned[[#This Row],[MonthlyIncome]]&lt;5000,"3000-4999",IF(HR_Cleaned[[#This Row],[MonthlyIncome]]&lt;8000,"5000-7999","8000+")))</f>
        <v>8000+</v>
      </c>
      <c r="AM751">
        <f>IF(HR_Cleaned[[#This Row],[Attrition]]="Yes",1,0)</f>
        <v>1</v>
      </c>
    </row>
    <row r="752" spans="1:39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>
        <f>IF(HR_Cleaned[[#This Row],[Age]]&lt;25,"18-24",IF(HR_Cleaned[[#This Row],[Age]]&lt;35,"25-34",IF(HR_Cleaned[[#This Row],[Age]]&lt;45,"35-44",IF(HR_Cleaned[[#This Row],[Age]]&lt;55,"45-54","55+"))))</f>
        <v>35-44</v>
      </c>
      <c r="AK75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752" t="str">
        <f>IF(HR_Cleaned[[#This Row],[MonthlyIncome]]&lt;3000,"Below 3000",IF(HR_Cleaned[[#This Row],[MonthlyIncome]]&lt;5000,"3000-4999",IF(HR_Cleaned[[#This Row],[MonthlyIncome]]&lt;8000,"5000-7999","8000+")))</f>
        <v>8000+</v>
      </c>
      <c r="AM752">
        <f>IF(HR_Cleaned[[#This Row],[Attrition]]="Yes",1,0)</f>
        <v>0</v>
      </c>
    </row>
    <row r="753" spans="1:39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>
        <f>IF(HR_Cleaned[[#This Row],[Age]]&lt;25,"18-24",IF(HR_Cleaned[[#This Row],[Age]]&lt;35,"25-34",IF(HR_Cleaned[[#This Row],[Age]]&lt;45,"35-44",IF(HR_Cleaned[[#This Row],[Age]]&lt;55,"45-54","55+"))))</f>
        <v>45-54</v>
      </c>
      <c r="AK75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753" t="str">
        <f>IF(HR_Cleaned[[#This Row],[MonthlyIncome]]&lt;3000,"Below 3000",IF(HR_Cleaned[[#This Row],[MonthlyIncome]]&lt;5000,"3000-4999",IF(HR_Cleaned[[#This Row],[MonthlyIncome]]&lt;8000,"5000-7999","8000+")))</f>
        <v>5000-7999</v>
      </c>
      <c r="AM753">
        <f>IF(HR_Cleaned[[#This Row],[Attrition]]="Yes",1,0)</f>
        <v>0</v>
      </c>
    </row>
    <row r="754" spans="1:39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>
        <f>IF(HR_Cleaned[[#This Row],[Age]]&lt;25,"18-24",IF(HR_Cleaned[[#This Row],[Age]]&lt;35,"25-34",IF(HR_Cleaned[[#This Row],[Age]]&lt;45,"35-44",IF(HR_Cleaned[[#This Row],[Age]]&lt;55,"45-54","55+"))))</f>
        <v>35-44</v>
      </c>
      <c r="AK754" t="str">
        <f>IF(HR_Cleaned[[#This Row],[YearsAtCompany]]&lt;=2,"0-2 Years",IF(HR_Cleaned[[#This Row],[YearsAtCompany]]&lt;=5,"3-5 Years",IF(HR_Cleaned[[#This Row],[YearsAtCompany]]&lt;=10,"6-10 Years","11+ Years")))</f>
        <v>11+ Years</v>
      </c>
      <c r="AL754" t="str">
        <f>IF(HR_Cleaned[[#This Row],[MonthlyIncome]]&lt;3000,"Below 3000",IF(HR_Cleaned[[#This Row],[MonthlyIncome]]&lt;5000,"3000-4999",IF(HR_Cleaned[[#This Row],[MonthlyIncome]]&lt;8000,"5000-7999","8000+")))</f>
        <v>Below 3000</v>
      </c>
      <c r="AM754">
        <f>IF(HR_Cleaned[[#This Row],[Attrition]]="Yes",1,0)</f>
        <v>1</v>
      </c>
    </row>
    <row r="755" spans="1:39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>
        <f>IF(HR_Cleaned[[#This Row],[Age]]&lt;25,"18-24",IF(HR_Cleaned[[#This Row],[Age]]&lt;35,"25-34",IF(HR_Cleaned[[#This Row],[Age]]&lt;45,"35-44",IF(HR_Cleaned[[#This Row],[Age]]&lt;55,"45-54","55+"))))</f>
        <v>35-44</v>
      </c>
      <c r="AK75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755" t="str">
        <f>IF(HR_Cleaned[[#This Row],[MonthlyIncome]]&lt;3000,"Below 3000",IF(HR_Cleaned[[#This Row],[MonthlyIncome]]&lt;5000,"3000-4999",IF(HR_Cleaned[[#This Row],[MonthlyIncome]]&lt;8000,"5000-7999","8000+")))</f>
        <v>8000+</v>
      </c>
      <c r="AM755">
        <f>IF(HR_Cleaned[[#This Row],[Attrition]]="Yes",1,0)</f>
        <v>0</v>
      </c>
    </row>
    <row r="756" spans="1:39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>
        <f>IF(HR_Cleaned[[#This Row],[Age]]&lt;25,"18-24",IF(HR_Cleaned[[#This Row],[Age]]&lt;35,"25-34",IF(HR_Cleaned[[#This Row],[Age]]&lt;45,"35-44",IF(HR_Cleaned[[#This Row],[Age]]&lt;55,"45-54","55+"))))</f>
        <v>25-34</v>
      </c>
      <c r="AK75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56" t="str">
        <f>IF(HR_Cleaned[[#This Row],[MonthlyIncome]]&lt;3000,"Below 3000",IF(HR_Cleaned[[#This Row],[MonthlyIncome]]&lt;5000,"3000-4999",IF(HR_Cleaned[[#This Row],[MonthlyIncome]]&lt;8000,"5000-7999","8000+")))</f>
        <v>Below 3000</v>
      </c>
      <c r="AM756">
        <f>IF(HR_Cleaned[[#This Row],[Attrition]]="Yes",1,0)</f>
        <v>0</v>
      </c>
    </row>
    <row r="757" spans="1:39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>
        <f>IF(HR_Cleaned[[#This Row],[Age]]&lt;25,"18-24",IF(HR_Cleaned[[#This Row],[Age]]&lt;35,"25-34",IF(HR_Cleaned[[#This Row],[Age]]&lt;45,"35-44",IF(HR_Cleaned[[#This Row],[Age]]&lt;55,"45-54","55+"))))</f>
        <v>45-54</v>
      </c>
      <c r="AK75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57" t="str">
        <f>IF(HR_Cleaned[[#This Row],[MonthlyIncome]]&lt;3000,"Below 3000",IF(HR_Cleaned[[#This Row],[MonthlyIncome]]&lt;5000,"3000-4999",IF(HR_Cleaned[[#This Row],[MonthlyIncome]]&lt;8000,"5000-7999","8000+")))</f>
        <v>8000+</v>
      </c>
      <c r="AM757">
        <f>IF(HR_Cleaned[[#This Row],[Attrition]]="Yes",1,0)</f>
        <v>0</v>
      </c>
    </row>
    <row r="758" spans="1:39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>
        <f>IF(HR_Cleaned[[#This Row],[Age]]&lt;25,"18-24",IF(HR_Cleaned[[#This Row],[Age]]&lt;35,"25-34",IF(HR_Cleaned[[#This Row],[Age]]&lt;45,"35-44",IF(HR_Cleaned[[#This Row],[Age]]&lt;55,"45-54","55+"))))</f>
        <v>25-34</v>
      </c>
      <c r="AK75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58" t="str">
        <f>IF(HR_Cleaned[[#This Row],[MonthlyIncome]]&lt;3000,"Below 3000",IF(HR_Cleaned[[#This Row],[MonthlyIncome]]&lt;5000,"3000-4999",IF(HR_Cleaned[[#This Row],[MonthlyIncome]]&lt;8000,"5000-7999","8000+")))</f>
        <v>3000-4999</v>
      </c>
      <c r="AM758">
        <f>IF(HR_Cleaned[[#This Row],[Attrition]]="Yes",1,0)</f>
        <v>0</v>
      </c>
    </row>
    <row r="759" spans="1:39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>
        <f>IF(HR_Cleaned[[#This Row],[Age]]&lt;25,"18-24",IF(HR_Cleaned[[#This Row],[Age]]&lt;35,"25-34",IF(HR_Cleaned[[#This Row],[Age]]&lt;45,"35-44",IF(HR_Cleaned[[#This Row],[Age]]&lt;55,"45-54","55+"))))</f>
        <v>25-34</v>
      </c>
      <c r="AK75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759" t="str">
        <f>IF(HR_Cleaned[[#This Row],[MonthlyIncome]]&lt;3000,"Below 3000",IF(HR_Cleaned[[#This Row],[MonthlyIncome]]&lt;5000,"3000-4999",IF(HR_Cleaned[[#This Row],[MonthlyIncome]]&lt;8000,"5000-7999","8000+")))</f>
        <v>8000+</v>
      </c>
      <c r="AM759">
        <f>IF(HR_Cleaned[[#This Row],[Attrition]]="Yes",1,0)</f>
        <v>0</v>
      </c>
    </row>
    <row r="760" spans="1:39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>
        <f>IF(HR_Cleaned[[#This Row],[Age]]&lt;25,"18-24",IF(HR_Cleaned[[#This Row],[Age]]&lt;35,"25-34",IF(HR_Cleaned[[#This Row],[Age]]&lt;45,"35-44",IF(HR_Cleaned[[#This Row],[Age]]&lt;55,"45-54","55+"))))</f>
        <v>55+</v>
      </c>
      <c r="AK76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60" t="str">
        <f>IF(HR_Cleaned[[#This Row],[MonthlyIncome]]&lt;3000,"Below 3000",IF(HR_Cleaned[[#This Row],[MonthlyIncome]]&lt;5000,"3000-4999",IF(HR_Cleaned[[#This Row],[MonthlyIncome]]&lt;8000,"5000-7999","8000+")))</f>
        <v>8000+</v>
      </c>
      <c r="AM760">
        <f>IF(HR_Cleaned[[#This Row],[Attrition]]="Yes",1,0)</f>
        <v>0</v>
      </c>
    </row>
    <row r="761" spans="1:39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>
        <f>IF(HR_Cleaned[[#This Row],[Age]]&lt;25,"18-24",IF(HR_Cleaned[[#This Row],[Age]]&lt;35,"25-34",IF(HR_Cleaned[[#This Row],[Age]]&lt;45,"35-44",IF(HR_Cleaned[[#This Row],[Age]]&lt;55,"45-54","55+"))))</f>
        <v>45-54</v>
      </c>
      <c r="AK76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61" t="str">
        <f>IF(HR_Cleaned[[#This Row],[MonthlyIncome]]&lt;3000,"Below 3000",IF(HR_Cleaned[[#This Row],[MonthlyIncome]]&lt;5000,"3000-4999",IF(HR_Cleaned[[#This Row],[MonthlyIncome]]&lt;8000,"5000-7999","8000+")))</f>
        <v>Below 3000</v>
      </c>
      <c r="AM761">
        <f>IF(HR_Cleaned[[#This Row],[Attrition]]="Yes",1,0)</f>
        <v>0</v>
      </c>
    </row>
    <row r="762" spans="1:39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>
        <f>IF(HR_Cleaned[[#This Row],[Age]]&lt;25,"18-24",IF(HR_Cleaned[[#This Row],[Age]]&lt;35,"25-34",IF(HR_Cleaned[[#This Row],[Age]]&lt;45,"35-44",IF(HR_Cleaned[[#This Row],[Age]]&lt;55,"45-54","55+"))))</f>
        <v>45-54</v>
      </c>
      <c r="AK76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762" t="str">
        <f>IF(HR_Cleaned[[#This Row],[MonthlyIncome]]&lt;3000,"Below 3000",IF(HR_Cleaned[[#This Row],[MonthlyIncome]]&lt;5000,"3000-4999",IF(HR_Cleaned[[#This Row],[MonthlyIncome]]&lt;8000,"5000-7999","8000+")))</f>
        <v>5000-7999</v>
      </c>
      <c r="AM762">
        <f>IF(HR_Cleaned[[#This Row],[Attrition]]="Yes",1,0)</f>
        <v>0</v>
      </c>
    </row>
    <row r="763" spans="1:39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>
        <f>IF(HR_Cleaned[[#This Row],[Age]]&lt;25,"18-24",IF(HR_Cleaned[[#This Row],[Age]]&lt;35,"25-34",IF(HR_Cleaned[[#This Row],[Age]]&lt;45,"35-44",IF(HR_Cleaned[[#This Row],[Age]]&lt;55,"45-54","55+"))))</f>
        <v>35-44</v>
      </c>
      <c r="AK76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63" t="str">
        <f>IF(HR_Cleaned[[#This Row],[MonthlyIncome]]&lt;3000,"Below 3000",IF(HR_Cleaned[[#This Row],[MonthlyIncome]]&lt;5000,"3000-4999",IF(HR_Cleaned[[#This Row],[MonthlyIncome]]&lt;8000,"5000-7999","8000+")))</f>
        <v>3000-4999</v>
      </c>
      <c r="AM763">
        <f>IF(HR_Cleaned[[#This Row],[Attrition]]="Yes",1,0)</f>
        <v>1</v>
      </c>
    </row>
    <row r="764" spans="1:39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>
        <f>IF(HR_Cleaned[[#This Row],[Age]]&lt;25,"18-24",IF(HR_Cleaned[[#This Row],[Age]]&lt;35,"25-34",IF(HR_Cleaned[[#This Row],[Age]]&lt;45,"35-44",IF(HR_Cleaned[[#This Row],[Age]]&lt;55,"45-54","55+"))))</f>
        <v>25-34</v>
      </c>
      <c r="AK76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64" t="str">
        <f>IF(HR_Cleaned[[#This Row],[MonthlyIncome]]&lt;3000,"Below 3000",IF(HR_Cleaned[[#This Row],[MonthlyIncome]]&lt;5000,"3000-4999",IF(HR_Cleaned[[#This Row],[MonthlyIncome]]&lt;8000,"5000-7999","8000+")))</f>
        <v>Below 3000</v>
      </c>
      <c r="AM764">
        <f>IF(HR_Cleaned[[#This Row],[Attrition]]="Yes",1,0)</f>
        <v>1</v>
      </c>
    </row>
    <row r="765" spans="1:39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>
        <f>IF(HR_Cleaned[[#This Row],[Age]]&lt;25,"18-24",IF(HR_Cleaned[[#This Row],[Age]]&lt;35,"25-34",IF(HR_Cleaned[[#This Row],[Age]]&lt;45,"35-44",IF(HR_Cleaned[[#This Row],[Age]]&lt;55,"45-54","55+"))))</f>
        <v>25-34</v>
      </c>
      <c r="AK765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65" t="str">
        <f>IF(HR_Cleaned[[#This Row],[MonthlyIncome]]&lt;3000,"Below 3000",IF(HR_Cleaned[[#This Row],[MonthlyIncome]]&lt;5000,"3000-4999",IF(HR_Cleaned[[#This Row],[MonthlyIncome]]&lt;8000,"5000-7999","8000+")))</f>
        <v>Below 3000</v>
      </c>
      <c r="AM765">
        <f>IF(HR_Cleaned[[#This Row],[Attrition]]="Yes",1,0)</f>
        <v>0</v>
      </c>
    </row>
    <row r="766" spans="1:39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>
        <f>IF(HR_Cleaned[[#This Row],[Age]]&lt;25,"18-24",IF(HR_Cleaned[[#This Row],[Age]]&lt;35,"25-34",IF(HR_Cleaned[[#This Row],[Age]]&lt;45,"35-44",IF(HR_Cleaned[[#This Row],[Age]]&lt;55,"45-54","55+"))))</f>
        <v>25-34</v>
      </c>
      <c r="AK76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66" t="str">
        <f>IF(HR_Cleaned[[#This Row],[MonthlyIncome]]&lt;3000,"Below 3000",IF(HR_Cleaned[[#This Row],[MonthlyIncome]]&lt;5000,"3000-4999",IF(HR_Cleaned[[#This Row],[MonthlyIncome]]&lt;8000,"5000-7999","8000+")))</f>
        <v>Below 3000</v>
      </c>
      <c r="AM766">
        <f>IF(HR_Cleaned[[#This Row],[Attrition]]="Yes",1,0)</f>
        <v>0</v>
      </c>
    </row>
    <row r="767" spans="1:39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>
        <f>IF(HR_Cleaned[[#This Row],[Age]]&lt;25,"18-24",IF(HR_Cleaned[[#This Row],[Age]]&lt;35,"25-34",IF(HR_Cleaned[[#This Row],[Age]]&lt;45,"35-44",IF(HR_Cleaned[[#This Row],[Age]]&lt;55,"45-54","55+"))))</f>
        <v>35-44</v>
      </c>
      <c r="AK76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67" t="str">
        <f>IF(HR_Cleaned[[#This Row],[MonthlyIncome]]&lt;3000,"Below 3000",IF(HR_Cleaned[[#This Row],[MonthlyIncome]]&lt;5000,"3000-4999",IF(HR_Cleaned[[#This Row],[MonthlyIncome]]&lt;8000,"5000-7999","8000+")))</f>
        <v>Below 3000</v>
      </c>
      <c r="AM767">
        <f>IF(HR_Cleaned[[#This Row],[Attrition]]="Yes",1,0)</f>
        <v>0</v>
      </c>
    </row>
    <row r="768" spans="1:39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>
        <f>IF(HR_Cleaned[[#This Row],[Age]]&lt;25,"18-24",IF(HR_Cleaned[[#This Row],[Age]]&lt;35,"25-34",IF(HR_Cleaned[[#This Row],[Age]]&lt;45,"35-44",IF(HR_Cleaned[[#This Row],[Age]]&lt;55,"45-54","55+"))))</f>
        <v>45-54</v>
      </c>
      <c r="AK76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68" t="str">
        <f>IF(HR_Cleaned[[#This Row],[MonthlyIncome]]&lt;3000,"Below 3000",IF(HR_Cleaned[[#This Row],[MonthlyIncome]]&lt;5000,"3000-4999",IF(HR_Cleaned[[#This Row],[MonthlyIncome]]&lt;8000,"5000-7999","8000+")))</f>
        <v>8000+</v>
      </c>
      <c r="AM768">
        <f>IF(HR_Cleaned[[#This Row],[Attrition]]="Yes",1,0)</f>
        <v>0</v>
      </c>
    </row>
    <row r="769" spans="1:39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>
        <f>IF(HR_Cleaned[[#This Row],[Age]]&lt;25,"18-24",IF(HR_Cleaned[[#This Row],[Age]]&lt;35,"25-34",IF(HR_Cleaned[[#This Row],[Age]]&lt;45,"35-44",IF(HR_Cleaned[[#This Row],[Age]]&lt;55,"45-54","55+"))))</f>
        <v>35-44</v>
      </c>
      <c r="AK76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69" t="str">
        <f>IF(HR_Cleaned[[#This Row],[MonthlyIncome]]&lt;3000,"Below 3000",IF(HR_Cleaned[[#This Row],[MonthlyIncome]]&lt;5000,"3000-4999",IF(HR_Cleaned[[#This Row],[MonthlyIncome]]&lt;8000,"5000-7999","8000+")))</f>
        <v>3000-4999</v>
      </c>
      <c r="AM769">
        <f>IF(HR_Cleaned[[#This Row],[Attrition]]="Yes",1,0)</f>
        <v>0</v>
      </c>
    </row>
    <row r="770" spans="1:39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>
        <f>IF(HR_Cleaned[[#This Row],[Age]]&lt;25,"18-24",IF(HR_Cleaned[[#This Row],[Age]]&lt;35,"25-34",IF(HR_Cleaned[[#This Row],[Age]]&lt;45,"35-44",IF(HR_Cleaned[[#This Row],[Age]]&lt;55,"45-54","55+"))))</f>
        <v>35-44</v>
      </c>
      <c r="AK77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70" t="str">
        <f>IF(HR_Cleaned[[#This Row],[MonthlyIncome]]&lt;3000,"Below 3000",IF(HR_Cleaned[[#This Row],[MonthlyIncome]]&lt;5000,"3000-4999",IF(HR_Cleaned[[#This Row],[MonthlyIncome]]&lt;8000,"5000-7999","8000+")))</f>
        <v>8000+</v>
      </c>
      <c r="AM770">
        <f>IF(HR_Cleaned[[#This Row],[Attrition]]="Yes",1,0)</f>
        <v>0</v>
      </c>
    </row>
    <row r="771" spans="1:39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>
        <f>IF(HR_Cleaned[[#This Row],[Age]]&lt;25,"18-24",IF(HR_Cleaned[[#This Row],[Age]]&lt;35,"25-34",IF(HR_Cleaned[[#This Row],[Age]]&lt;45,"35-44",IF(HR_Cleaned[[#This Row],[Age]]&lt;55,"45-54","55+"))))</f>
        <v>25-34</v>
      </c>
      <c r="AK77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71" t="str">
        <f>IF(HR_Cleaned[[#This Row],[MonthlyIncome]]&lt;3000,"Below 3000",IF(HR_Cleaned[[#This Row],[MonthlyIncome]]&lt;5000,"3000-4999",IF(HR_Cleaned[[#This Row],[MonthlyIncome]]&lt;8000,"5000-7999","8000+")))</f>
        <v>Below 3000</v>
      </c>
      <c r="AM771">
        <f>IF(HR_Cleaned[[#This Row],[Attrition]]="Yes",1,0)</f>
        <v>0</v>
      </c>
    </row>
    <row r="772" spans="1:39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>
        <f>IF(HR_Cleaned[[#This Row],[Age]]&lt;25,"18-24",IF(HR_Cleaned[[#This Row],[Age]]&lt;35,"25-34",IF(HR_Cleaned[[#This Row],[Age]]&lt;45,"35-44",IF(HR_Cleaned[[#This Row],[Age]]&lt;55,"45-54","55+"))))</f>
        <v>45-54</v>
      </c>
      <c r="AK77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72" t="str">
        <f>IF(HR_Cleaned[[#This Row],[MonthlyIncome]]&lt;3000,"Below 3000",IF(HR_Cleaned[[#This Row],[MonthlyIncome]]&lt;5000,"3000-4999",IF(HR_Cleaned[[#This Row],[MonthlyIncome]]&lt;8000,"5000-7999","8000+")))</f>
        <v>8000+</v>
      </c>
      <c r="AM772">
        <f>IF(HR_Cleaned[[#This Row],[Attrition]]="Yes",1,0)</f>
        <v>0</v>
      </c>
    </row>
    <row r="773" spans="1:39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>
        <f>IF(HR_Cleaned[[#This Row],[Age]]&lt;25,"18-24",IF(HR_Cleaned[[#This Row],[Age]]&lt;35,"25-34",IF(HR_Cleaned[[#This Row],[Age]]&lt;45,"35-44",IF(HR_Cleaned[[#This Row],[Age]]&lt;55,"45-54","55+"))))</f>
        <v>45-54</v>
      </c>
      <c r="AK77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73" t="str">
        <f>IF(HR_Cleaned[[#This Row],[MonthlyIncome]]&lt;3000,"Below 3000",IF(HR_Cleaned[[#This Row],[MonthlyIncome]]&lt;5000,"3000-4999",IF(HR_Cleaned[[#This Row],[MonthlyIncome]]&lt;8000,"5000-7999","8000+")))</f>
        <v>8000+</v>
      </c>
      <c r="AM773">
        <f>IF(HR_Cleaned[[#This Row],[Attrition]]="Yes",1,0)</f>
        <v>0</v>
      </c>
    </row>
    <row r="774" spans="1:39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>
        <f>IF(HR_Cleaned[[#This Row],[Age]]&lt;25,"18-24",IF(HR_Cleaned[[#This Row],[Age]]&lt;35,"25-34",IF(HR_Cleaned[[#This Row],[Age]]&lt;45,"35-44",IF(HR_Cleaned[[#This Row],[Age]]&lt;55,"45-54","55+"))))</f>
        <v>55+</v>
      </c>
      <c r="AK77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74" t="str">
        <f>IF(HR_Cleaned[[#This Row],[MonthlyIncome]]&lt;3000,"Below 3000",IF(HR_Cleaned[[#This Row],[MonthlyIncome]]&lt;5000,"3000-4999",IF(HR_Cleaned[[#This Row],[MonthlyIncome]]&lt;8000,"5000-7999","8000+")))</f>
        <v>Below 3000</v>
      </c>
      <c r="AM774">
        <f>IF(HR_Cleaned[[#This Row],[Attrition]]="Yes",1,0)</f>
        <v>0</v>
      </c>
    </row>
    <row r="775" spans="1:39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>
        <f>IF(HR_Cleaned[[#This Row],[Age]]&lt;25,"18-24",IF(HR_Cleaned[[#This Row],[Age]]&lt;35,"25-34",IF(HR_Cleaned[[#This Row],[Age]]&lt;45,"35-44",IF(HR_Cleaned[[#This Row],[Age]]&lt;55,"45-54","55+"))))</f>
        <v>35-44</v>
      </c>
      <c r="AK77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775" t="str">
        <f>IF(HR_Cleaned[[#This Row],[MonthlyIncome]]&lt;3000,"Below 3000",IF(HR_Cleaned[[#This Row],[MonthlyIncome]]&lt;5000,"3000-4999",IF(HR_Cleaned[[#This Row],[MonthlyIncome]]&lt;8000,"5000-7999","8000+")))</f>
        <v>8000+</v>
      </c>
      <c r="AM775">
        <f>IF(HR_Cleaned[[#This Row],[Attrition]]="Yes",1,0)</f>
        <v>0</v>
      </c>
    </row>
    <row r="776" spans="1:39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>
        <f>IF(HR_Cleaned[[#This Row],[Age]]&lt;25,"18-24",IF(HR_Cleaned[[#This Row],[Age]]&lt;35,"25-34",IF(HR_Cleaned[[#This Row],[Age]]&lt;45,"35-44",IF(HR_Cleaned[[#This Row],[Age]]&lt;55,"45-54","55+"))))</f>
        <v>55+</v>
      </c>
      <c r="AK77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76" t="str">
        <f>IF(HR_Cleaned[[#This Row],[MonthlyIncome]]&lt;3000,"Below 3000",IF(HR_Cleaned[[#This Row],[MonthlyIncome]]&lt;5000,"3000-4999",IF(HR_Cleaned[[#This Row],[MonthlyIncome]]&lt;8000,"5000-7999","8000+")))</f>
        <v>8000+</v>
      </c>
      <c r="AM776">
        <f>IF(HR_Cleaned[[#This Row],[Attrition]]="Yes",1,0)</f>
        <v>0</v>
      </c>
    </row>
    <row r="777" spans="1:39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>
        <f>IF(HR_Cleaned[[#This Row],[Age]]&lt;25,"18-24",IF(HR_Cleaned[[#This Row],[Age]]&lt;35,"25-34",IF(HR_Cleaned[[#This Row],[Age]]&lt;45,"35-44",IF(HR_Cleaned[[#This Row],[Age]]&lt;55,"45-54","55+"))))</f>
        <v>35-44</v>
      </c>
      <c r="AK77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77" t="str">
        <f>IF(HR_Cleaned[[#This Row],[MonthlyIncome]]&lt;3000,"Below 3000",IF(HR_Cleaned[[#This Row],[MonthlyIncome]]&lt;5000,"3000-4999",IF(HR_Cleaned[[#This Row],[MonthlyIncome]]&lt;8000,"5000-7999","8000+")))</f>
        <v>8000+</v>
      </c>
      <c r="AM777">
        <f>IF(HR_Cleaned[[#This Row],[Attrition]]="Yes",1,0)</f>
        <v>0</v>
      </c>
    </row>
    <row r="778" spans="1:39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>
        <f>IF(HR_Cleaned[[#This Row],[Age]]&lt;25,"18-24",IF(HR_Cleaned[[#This Row],[Age]]&lt;35,"25-34",IF(HR_Cleaned[[#This Row],[Age]]&lt;45,"35-44",IF(HR_Cleaned[[#This Row],[Age]]&lt;55,"45-54","55+"))))</f>
        <v>18-24</v>
      </c>
      <c r="AK77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78" t="str">
        <f>IF(HR_Cleaned[[#This Row],[MonthlyIncome]]&lt;3000,"Below 3000",IF(HR_Cleaned[[#This Row],[MonthlyIncome]]&lt;5000,"3000-4999",IF(HR_Cleaned[[#This Row],[MonthlyIncome]]&lt;8000,"5000-7999","8000+")))</f>
        <v>Below 3000</v>
      </c>
      <c r="AM778">
        <f>IF(HR_Cleaned[[#This Row],[Attrition]]="Yes",1,0)</f>
        <v>1</v>
      </c>
    </row>
    <row r="779" spans="1:39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>
        <f>IF(HR_Cleaned[[#This Row],[Age]]&lt;25,"18-24",IF(HR_Cleaned[[#This Row],[Age]]&lt;35,"25-34",IF(HR_Cleaned[[#This Row],[Age]]&lt;45,"35-44",IF(HR_Cleaned[[#This Row],[Age]]&lt;55,"45-54","55+"))))</f>
        <v>18-24</v>
      </c>
      <c r="AK77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79" t="str">
        <f>IF(HR_Cleaned[[#This Row],[MonthlyIncome]]&lt;3000,"Below 3000",IF(HR_Cleaned[[#This Row],[MonthlyIncome]]&lt;5000,"3000-4999",IF(HR_Cleaned[[#This Row],[MonthlyIncome]]&lt;8000,"5000-7999","8000+")))</f>
        <v>Below 3000</v>
      </c>
      <c r="AM779">
        <f>IF(HR_Cleaned[[#This Row],[Attrition]]="Yes",1,0)</f>
        <v>1</v>
      </c>
    </row>
    <row r="780" spans="1:39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>
        <f>IF(HR_Cleaned[[#This Row],[Age]]&lt;25,"18-24",IF(HR_Cleaned[[#This Row],[Age]]&lt;35,"25-34",IF(HR_Cleaned[[#This Row],[Age]]&lt;45,"35-44",IF(HR_Cleaned[[#This Row],[Age]]&lt;55,"45-54","55+"))))</f>
        <v>45-54</v>
      </c>
      <c r="AK78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780" t="str">
        <f>IF(HR_Cleaned[[#This Row],[MonthlyIncome]]&lt;3000,"Below 3000",IF(HR_Cleaned[[#This Row],[MonthlyIncome]]&lt;5000,"3000-4999",IF(HR_Cleaned[[#This Row],[MonthlyIncome]]&lt;8000,"5000-7999","8000+")))</f>
        <v>3000-4999</v>
      </c>
      <c r="AM780">
        <f>IF(HR_Cleaned[[#This Row],[Attrition]]="Yes",1,0)</f>
        <v>0</v>
      </c>
    </row>
    <row r="781" spans="1:39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>
        <f>IF(HR_Cleaned[[#This Row],[Age]]&lt;25,"18-24",IF(HR_Cleaned[[#This Row],[Age]]&lt;35,"25-34",IF(HR_Cleaned[[#This Row],[Age]]&lt;45,"35-44",IF(HR_Cleaned[[#This Row],[Age]]&lt;55,"45-54","55+"))))</f>
        <v>45-54</v>
      </c>
      <c r="AK78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81" t="str">
        <f>IF(HR_Cleaned[[#This Row],[MonthlyIncome]]&lt;3000,"Below 3000",IF(HR_Cleaned[[#This Row],[MonthlyIncome]]&lt;5000,"3000-4999",IF(HR_Cleaned[[#This Row],[MonthlyIncome]]&lt;8000,"5000-7999","8000+")))</f>
        <v>Below 3000</v>
      </c>
      <c r="AM781">
        <f>IF(HR_Cleaned[[#This Row],[Attrition]]="Yes",1,0)</f>
        <v>1</v>
      </c>
    </row>
    <row r="782" spans="1:39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>
        <f>IF(HR_Cleaned[[#This Row],[Age]]&lt;25,"18-24",IF(HR_Cleaned[[#This Row],[Age]]&lt;35,"25-34",IF(HR_Cleaned[[#This Row],[Age]]&lt;45,"35-44",IF(HR_Cleaned[[#This Row],[Age]]&lt;55,"45-54","55+"))))</f>
        <v>25-34</v>
      </c>
      <c r="AK78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82" t="str">
        <f>IF(HR_Cleaned[[#This Row],[MonthlyIncome]]&lt;3000,"Below 3000",IF(HR_Cleaned[[#This Row],[MonthlyIncome]]&lt;5000,"3000-4999",IF(HR_Cleaned[[#This Row],[MonthlyIncome]]&lt;8000,"5000-7999","8000+")))</f>
        <v>8000+</v>
      </c>
      <c r="AM782">
        <f>IF(HR_Cleaned[[#This Row],[Attrition]]="Yes",1,0)</f>
        <v>1</v>
      </c>
    </row>
    <row r="783" spans="1:39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>
        <f>IF(HR_Cleaned[[#This Row],[Age]]&lt;25,"18-24",IF(HR_Cleaned[[#This Row],[Age]]&lt;35,"25-34",IF(HR_Cleaned[[#This Row],[Age]]&lt;45,"35-44",IF(HR_Cleaned[[#This Row],[Age]]&lt;55,"45-54","55+"))))</f>
        <v>25-34</v>
      </c>
      <c r="AK78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83" t="str">
        <f>IF(HR_Cleaned[[#This Row],[MonthlyIncome]]&lt;3000,"Below 3000",IF(HR_Cleaned[[#This Row],[MonthlyIncome]]&lt;5000,"3000-4999",IF(HR_Cleaned[[#This Row],[MonthlyIncome]]&lt;8000,"5000-7999","8000+")))</f>
        <v>3000-4999</v>
      </c>
      <c r="AM783">
        <f>IF(HR_Cleaned[[#This Row],[Attrition]]="Yes",1,0)</f>
        <v>0</v>
      </c>
    </row>
    <row r="784" spans="1:39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>
        <f>IF(HR_Cleaned[[#This Row],[Age]]&lt;25,"18-24",IF(HR_Cleaned[[#This Row],[Age]]&lt;35,"25-34",IF(HR_Cleaned[[#This Row],[Age]]&lt;45,"35-44",IF(HR_Cleaned[[#This Row],[Age]]&lt;55,"45-54","55+"))))</f>
        <v>25-34</v>
      </c>
      <c r="AK78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84" t="str">
        <f>IF(HR_Cleaned[[#This Row],[MonthlyIncome]]&lt;3000,"Below 3000",IF(HR_Cleaned[[#This Row],[MonthlyIncome]]&lt;5000,"3000-4999",IF(HR_Cleaned[[#This Row],[MonthlyIncome]]&lt;8000,"5000-7999","8000+")))</f>
        <v>8000+</v>
      </c>
      <c r="AM784">
        <f>IF(HR_Cleaned[[#This Row],[Attrition]]="Yes",1,0)</f>
        <v>0</v>
      </c>
    </row>
    <row r="785" spans="1:39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>
        <f>IF(HR_Cleaned[[#This Row],[Age]]&lt;25,"18-24",IF(HR_Cleaned[[#This Row],[Age]]&lt;35,"25-34",IF(HR_Cleaned[[#This Row],[Age]]&lt;45,"35-44",IF(HR_Cleaned[[#This Row],[Age]]&lt;55,"45-54","55+"))))</f>
        <v>35-44</v>
      </c>
      <c r="AK78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85" t="str">
        <f>IF(HR_Cleaned[[#This Row],[MonthlyIncome]]&lt;3000,"Below 3000",IF(HR_Cleaned[[#This Row],[MonthlyIncome]]&lt;5000,"3000-4999",IF(HR_Cleaned[[#This Row],[MonthlyIncome]]&lt;8000,"5000-7999","8000+")))</f>
        <v>3000-4999</v>
      </c>
      <c r="AM785">
        <f>IF(HR_Cleaned[[#This Row],[Attrition]]="Yes",1,0)</f>
        <v>0</v>
      </c>
    </row>
    <row r="786" spans="1:39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>
        <f>IF(HR_Cleaned[[#This Row],[Age]]&lt;25,"18-24",IF(HR_Cleaned[[#This Row],[Age]]&lt;35,"25-34",IF(HR_Cleaned[[#This Row],[Age]]&lt;45,"35-44",IF(HR_Cleaned[[#This Row],[Age]]&lt;55,"45-54","55+"))))</f>
        <v>35-44</v>
      </c>
      <c r="AK786" t="str">
        <f>IF(HR_Cleaned[[#This Row],[YearsAtCompany]]&lt;=2,"0-2 Years",IF(HR_Cleaned[[#This Row],[YearsAtCompany]]&lt;=5,"3-5 Years",IF(HR_Cleaned[[#This Row],[YearsAtCompany]]&lt;=10,"6-10 Years","11+ Years")))</f>
        <v>11+ Years</v>
      </c>
      <c r="AL786" t="str">
        <f>IF(HR_Cleaned[[#This Row],[MonthlyIncome]]&lt;3000,"Below 3000",IF(HR_Cleaned[[#This Row],[MonthlyIncome]]&lt;5000,"3000-4999",IF(HR_Cleaned[[#This Row],[MonthlyIncome]]&lt;8000,"5000-7999","8000+")))</f>
        <v>8000+</v>
      </c>
      <c r="AM786">
        <f>IF(HR_Cleaned[[#This Row],[Attrition]]="Yes",1,0)</f>
        <v>0</v>
      </c>
    </row>
    <row r="787" spans="1:39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>
        <f>IF(HR_Cleaned[[#This Row],[Age]]&lt;25,"18-24",IF(HR_Cleaned[[#This Row],[Age]]&lt;35,"25-34",IF(HR_Cleaned[[#This Row],[Age]]&lt;45,"35-44",IF(HR_Cleaned[[#This Row],[Age]]&lt;55,"45-54","55+"))))</f>
        <v>35-44</v>
      </c>
      <c r="AK78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787" t="str">
        <f>IF(HR_Cleaned[[#This Row],[MonthlyIncome]]&lt;3000,"Below 3000",IF(HR_Cleaned[[#This Row],[MonthlyIncome]]&lt;5000,"3000-4999",IF(HR_Cleaned[[#This Row],[MonthlyIncome]]&lt;8000,"5000-7999","8000+")))</f>
        <v>8000+</v>
      </c>
      <c r="AM787">
        <f>IF(HR_Cleaned[[#This Row],[Attrition]]="Yes",1,0)</f>
        <v>0</v>
      </c>
    </row>
    <row r="788" spans="1:39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>
        <f>IF(HR_Cleaned[[#This Row],[Age]]&lt;25,"18-24",IF(HR_Cleaned[[#This Row],[Age]]&lt;35,"25-34",IF(HR_Cleaned[[#This Row],[Age]]&lt;45,"35-44",IF(HR_Cleaned[[#This Row],[Age]]&lt;55,"45-54","55+"))))</f>
        <v>25-34</v>
      </c>
      <c r="AK78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88" t="str">
        <f>IF(HR_Cleaned[[#This Row],[MonthlyIncome]]&lt;3000,"Below 3000",IF(HR_Cleaned[[#This Row],[MonthlyIncome]]&lt;5000,"3000-4999",IF(HR_Cleaned[[#This Row],[MonthlyIncome]]&lt;8000,"5000-7999","8000+")))</f>
        <v>3000-4999</v>
      </c>
      <c r="AM788">
        <f>IF(HR_Cleaned[[#This Row],[Attrition]]="Yes",1,0)</f>
        <v>0</v>
      </c>
    </row>
    <row r="789" spans="1:39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>
        <f>IF(HR_Cleaned[[#This Row],[Age]]&lt;25,"18-24",IF(HR_Cleaned[[#This Row],[Age]]&lt;35,"25-34",IF(HR_Cleaned[[#This Row],[Age]]&lt;45,"35-44",IF(HR_Cleaned[[#This Row],[Age]]&lt;55,"45-54","55+"))))</f>
        <v>55+</v>
      </c>
      <c r="AK78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89" t="str">
        <f>IF(HR_Cleaned[[#This Row],[MonthlyIncome]]&lt;3000,"Below 3000",IF(HR_Cleaned[[#This Row],[MonthlyIncome]]&lt;5000,"3000-4999",IF(HR_Cleaned[[#This Row],[MonthlyIncome]]&lt;8000,"5000-7999","8000+")))</f>
        <v>8000+</v>
      </c>
      <c r="AM789">
        <f>IF(HR_Cleaned[[#This Row],[Attrition]]="Yes",1,0)</f>
        <v>0</v>
      </c>
    </row>
    <row r="790" spans="1:39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>
        <f>IF(HR_Cleaned[[#This Row],[Age]]&lt;25,"18-24",IF(HR_Cleaned[[#This Row],[Age]]&lt;35,"25-34",IF(HR_Cleaned[[#This Row],[Age]]&lt;45,"35-44",IF(HR_Cleaned[[#This Row],[Age]]&lt;55,"45-54","55+"))))</f>
        <v>25-34</v>
      </c>
      <c r="AK79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90" t="str">
        <f>IF(HR_Cleaned[[#This Row],[MonthlyIncome]]&lt;3000,"Below 3000",IF(HR_Cleaned[[#This Row],[MonthlyIncome]]&lt;5000,"3000-4999",IF(HR_Cleaned[[#This Row],[MonthlyIncome]]&lt;8000,"5000-7999","8000+")))</f>
        <v>3000-4999</v>
      </c>
      <c r="AM790">
        <f>IF(HR_Cleaned[[#This Row],[Attrition]]="Yes",1,0)</f>
        <v>0</v>
      </c>
    </row>
    <row r="791" spans="1:39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>
        <f>IF(HR_Cleaned[[#This Row],[Age]]&lt;25,"18-24",IF(HR_Cleaned[[#This Row],[Age]]&lt;35,"25-34",IF(HR_Cleaned[[#This Row],[Age]]&lt;45,"35-44",IF(HR_Cleaned[[#This Row],[Age]]&lt;55,"45-54","55+"))))</f>
        <v>35-44</v>
      </c>
      <c r="AK791" t="str">
        <f>IF(HR_Cleaned[[#This Row],[YearsAtCompany]]&lt;=2,"0-2 Years",IF(HR_Cleaned[[#This Row],[YearsAtCompany]]&lt;=5,"3-5 Years",IF(HR_Cleaned[[#This Row],[YearsAtCompany]]&lt;=10,"6-10 Years","11+ Years")))</f>
        <v>11+ Years</v>
      </c>
      <c r="AL791" t="str">
        <f>IF(HR_Cleaned[[#This Row],[MonthlyIncome]]&lt;3000,"Below 3000",IF(HR_Cleaned[[#This Row],[MonthlyIncome]]&lt;5000,"3000-4999",IF(HR_Cleaned[[#This Row],[MonthlyIncome]]&lt;8000,"5000-7999","8000+")))</f>
        <v>8000+</v>
      </c>
      <c r="AM791">
        <f>IF(HR_Cleaned[[#This Row],[Attrition]]="Yes",1,0)</f>
        <v>1</v>
      </c>
    </row>
    <row r="792" spans="1:39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>
        <f>IF(HR_Cleaned[[#This Row],[Age]]&lt;25,"18-24",IF(HR_Cleaned[[#This Row],[Age]]&lt;35,"25-34",IF(HR_Cleaned[[#This Row],[Age]]&lt;45,"35-44",IF(HR_Cleaned[[#This Row],[Age]]&lt;55,"45-54","55+"))))</f>
        <v>25-34</v>
      </c>
      <c r="AK79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92" t="str">
        <f>IF(HR_Cleaned[[#This Row],[MonthlyIncome]]&lt;3000,"Below 3000",IF(HR_Cleaned[[#This Row],[MonthlyIncome]]&lt;5000,"3000-4999",IF(HR_Cleaned[[#This Row],[MonthlyIncome]]&lt;8000,"5000-7999","8000+")))</f>
        <v>5000-7999</v>
      </c>
      <c r="AM792">
        <f>IF(HR_Cleaned[[#This Row],[Attrition]]="Yes",1,0)</f>
        <v>0</v>
      </c>
    </row>
    <row r="793" spans="1:39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>
        <f>IF(HR_Cleaned[[#This Row],[Age]]&lt;25,"18-24",IF(HR_Cleaned[[#This Row],[Age]]&lt;35,"25-34",IF(HR_Cleaned[[#This Row],[Age]]&lt;45,"35-44",IF(HR_Cleaned[[#This Row],[Age]]&lt;55,"45-54","55+"))))</f>
        <v>35-44</v>
      </c>
      <c r="AK79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93" t="str">
        <f>IF(HR_Cleaned[[#This Row],[MonthlyIncome]]&lt;3000,"Below 3000",IF(HR_Cleaned[[#This Row],[MonthlyIncome]]&lt;5000,"3000-4999",IF(HR_Cleaned[[#This Row],[MonthlyIncome]]&lt;8000,"5000-7999","8000+")))</f>
        <v>8000+</v>
      </c>
      <c r="AM793">
        <f>IF(HR_Cleaned[[#This Row],[Attrition]]="Yes",1,0)</f>
        <v>1</v>
      </c>
    </row>
    <row r="794" spans="1:39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>
        <f>IF(HR_Cleaned[[#This Row],[Age]]&lt;25,"18-24",IF(HR_Cleaned[[#This Row],[Age]]&lt;35,"25-34",IF(HR_Cleaned[[#This Row],[Age]]&lt;45,"35-44",IF(HR_Cleaned[[#This Row],[Age]]&lt;55,"45-54","55+"))))</f>
        <v>25-34</v>
      </c>
      <c r="AK794" t="str">
        <f>IF(HR_Cleaned[[#This Row],[YearsAtCompany]]&lt;=2,"0-2 Years",IF(HR_Cleaned[[#This Row],[YearsAtCompany]]&lt;=5,"3-5 Years",IF(HR_Cleaned[[#This Row],[YearsAtCompany]]&lt;=10,"6-10 Years","11+ Years")))</f>
        <v>11+ Years</v>
      </c>
      <c r="AL794" t="str">
        <f>IF(HR_Cleaned[[#This Row],[MonthlyIncome]]&lt;3000,"Below 3000",IF(HR_Cleaned[[#This Row],[MonthlyIncome]]&lt;5000,"3000-4999",IF(HR_Cleaned[[#This Row],[MonthlyIncome]]&lt;8000,"5000-7999","8000+")))</f>
        <v>3000-4999</v>
      </c>
      <c r="AM794">
        <f>IF(HR_Cleaned[[#This Row],[Attrition]]="Yes",1,0)</f>
        <v>1</v>
      </c>
    </row>
    <row r="795" spans="1:39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>
        <f>IF(HR_Cleaned[[#This Row],[Age]]&lt;25,"18-24",IF(HR_Cleaned[[#This Row],[Age]]&lt;35,"25-34",IF(HR_Cleaned[[#This Row],[Age]]&lt;45,"35-44",IF(HR_Cleaned[[#This Row],[Age]]&lt;55,"45-54","55+"))))</f>
        <v>25-34</v>
      </c>
      <c r="AK79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795" t="str">
        <f>IF(HR_Cleaned[[#This Row],[MonthlyIncome]]&lt;3000,"Below 3000",IF(HR_Cleaned[[#This Row],[MonthlyIncome]]&lt;5000,"3000-4999",IF(HR_Cleaned[[#This Row],[MonthlyIncome]]&lt;8000,"5000-7999","8000+")))</f>
        <v>Below 3000</v>
      </c>
      <c r="AM795">
        <f>IF(HR_Cleaned[[#This Row],[Attrition]]="Yes",1,0)</f>
        <v>0</v>
      </c>
    </row>
    <row r="796" spans="1:39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>
        <f>IF(HR_Cleaned[[#This Row],[Age]]&lt;25,"18-24",IF(HR_Cleaned[[#This Row],[Age]]&lt;35,"25-34",IF(HR_Cleaned[[#This Row],[Age]]&lt;45,"35-44",IF(HR_Cleaned[[#This Row],[Age]]&lt;55,"45-54","55+"))))</f>
        <v>25-34</v>
      </c>
      <c r="AK79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96" t="str">
        <f>IF(HR_Cleaned[[#This Row],[MonthlyIncome]]&lt;3000,"Below 3000",IF(HR_Cleaned[[#This Row],[MonthlyIncome]]&lt;5000,"3000-4999",IF(HR_Cleaned[[#This Row],[MonthlyIncome]]&lt;8000,"5000-7999","8000+")))</f>
        <v>5000-7999</v>
      </c>
      <c r="AM796">
        <f>IF(HR_Cleaned[[#This Row],[Attrition]]="Yes",1,0)</f>
        <v>0</v>
      </c>
    </row>
    <row r="797" spans="1:39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>
        <f>IF(HR_Cleaned[[#This Row],[Age]]&lt;25,"18-24",IF(HR_Cleaned[[#This Row],[Age]]&lt;35,"25-34",IF(HR_Cleaned[[#This Row],[Age]]&lt;45,"35-44",IF(HR_Cleaned[[#This Row],[Age]]&lt;55,"45-54","55+"))))</f>
        <v>35-44</v>
      </c>
      <c r="AK79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97" t="str">
        <f>IF(HR_Cleaned[[#This Row],[MonthlyIncome]]&lt;3000,"Below 3000",IF(HR_Cleaned[[#This Row],[MonthlyIncome]]&lt;5000,"3000-4999",IF(HR_Cleaned[[#This Row],[MonthlyIncome]]&lt;8000,"5000-7999","8000+")))</f>
        <v>5000-7999</v>
      </c>
      <c r="AM797">
        <f>IF(HR_Cleaned[[#This Row],[Attrition]]="Yes",1,0)</f>
        <v>0</v>
      </c>
    </row>
    <row r="798" spans="1:39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>
        <f>IF(HR_Cleaned[[#This Row],[Age]]&lt;25,"18-24",IF(HR_Cleaned[[#This Row],[Age]]&lt;35,"25-34",IF(HR_Cleaned[[#This Row],[Age]]&lt;45,"35-44",IF(HR_Cleaned[[#This Row],[Age]]&lt;55,"45-54","55+"))))</f>
        <v>25-34</v>
      </c>
      <c r="AK79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798" t="str">
        <f>IF(HR_Cleaned[[#This Row],[MonthlyIncome]]&lt;3000,"Below 3000",IF(HR_Cleaned[[#This Row],[MonthlyIncome]]&lt;5000,"3000-4999",IF(HR_Cleaned[[#This Row],[MonthlyIncome]]&lt;8000,"5000-7999","8000+")))</f>
        <v>3000-4999</v>
      </c>
      <c r="AM798">
        <f>IF(HR_Cleaned[[#This Row],[Attrition]]="Yes",1,0)</f>
        <v>1</v>
      </c>
    </row>
    <row r="799" spans="1:39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>
        <f>IF(HR_Cleaned[[#This Row],[Age]]&lt;25,"18-24",IF(HR_Cleaned[[#This Row],[Age]]&lt;35,"25-34",IF(HR_Cleaned[[#This Row],[Age]]&lt;45,"35-44",IF(HR_Cleaned[[#This Row],[Age]]&lt;55,"45-54","55+"))))</f>
        <v>25-34</v>
      </c>
      <c r="AK79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799" t="str">
        <f>IF(HR_Cleaned[[#This Row],[MonthlyIncome]]&lt;3000,"Below 3000",IF(HR_Cleaned[[#This Row],[MonthlyIncome]]&lt;5000,"3000-4999",IF(HR_Cleaned[[#This Row],[MonthlyIncome]]&lt;8000,"5000-7999","8000+")))</f>
        <v>Below 3000</v>
      </c>
      <c r="AM799">
        <f>IF(HR_Cleaned[[#This Row],[Attrition]]="Yes",1,0)</f>
        <v>1</v>
      </c>
    </row>
    <row r="800" spans="1:39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>
        <f>IF(HR_Cleaned[[#This Row],[Age]]&lt;25,"18-24",IF(HR_Cleaned[[#This Row],[Age]]&lt;35,"25-34",IF(HR_Cleaned[[#This Row],[Age]]&lt;45,"35-44",IF(HR_Cleaned[[#This Row],[Age]]&lt;55,"45-54","55+"))))</f>
        <v>25-34</v>
      </c>
      <c r="AK80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00" t="str">
        <f>IF(HR_Cleaned[[#This Row],[MonthlyIncome]]&lt;3000,"Below 3000",IF(HR_Cleaned[[#This Row],[MonthlyIncome]]&lt;5000,"3000-4999",IF(HR_Cleaned[[#This Row],[MonthlyIncome]]&lt;8000,"5000-7999","8000+")))</f>
        <v>Below 3000</v>
      </c>
      <c r="AM800">
        <f>IF(HR_Cleaned[[#This Row],[Attrition]]="Yes",1,0)</f>
        <v>1</v>
      </c>
    </row>
    <row r="801" spans="1:39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>
        <f>IF(HR_Cleaned[[#This Row],[Age]]&lt;25,"18-24",IF(HR_Cleaned[[#This Row],[Age]]&lt;35,"25-34",IF(HR_Cleaned[[#This Row],[Age]]&lt;45,"35-44",IF(HR_Cleaned[[#This Row],[Age]]&lt;55,"45-54","55+"))))</f>
        <v>35-44</v>
      </c>
      <c r="AK801" t="str">
        <f>IF(HR_Cleaned[[#This Row],[YearsAtCompany]]&lt;=2,"0-2 Years",IF(HR_Cleaned[[#This Row],[YearsAtCompany]]&lt;=5,"3-5 Years",IF(HR_Cleaned[[#This Row],[YearsAtCompany]]&lt;=10,"6-10 Years","11+ Years")))</f>
        <v>11+ Years</v>
      </c>
      <c r="AL801" t="str">
        <f>IF(HR_Cleaned[[#This Row],[MonthlyIncome]]&lt;3000,"Below 3000",IF(HR_Cleaned[[#This Row],[MonthlyIncome]]&lt;5000,"3000-4999",IF(HR_Cleaned[[#This Row],[MonthlyIncome]]&lt;8000,"5000-7999","8000+")))</f>
        <v>8000+</v>
      </c>
      <c r="AM801">
        <f>IF(HR_Cleaned[[#This Row],[Attrition]]="Yes",1,0)</f>
        <v>0</v>
      </c>
    </row>
    <row r="802" spans="1:39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>
        <f>IF(HR_Cleaned[[#This Row],[Age]]&lt;25,"18-24",IF(HR_Cleaned[[#This Row],[Age]]&lt;35,"25-34",IF(HR_Cleaned[[#This Row],[Age]]&lt;45,"35-44",IF(HR_Cleaned[[#This Row],[Age]]&lt;55,"45-54","55+"))))</f>
        <v>25-34</v>
      </c>
      <c r="AK80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02" t="str">
        <f>IF(HR_Cleaned[[#This Row],[MonthlyIncome]]&lt;3000,"Below 3000",IF(HR_Cleaned[[#This Row],[MonthlyIncome]]&lt;5000,"3000-4999",IF(HR_Cleaned[[#This Row],[MonthlyIncome]]&lt;8000,"5000-7999","8000+")))</f>
        <v>Below 3000</v>
      </c>
      <c r="AM802">
        <f>IF(HR_Cleaned[[#This Row],[Attrition]]="Yes",1,0)</f>
        <v>1</v>
      </c>
    </row>
    <row r="803" spans="1:39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>
        <f>IF(HR_Cleaned[[#This Row],[Age]]&lt;25,"18-24",IF(HR_Cleaned[[#This Row],[Age]]&lt;35,"25-34",IF(HR_Cleaned[[#This Row],[Age]]&lt;45,"35-44",IF(HR_Cleaned[[#This Row],[Age]]&lt;55,"45-54","55+"))))</f>
        <v>45-54</v>
      </c>
      <c r="AK80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03" t="str">
        <f>IF(HR_Cleaned[[#This Row],[MonthlyIncome]]&lt;3000,"Below 3000",IF(HR_Cleaned[[#This Row],[MonthlyIncome]]&lt;5000,"3000-4999",IF(HR_Cleaned[[#This Row],[MonthlyIncome]]&lt;8000,"5000-7999","8000+")))</f>
        <v>3000-4999</v>
      </c>
      <c r="AM803">
        <f>IF(HR_Cleaned[[#This Row],[Attrition]]="Yes",1,0)</f>
        <v>1</v>
      </c>
    </row>
    <row r="804" spans="1:39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>
        <f>IF(HR_Cleaned[[#This Row],[Age]]&lt;25,"18-24",IF(HR_Cleaned[[#This Row],[Age]]&lt;35,"25-34",IF(HR_Cleaned[[#This Row],[Age]]&lt;45,"35-44",IF(HR_Cleaned[[#This Row],[Age]]&lt;55,"45-54","55+"))))</f>
        <v>25-34</v>
      </c>
      <c r="AK80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04" t="str">
        <f>IF(HR_Cleaned[[#This Row],[MonthlyIncome]]&lt;3000,"Below 3000",IF(HR_Cleaned[[#This Row],[MonthlyIncome]]&lt;5000,"3000-4999",IF(HR_Cleaned[[#This Row],[MonthlyIncome]]&lt;8000,"5000-7999","8000+")))</f>
        <v>3000-4999</v>
      </c>
      <c r="AM804">
        <f>IF(HR_Cleaned[[#This Row],[Attrition]]="Yes",1,0)</f>
        <v>0</v>
      </c>
    </row>
    <row r="805" spans="1:39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>
        <f>IF(HR_Cleaned[[#This Row],[Age]]&lt;25,"18-24",IF(HR_Cleaned[[#This Row],[Age]]&lt;35,"25-34",IF(HR_Cleaned[[#This Row],[Age]]&lt;45,"35-44",IF(HR_Cleaned[[#This Row],[Age]]&lt;55,"45-54","55+"))))</f>
        <v>25-34</v>
      </c>
      <c r="AK805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05" t="str">
        <f>IF(HR_Cleaned[[#This Row],[MonthlyIncome]]&lt;3000,"Below 3000",IF(HR_Cleaned[[#This Row],[MonthlyIncome]]&lt;5000,"3000-4999",IF(HR_Cleaned[[#This Row],[MonthlyIncome]]&lt;8000,"5000-7999","8000+")))</f>
        <v>Below 3000</v>
      </c>
      <c r="AM805">
        <f>IF(HR_Cleaned[[#This Row],[Attrition]]="Yes",1,0)</f>
        <v>0</v>
      </c>
    </row>
    <row r="806" spans="1:39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>
        <f>IF(HR_Cleaned[[#This Row],[Age]]&lt;25,"18-24",IF(HR_Cleaned[[#This Row],[Age]]&lt;35,"25-34",IF(HR_Cleaned[[#This Row],[Age]]&lt;45,"35-44",IF(HR_Cleaned[[#This Row],[Age]]&lt;55,"45-54","55+"))))</f>
        <v>45-54</v>
      </c>
      <c r="AK80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06" t="str">
        <f>IF(HR_Cleaned[[#This Row],[MonthlyIncome]]&lt;3000,"Below 3000",IF(HR_Cleaned[[#This Row],[MonthlyIncome]]&lt;5000,"3000-4999",IF(HR_Cleaned[[#This Row],[MonthlyIncome]]&lt;8000,"5000-7999","8000+")))</f>
        <v>8000+</v>
      </c>
      <c r="AM806">
        <f>IF(HR_Cleaned[[#This Row],[Attrition]]="Yes",1,0)</f>
        <v>0</v>
      </c>
    </row>
    <row r="807" spans="1:39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>
        <f>IF(HR_Cleaned[[#This Row],[Age]]&lt;25,"18-24",IF(HR_Cleaned[[#This Row],[Age]]&lt;35,"25-34",IF(HR_Cleaned[[#This Row],[Age]]&lt;45,"35-44",IF(HR_Cleaned[[#This Row],[Age]]&lt;55,"45-54","55+"))))</f>
        <v>45-54</v>
      </c>
      <c r="AK80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807" t="str">
        <f>IF(HR_Cleaned[[#This Row],[MonthlyIncome]]&lt;3000,"Below 3000",IF(HR_Cleaned[[#This Row],[MonthlyIncome]]&lt;5000,"3000-4999",IF(HR_Cleaned[[#This Row],[MonthlyIncome]]&lt;8000,"5000-7999","8000+")))</f>
        <v>5000-7999</v>
      </c>
      <c r="AM807">
        <f>IF(HR_Cleaned[[#This Row],[Attrition]]="Yes",1,0)</f>
        <v>0</v>
      </c>
    </row>
    <row r="808" spans="1:39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>
        <f>IF(HR_Cleaned[[#This Row],[Age]]&lt;25,"18-24",IF(HR_Cleaned[[#This Row],[Age]]&lt;35,"25-34",IF(HR_Cleaned[[#This Row],[Age]]&lt;45,"35-44",IF(HR_Cleaned[[#This Row],[Age]]&lt;55,"45-54","55+"))))</f>
        <v>45-54</v>
      </c>
      <c r="AK80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08" t="str">
        <f>IF(HR_Cleaned[[#This Row],[MonthlyIncome]]&lt;3000,"Below 3000",IF(HR_Cleaned[[#This Row],[MonthlyIncome]]&lt;5000,"3000-4999",IF(HR_Cleaned[[#This Row],[MonthlyIncome]]&lt;8000,"5000-7999","8000+")))</f>
        <v>8000+</v>
      </c>
      <c r="AM808">
        <f>IF(HR_Cleaned[[#This Row],[Attrition]]="Yes",1,0)</f>
        <v>0</v>
      </c>
    </row>
    <row r="809" spans="1:39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>
        <f>IF(HR_Cleaned[[#This Row],[Age]]&lt;25,"18-24",IF(HR_Cleaned[[#This Row],[Age]]&lt;35,"25-34",IF(HR_Cleaned[[#This Row],[Age]]&lt;45,"35-44",IF(HR_Cleaned[[#This Row],[Age]]&lt;55,"45-54","55+"))))</f>
        <v>35-44</v>
      </c>
      <c r="AK80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09" t="str">
        <f>IF(HR_Cleaned[[#This Row],[MonthlyIncome]]&lt;3000,"Below 3000",IF(HR_Cleaned[[#This Row],[MonthlyIncome]]&lt;5000,"3000-4999",IF(HR_Cleaned[[#This Row],[MonthlyIncome]]&lt;8000,"5000-7999","8000+")))</f>
        <v>8000+</v>
      </c>
      <c r="AM809">
        <f>IF(HR_Cleaned[[#This Row],[Attrition]]="Yes",1,0)</f>
        <v>0</v>
      </c>
    </row>
    <row r="810" spans="1:39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>
        <f>IF(HR_Cleaned[[#This Row],[Age]]&lt;25,"18-24",IF(HR_Cleaned[[#This Row],[Age]]&lt;35,"25-34",IF(HR_Cleaned[[#This Row],[Age]]&lt;45,"35-44",IF(HR_Cleaned[[#This Row],[Age]]&lt;55,"45-54","55+"))))</f>
        <v>25-34</v>
      </c>
      <c r="AK81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10" t="str">
        <f>IF(HR_Cleaned[[#This Row],[MonthlyIncome]]&lt;3000,"Below 3000",IF(HR_Cleaned[[#This Row],[MonthlyIncome]]&lt;5000,"3000-4999",IF(HR_Cleaned[[#This Row],[MonthlyIncome]]&lt;8000,"5000-7999","8000+")))</f>
        <v>Below 3000</v>
      </c>
      <c r="AM810">
        <f>IF(HR_Cleaned[[#This Row],[Attrition]]="Yes",1,0)</f>
        <v>0</v>
      </c>
    </row>
    <row r="811" spans="1:39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>
        <f>IF(HR_Cleaned[[#This Row],[Age]]&lt;25,"18-24",IF(HR_Cleaned[[#This Row],[Age]]&lt;35,"25-34",IF(HR_Cleaned[[#This Row],[Age]]&lt;45,"35-44",IF(HR_Cleaned[[#This Row],[Age]]&lt;55,"45-54","55+"))))</f>
        <v>25-34</v>
      </c>
      <c r="AK81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11" t="str">
        <f>IF(HR_Cleaned[[#This Row],[MonthlyIncome]]&lt;3000,"Below 3000",IF(HR_Cleaned[[#This Row],[MonthlyIncome]]&lt;5000,"3000-4999",IF(HR_Cleaned[[#This Row],[MonthlyIncome]]&lt;8000,"5000-7999","8000+")))</f>
        <v>5000-7999</v>
      </c>
      <c r="AM811">
        <f>IF(HR_Cleaned[[#This Row],[Attrition]]="Yes",1,0)</f>
        <v>0</v>
      </c>
    </row>
    <row r="812" spans="1:39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>
        <f>IF(HR_Cleaned[[#This Row],[Age]]&lt;25,"18-24",IF(HR_Cleaned[[#This Row],[Age]]&lt;35,"25-34",IF(HR_Cleaned[[#This Row],[Age]]&lt;45,"35-44",IF(HR_Cleaned[[#This Row],[Age]]&lt;55,"45-54","55+"))))</f>
        <v>45-54</v>
      </c>
      <c r="AK81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812" t="str">
        <f>IF(HR_Cleaned[[#This Row],[MonthlyIncome]]&lt;3000,"Below 3000",IF(HR_Cleaned[[#This Row],[MonthlyIncome]]&lt;5000,"3000-4999",IF(HR_Cleaned[[#This Row],[MonthlyIncome]]&lt;8000,"5000-7999","8000+")))</f>
        <v>8000+</v>
      </c>
      <c r="AM812">
        <f>IF(HR_Cleaned[[#This Row],[Attrition]]="Yes",1,0)</f>
        <v>0</v>
      </c>
    </row>
    <row r="813" spans="1:39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>
        <f>IF(HR_Cleaned[[#This Row],[Age]]&lt;25,"18-24",IF(HR_Cleaned[[#This Row],[Age]]&lt;35,"25-34",IF(HR_Cleaned[[#This Row],[Age]]&lt;45,"35-44",IF(HR_Cleaned[[#This Row],[Age]]&lt;55,"45-54","55+"))))</f>
        <v>35-44</v>
      </c>
      <c r="AK81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13" t="str">
        <f>IF(HR_Cleaned[[#This Row],[MonthlyIncome]]&lt;3000,"Below 3000",IF(HR_Cleaned[[#This Row],[MonthlyIncome]]&lt;5000,"3000-4999",IF(HR_Cleaned[[#This Row],[MonthlyIncome]]&lt;8000,"5000-7999","8000+")))</f>
        <v>5000-7999</v>
      </c>
      <c r="AM813">
        <f>IF(HR_Cleaned[[#This Row],[Attrition]]="Yes",1,0)</f>
        <v>0</v>
      </c>
    </row>
    <row r="814" spans="1:39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>
        <f>IF(HR_Cleaned[[#This Row],[Age]]&lt;25,"18-24",IF(HR_Cleaned[[#This Row],[Age]]&lt;35,"25-34",IF(HR_Cleaned[[#This Row],[Age]]&lt;45,"35-44",IF(HR_Cleaned[[#This Row],[Age]]&lt;55,"45-54","55+"))))</f>
        <v>35-44</v>
      </c>
      <c r="AK81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14" t="str">
        <f>IF(HR_Cleaned[[#This Row],[MonthlyIncome]]&lt;3000,"Below 3000",IF(HR_Cleaned[[#This Row],[MonthlyIncome]]&lt;5000,"3000-4999",IF(HR_Cleaned[[#This Row],[MonthlyIncome]]&lt;8000,"5000-7999","8000+")))</f>
        <v>8000+</v>
      </c>
      <c r="AM814">
        <f>IF(HR_Cleaned[[#This Row],[Attrition]]="Yes",1,0)</f>
        <v>0</v>
      </c>
    </row>
    <row r="815" spans="1:39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>
        <f>IF(HR_Cleaned[[#This Row],[Age]]&lt;25,"18-24",IF(HR_Cleaned[[#This Row],[Age]]&lt;35,"25-34",IF(HR_Cleaned[[#This Row],[Age]]&lt;45,"35-44",IF(HR_Cleaned[[#This Row],[Age]]&lt;55,"45-54","55+"))))</f>
        <v>35-44</v>
      </c>
      <c r="AK81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815" t="str">
        <f>IF(HR_Cleaned[[#This Row],[MonthlyIncome]]&lt;3000,"Below 3000",IF(HR_Cleaned[[#This Row],[MonthlyIncome]]&lt;5000,"3000-4999",IF(HR_Cleaned[[#This Row],[MonthlyIncome]]&lt;8000,"5000-7999","8000+")))</f>
        <v>8000+</v>
      </c>
      <c r="AM815">
        <f>IF(HR_Cleaned[[#This Row],[Attrition]]="Yes",1,0)</f>
        <v>1</v>
      </c>
    </row>
    <row r="816" spans="1:39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>
        <f>IF(HR_Cleaned[[#This Row],[Age]]&lt;25,"18-24",IF(HR_Cleaned[[#This Row],[Age]]&lt;35,"25-34",IF(HR_Cleaned[[#This Row],[Age]]&lt;45,"35-44",IF(HR_Cleaned[[#This Row],[Age]]&lt;55,"45-54","55+"))))</f>
        <v>35-44</v>
      </c>
      <c r="AK816" t="str">
        <f>IF(HR_Cleaned[[#This Row],[YearsAtCompany]]&lt;=2,"0-2 Years",IF(HR_Cleaned[[#This Row],[YearsAtCompany]]&lt;=5,"3-5 Years",IF(HR_Cleaned[[#This Row],[YearsAtCompany]]&lt;=10,"6-10 Years","11+ Years")))</f>
        <v>11+ Years</v>
      </c>
      <c r="AL816" t="str">
        <f>IF(HR_Cleaned[[#This Row],[MonthlyIncome]]&lt;3000,"Below 3000",IF(HR_Cleaned[[#This Row],[MonthlyIncome]]&lt;5000,"3000-4999",IF(HR_Cleaned[[#This Row],[MonthlyIncome]]&lt;8000,"5000-7999","8000+")))</f>
        <v>8000+</v>
      </c>
      <c r="AM816">
        <f>IF(HR_Cleaned[[#This Row],[Attrition]]="Yes",1,0)</f>
        <v>0</v>
      </c>
    </row>
    <row r="817" spans="1:39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>
        <f>IF(HR_Cleaned[[#This Row],[Age]]&lt;25,"18-24",IF(HR_Cleaned[[#This Row],[Age]]&lt;35,"25-34",IF(HR_Cleaned[[#This Row],[Age]]&lt;45,"35-44",IF(HR_Cleaned[[#This Row],[Age]]&lt;55,"45-54","55+"))))</f>
        <v>18-24</v>
      </c>
      <c r="AK81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17" t="str">
        <f>IF(HR_Cleaned[[#This Row],[MonthlyIncome]]&lt;3000,"Below 3000",IF(HR_Cleaned[[#This Row],[MonthlyIncome]]&lt;5000,"3000-4999",IF(HR_Cleaned[[#This Row],[MonthlyIncome]]&lt;8000,"5000-7999","8000+")))</f>
        <v>Below 3000</v>
      </c>
      <c r="AM817">
        <f>IF(HR_Cleaned[[#This Row],[Attrition]]="Yes",1,0)</f>
        <v>0</v>
      </c>
    </row>
    <row r="818" spans="1:39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>
        <f>IF(HR_Cleaned[[#This Row],[Age]]&lt;25,"18-24",IF(HR_Cleaned[[#This Row],[Age]]&lt;35,"25-34",IF(HR_Cleaned[[#This Row],[Age]]&lt;45,"35-44",IF(HR_Cleaned[[#This Row],[Age]]&lt;55,"45-54","55+"))))</f>
        <v>35-44</v>
      </c>
      <c r="AK81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18" t="str">
        <f>IF(HR_Cleaned[[#This Row],[MonthlyIncome]]&lt;3000,"Below 3000",IF(HR_Cleaned[[#This Row],[MonthlyIncome]]&lt;5000,"3000-4999",IF(HR_Cleaned[[#This Row],[MonthlyIncome]]&lt;8000,"5000-7999","8000+")))</f>
        <v>5000-7999</v>
      </c>
      <c r="AM818">
        <f>IF(HR_Cleaned[[#This Row],[Attrition]]="Yes",1,0)</f>
        <v>0</v>
      </c>
    </row>
    <row r="819" spans="1:39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>
        <f>IF(HR_Cleaned[[#This Row],[Age]]&lt;25,"18-24",IF(HR_Cleaned[[#This Row],[Age]]&lt;35,"25-34",IF(HR_Cleaned[[#This Row],[Age]]&lt;45,"35-44",IF(HR_Cleaned[[#This Row],[Age]]&lt;55,"45-54","55+"))))</f>
        <v>35-44</v>
      </c>
      <c r="AK81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819" t="str">
        <f>IF(HR_Cleaned[[#This Row],[MonthlyIncome]]&lt;3000,"Below 3000",IF(HR_Cleaned[[#This Row],[MonthlyIncome]]&lt;5000,"3000-4999",IF(HR_Cleaned[[#This Row],[MonthlyIncome]]&lt;8000,"5000-7999","8000+")))</f>
        <v>5000-7999</v>
      </c>
      <c r="AM819">
        <f>IF(HR_Cleaned[[#This Row],[Attrition]]="Yes",1,0)</f>
        <v>0</v>
      </c>
    </row>
    <row r="820" spans="1:39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>
        <f>IF(HR_Cleaned[[#This Row],[Age]]&lt;25,"18-24",IF(HR_Cleaned[[#This Row],[Age]]&lt;35,"25-34",IF(HR_Cleaned[[#This Row],[Age]]&lt;45,"35-44",IF(HR_Cleaned[[#This Row],[Age]]&lt;55,"45-54","55+"))))</f>
        <v>25-34</v>
      </c>
      <c r="AK82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20" t="str">
        <f>IF(HR_Cleaned[[#This Row],[MonthlyIncome]]&lt;3000,"Below 3000",IF(HR_Cleaned[[#This Row],[MonthlyIncome]]&lt;5000,"3000-4999",IF(HR_Cleaned[[#This Row],[MonthlyIncome]]&lt;8000,"5000-7999","8000+")))</f>
        <v>Below 3000</v>
      </c>
      <c r="AM820">
        <f>IF(HR_Cleaned[[#This Row],[Attrition]]="Yes",1,0)</f>
        <v>0</v>
      </c>
    </row>
    <row r="821" spans="1:39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>
        <f>IF(HR_Cleaned[[#This Row],[Age]]&lt;25,"18-24",IF(HR_Cleaned[[#This Row],[Age]]&lt;35,"25-34",IF(HR_Cleaned[[#This Row],[Age]]&lt;45,"35-44",IF(HR_Cleaned[[#This Row],[Age]]&lt;55,"45-54","55+"))))</f>
        <v>25-34</v>
      </c>
      <c r="AK82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21" t="str">
        <f>IF(HR_Cleaned[[#This Row],[MonthlyIncome]]&lt;3000,"Below 3000",IF(HR_Cleaned[[#This Row],[MonthlyIncome]]&lt;5000,"3000-4999",IF(HR_Cleaned[[#This Row],[MonthlyIncome]]&lt;8000,"5000-7999","8000+")))</f>
        <v>3000-4999</v>
      </c>
      <c r="AM821">
        <f>IF(HR_Cleaned[[#This Row],[Attrition]]="Yes",1,0)</f>
        <v>0</v>
      </c>
    </row>
    <row r="822" spans="1:39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>
        <f>IF(HR_Cleaned[[#This Row],[Age]]&lt;25,"18-24",IF(HR_Cleaned[[#This Row],[Age]]&lt;35,"25-34",IF(HR_Cleaned[[#This Row],[Age]]&lt;45,"35-44",IF(HR_Cleaned[[#This Row],[Age]]&lt;55,"45-54","55+"))))</f>
        <v>35-44</v>
      </c>
      <c r="AK82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22" t="str">
        <f>IF(HR_Cleaned[[#This Row],[MonthlyIncome]]&lt;3000,"Below 3000",IF(HR_Cleaned[[#This Row],[MonthlyIncome]]&lt;5000,"3000-4999",IF(HR_Cleaned[[#This Row],[MonthlyIncome]]&lt;8000,"5000-7999","8000+")))</f>
        <v>3000-4999</v>
      </c>
      <c r="AM822">
        <f>IF(HR_Cleaned[[#This Row],[Attrition]]="Yes",1,0)</f>
        <v>0</v>
      </c>
    </row>
    <row r="823" spans="1:39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>
        <f>IF(HR_Cleaned[[#This Row],[Age]]&lt;25,"18-24",IF(HR_Cleaned[[#This Row],[Age]]&lt;35,"25-34",IF(HR_Cleaned[[#This Row],[Age]]&lt;45,"35-44",IF(HR_Cleaned[[#This Row],[Age]]&lt;55,"45-54","55+"))))</f>
        <v>45-54</v>
      </c>
      <c r="AK82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23" t="str">
        <f>IF(HR_Cleaned[[#This Row],[MonthlyIncome]]&lt;3000,"Below 3000",IF(HR_Cleaned[[#This Row],[MonthlyIncome]]&lt;5000,"3000-4999",IF(HR_Cleaned[[#This Row],[MonthlyIncome]]&lt;8000,"5000-7999","8000+")))</f>
        <v>8000+</v>
      </c>
      <c r="AM823">
        <f>IF(HR_Cleaned[[#This Row],[Attrition]]="Yes",1,0)</f>
        <v>0</v>
      </c>
    </row>
    <row r="824" spans="1:39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>
        <f>IF(HR_Cleaned[[#This Row],[Age]]&lt;25,"18-24",IF(HR_Cleaned[[#This Row],[Age]]&lt;35,"25-34",IF(HR_Cleaned[[#This Row],[Age]]&lt;45,"35-44",IF(HR_Cleaned[[#This Row],[Age]]&lt;55,"45-54","55+"))))</f>
        <v>25-34</v>
      </c>
      <c r="AK82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24" t="str">
        <f>IF(HR_Cleaned[[#This Row],[MonthlyIncome]]&lt;3000,"Below 3000",IF(HR_Cleaned[[#This Row],[MonthlyIncome]]&lt;5000,"3000-4999",IF(HR_Cleaned[[#This Row],[MonthlyIncome]]&lt;8000,"5000-7999","8000+")))</f>
        <v>3000-4999</v>
      </c>
      <c r="AM824">
        <f>IF(HR_Cleaned[[#This Row],[Attrition]]="Yes",1,0)</f>
        <v>0</v>
      </c>
    </row>
    <row r="825" spans="1:39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>
        <f>IF(HR_Cleaned[[#This Row],[Age]]&lt;25,"18-24",IF(HR_Cleaned[[#This Row],[Age]]&lt;35,"25-34",IF(HR_Cleaned[[#This Row],[Age]]&lt;45,"35-44",IF(HR_Cleaned[[#This Row],[Age]]&lt;55,"45-54","55+"))))</f>
        <v>25-34</v>
      </c>
      <c r="AK82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25" t="str">
        <f>IF(HR_Cleaned[[#This Row],[MonthlyIncome]]&lt;3000,"Below 3000",IF(HR_Cleaned[[#This Row],[MonthlyIncome]]&lt;5000,"3000-4999",IF(HR_Cleaned[[#This Row],[MonthlyIncome]]&lt;8000,"5000-7999","8000+")))</f>
        <v>3000-4999</v>
      </c>
      <c r="AM825">
        <f>IF(HR_Cleaned[[#This Row],[Attrition]]="Yes",1,0)</f>
        <v>0</v>
      </c>
    </row>
    <row r="826" spans="1:39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>
        <f>IF(HR_Cleaned[[#This Row],[Age]]&lt;25,"18-24",IF(HR_Cleaned[[#This Row],[Age]]&lt;35,"25-34",IF(HR_Cleaned[[#This Row],[Age]]&lt;45,"35-44",IF(HR_Cleaned[[#This Row],[Age]]&lt;55,"45-54","55+"))))</f>
        <v>35-44</v>
      </c>
      <c r="AK82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26" t="str">
        <f>IF(HR_Cleaned[[#This Row],[MonthlyIncome]]&lt;3000,"Below 3000",IF(HR_Cleaned[[#This Row],[MonthlyIncome]]&lt;5000,"3000-4999",IF(HR_Cleaned[[#This Row],[MonthlyIncome]]&lt;8000,"5000-7999","8000+")))</f>
        <v>3000-4999</v>
      </c>
      <c r="AM826">
        <f>IF(HR_Cleaned[[#This Row],[Attrition]]="Yes",1,0)</f>
        <v>0</v>
      </c>
    </row>
    <row r="827" spans="1:39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>
        <f>IF(HR_Cleaned[[#This Row],[Age]]&lt;25,"18-24",IF(HR_Cleaned[[#This Row],[Age]]&lt;35,"25-34",IF(HR_Cleaned[[#This Row],[Age]]&lt;45,"35-44",IF(HR_Cleaned[[#This Row],[Age]]&lt;55,"45-54","55+"))))</f>
        <v>25-34</v>
      </c>
      <c r="AK82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27" t="str">
        <f>IF(HR_Cleaned[[#This Row],[MonthlyIncome]]&lt;3000,"Below 3000",IF(HR_Cleaned[[#This Row],[MonthlyIncome]]&lt;5000,"3000-4999",IF(HR_Cleaned[[#This Row],[MonthlyIncome]]&lt;8000,"5000-7999","8000+")))</f>
        <v>5000-7999</v>
      </c>
      <c r="AM827">
        <f>IF(HR_Cleaned[[#This Row],[Attrition]]="Yes",1,0)</f>
        <v>0</v>
      </c>
    </row>
    <row r="828" spans="1:39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>
        <f>IF(HR_Cleaned[[#This Row],[Age]]&lt;25,"18-24",IF(HR_Cleaned[[#This Row],[Age]]&lt;35,"25-34",IF(HR_Cleaned[[#This Row],[Age]]&lt;45,"35-44",IF(HR_Cleaned[[#This Row],[Age]]&lt;55,"45-54","55+"))))</f>
        <v>35-44</v>
      </c>
      <c r="AK82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28" t="str">
        <f>IF(HR_Cleaned[[#This Row],[MonthlyIncome]]&lt;3000,"Below 3000",IF(HR_Cleaned[[#This Row],[MonthlyIncome]]&lt;5000,"3000-4999",IF(HR_Cleaned[[#This Row],[MonthlyIncome]]&lt;8000,"5000-7999","8000+")))</f>
        <v>Below 3000</v>
      </c>
      <c r="AM828">
        <f>IF(HR_Cleaned[[#This Row],[Attrition]]="Yes",1,0)</f>
        <v>0</v>
      </c>
    </row>
    <row r="829" spans="1:39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>
        <f>IF(HR_Cleaned[[#This Row],[Age]]&lt;25,"18-24",IF(HR_Cleaned[[#This Row],[Age]]&lt;35,"25-34",IF(HR_Cleaned[[#This Row],[Age]]&lt;45,"35-44",IF(HR_Cleaned[[#This Row],[Age]]&lt;55,"45-54","55+"))))</f>
        <v>25-34</v>
      </c>
      <c r="AK82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29" t="str">
        <f>IF(HR_Cleaned[[#This Row],[MonthlyIncome]]&lt;3000,"Below 3000",IF(HR_Cleaned[[#This Row],[MonthlyIncome]]&lt;5000,"3000-4999",IF(HR_Cleaned[[#This Row],[MonthlyIncome]]&lt;8000,"5000-7999","8000+")))</f>
        <v>Below 3000</v>
      </c>
      <c r="AM829">
        <f>IF(HR_Cleaned[[#This Row],[Attrition]]="Yes",1,0)</f>
        <v>0</v>
      </c>
    </row>
    <row r="830" spans="1:39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>
        <f>IF(HR_Cleaned[[#This Row],[Age]]&lt;25,"18-24",IF(HR_Cleaned[[#This Row],[Age]]&lt;35,"25-34",IF(HR_Cleaned[[#This Row],[Age]]&lt;45,"35-44",IF(HR_Cleaned[[#This Row],[Age]]&lt;55,"45-54","55+"))))</f>
        <v>18-24</v>
      </c>
      <c r="AK83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30" t="str">
        <f>IF(HR_Cleaned[[#This Row],[MonthlyIncome]]&lt;3000,"Below 3000",IF(HR_Cleaned[[#This Row],[MonthlyIncome]]&lt;5000,"3000-4999",IF(HR_Cleaned[[#This Row],[MonthlyIncome]]&lt;8000,"5000-7999","8000+")))</f>
        <v>Below 3000</v>
      </c>
      <c r="AM830">
        <f>IF(HR_Cleaned[[#This Row],[Attrition]]="Yes",1,0)</f>
        <v>1</v>
      </c>
    </row>
    <row r="831" spans="1:39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>
        <f>IF(HR_Cleaned[[#This Row],[Age]]&lt;25,"18-24",IF(HR_Cleaned[[#This Row],[Age]]&lt;35,"25-34",IF(HR_Cleaned[[#This Row],[Age]]&lt;45,"35-44",IF(HR_Cleaned[[#This Row],[Age]]&lt;55,"45-54","55+"))))</f>
        <v>25-34</v>
      </c>
      <c r="AK83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31" t="str">
        <f>IF(HR_Cleaned[[#This Row],[MonthlyIncome]]&lt;3000,"Below 3000",IF(HR_Cleaned[[#This Row],[MonthlyIncome]]&lt;5000,"3000-4999",IF(HR_Cleaned[[#This Row],[MonthlyIncome]]&lt;8000,"5000-7999","8000+")))</f>
        <v>8000+</v>
      </c>
      <c r="AM831">
        <f>IF(HR_Cleaned[[#This Row],[Attrition]]="Yes",1,0)</f>
        <v>1</v>
      </c>
    </row>
    <row r="832" spans="1:39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>
        <f>IF(HR_Cleaned[[#This Row],[Age]]&lt;25,"18-24",IF(HR_Cleaned[[#This Row],[Age]]&lt;35,"25-34",IF(HR_Cleaned[[#This Row],[Age]]&lt;45,"35-44",IF(HR_Cleaned[[#This Row],[Age]]&lt;55,"45-54","55+"))))</f>
        <v>35-44</v>
      </c>
      <c r="AK83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32" t="str">
        <f>IF(HR_Cleaned[[#This Row],[MonthlyIncome]]&lt;3000,"Below 3000",IF(HR_Cleaned[[#This Row],[MonthlyIncome]]&lt;5000,"3000-4999",IF(HR_Cleaned[[#This Row],[MonthlyIncome]]&lt;8000,"5000-7999","8000+")))</f>
        <v>3000-4999</v>
      </c>
      <c r="AM832">
        <f>IF(HR_Cleaned[[#This Row],[Attrition]]="Yes",1,0)</f>
        <v>0</v>
      </c>
    </row>
    <row r="833" spans="1:39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>
        <f>IF(HR_Cleaned[[#This Row],[Age]]&lt;25,"18-24",IF(HR_Cleaned[[#This Row],[Age]]&lt;35,"25-34",IF(HR_Cleaned[[#This Row],[Age]]&lt;45,"35-44",IF(HR_Cleaned[[#This Row],[Age]]&lt;55,"45-54","55+"))))</f>
        <v>25-34</v>
      </c>
      <c r="AK83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33" t="str">
        <f>IF(HR_Cleaned[[#This Row],[MonthlyIncome]]&lt;3000,"Below 3000",IF(HR_Cleaned[[#This Row],[MonthlyIncome]]&lt;5000,"3000-4999",IF(HR_Cleaned[[#This Row],[MonthlyIncome]]&lt;8000,"5000-7999","8000+")))</f>
        <v>Below 3000</v>
      </c>
      <c r="AM833">
        <f>IF(HR_Cleaned[[#This Row],[Attrition]]="Yes",1,0)</f>
        <v>1</v>
      </c>
    </row>
    <row r="834" spans="1:39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>
        <f>IF(HR_Cleaned[[#This Row],[Age]]&lt;25,"18-24",IF(HR_Cleaned[[#This Row],[Age]]&lt;35,"25-34",IF(HR_Cleaned[[#This Row],[Age]]&lt;45,"35-44",IF(HR_Cleaned[[#This Row],[Age]]&lt;55,"45-54","55+"))))</f>
        <v>35-44</v>
      </c>
      <c r="AK83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34" t="str">
        <f>IF(HR_Cleaned[[#This Row],[MonthlyIncome]]&lt;3000,"Below 3000",IF(HR_Cleaned[[#This Row],[MonthlyIncome]]&lt;5000,"3000-4999",IF(HR_Cleaned[[#This Row],[MonthlyIncome]]&lt;8000,"5000-7999","8000+")))</f>
        <v>5000-7999</v>
      </c>
      <c r="AM834">
        <f>IF(HR_Cleaned[[#This Row],[Attrition]]="Yes",1,0)</f>
        <v>0</v>
      </c>
    </row>
    <row r="835" spans="1:39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>
        <f>IF(HR_Cleaned[[#This Row],[Age]]&lt;25,"18-24",IF(HR_Cleaned[[#This Row],[Age]]&lt;35,"25-34",IF(HR_Cleaned[[#This Row],[Age]]&lt;45,"35-44",IF(HR_Cleaned[[#This Row],[Age]]&lt;55,"45-54","55+"))))</f>
        <v>25-34</v>
      </c>
      <c r="AK83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35" t="str">
        <f>IF(HR_Cleaned[[#This Row],[MonthlyIncome]]&lt;3000,"Below 3000",IF(HR_Cleaned[[#This Row],[MonthlyIncome]]&lt;5000,"3000-4999",IF(HR_Cleaned[[#This Row],[MonthlyIncome]]&lt;8000,"5000-7999","8000+")))</f>
        <v>Below 3000</v>
      </c>
      <c r="AM835">
        <f>IF(HR_Cleaned[[#This Row],[Attrition]]="Yes",1,0)</f>
        <v>0</v>
      </c>
    </row>
    <row r="836" spans="1:39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>
        <f>IF(HR_Cleaned[[#This Row],[Age]]&lt;25,"18-24",IF(HR_Cleaned[[#This Row],[Age]]&lt;35,"25-34",IF(HR_Cleaned[[#This Row],[Age]]&lt;45,"35-44",IF(HR_Cleaned[[#This Row],[Age]]&lt;55,"45-54","55+"))))</f>
        <v>25-34</v>
      </c>
      <c r="AK83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36" t="str">
        <f>IF(HR_Cleaned[[#This Row],[MonthlyIncome]]&lt;3000,"Below 3000",IF(HR_Cleaned[[#This Row],[MonthlyIncome]]&lt;5000,"3000-4999",IF(HR_Cleaned[[#This Row],[MonthlyIncome]]&lt;8000,"5000-7999","8000+")))</f>
        <v>5000-7999</v>
      </c>
      <c r="AM836">
        <f>IF(HR_Cleaned[[#This Row],[Attrition]]="Yes",1,0)</f>
        <v>0</v>
      </c>
    </row>
    <row r="837" spans="1:39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>
        <f>IF(HR_Cleaned[[#This Row],[Age]]&lt;25,"18-24",IF(HR_Cleaned[[#This Row],[Age]]&lt;35,"25-34",IF(HR_Cleaned[[#This Row],[Age]]&lt;45,"35-44",IF(HR_Cleaned[[#This Row],[Age]]&lt;55,"45-54","55+"))))</f>
        <v>35-44</v>
      </c>
      <c r="AK83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37" t="str">
        <f>IF(HR_Cleaned[[#This Row],[MonthlyIncome]]&lt;3000,"Below 3000",IF(HR_Cleaned[[#This Row],[MonthlyIncome]]&lt;5000,"3000-4999",IF(HR_Cleaned[[#This Row],[MonthlyIncome]]&lt;8000,"5000-7999","8000+")))</f>
        <v>3000-4999</v>
      </c>
      <c r="AM837">
        <f>IF(HR_Cleaned[[#This Row],[Attrition]]="Yes",1,0)</f>
        <v>0</v>
      </c>
    </row>
    <row r="838" spans="1:39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>
        <f>IF(HR_Cleaned[[#This Row],[Age]]&lt;25,"18-24",IF(HR_Cleaned[[#This Row],[Age]]&lt;35,"25-34",IF(HR_Cleaned[[#This Row],[Age]]&lt;45,"35-44",IF(HR_Cleaned[[#This Row],[Age]]&lt;55,"45-54","55+"))))</f>
        <v>25-34</v>
      </c>
      <c r="AK83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838" t="str">
        <f>IF(HR_Cleaned[[#This Row],[MonthlyIncome]]&lt;3000,"Below 3000",IF(HR_Cleaned[[#This Row],[MonthlyIncome]]&lt;5000,"3000-4999",IF(HR_Cleaned[[#This Row],[MonthlyIncome]]&lt;8000,"5000-7999","8000+")))</f>
        <v>5000-7999</v>
      </c>
      <c r="AM838">
        <f>IF(HR_Cleaned[[#This Row],[Attrition]]="Yes",1,0)</f>
        <v>1</v>
      </c>
    </row>
    <row r="839" spans="1:39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>
        <f>IF(HR_Cleaned[[#This Row],[Age]]&lt;25,"18-24",IF(HR_Cleaned[[#This Row],[Age]]&lt;35,"25-34",IF(HR_Cleaned[[#This Row],[Age]]&lt;45,"35-44",IF(HR_Cleaned[[#This Row],[Age]]&lt;55,"45-54","55+"))))</f>
        <v>35-44</v>
      </c>
      <c r="AK83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839" t="str">
        <f>IF(HR_Cleaned[[#This Row],[MonthlyIncome]]&lt;3000,"Below 3000",IF(HR_Cleaned[[#This Row],[MonthlyIncome]]&lt;5000,"3000-4999",IF(HR_Cleaned[[#This Row],[MonthlyIncome]]&lt;8000,"5000-7999","8000+")))</f>
        <v>8000+</v>
      </c>
      <c r="AM839">
        <f>IF(HR_Cleaned[[#This Row],[Attrition]]="Yes",1,0)</f>
        <v>0</v>
      </c>
    </row>
    <row r="840" spans="1:39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>
        <f>IF(HR_Cleaned[[#This Row],[Age]]&lt;25,"18-24",IF(HR_Cleaned[[#This Row],[Age]]&lt;35,"25-34",IF(HR_Cleaned[[#This Row],[Age]]&lt;45,"35-44",IF(HR_Cleaned[[#This Row],[Age]]&lt;55,"45-54","55+"))))</f>
        <v>35-44</v>
      </c>
      <c r="AK84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840" t="str">
        <f>IF(HR_Cleaned[[#This Row],[MonthlyIncome]]&lt;3000,"Below 3000",IF(HR_Cleaned[[#This Row],[MonthlyIncome]]&lt;5000,"3000-4999",IF(HR_Cleaned[[#This Row],[MonthlyIncome]]&lt;8000,"5000-7999","8000+")))</f>
        <v>8000+</v>
      </c>
      <c r="AM840">
        <f>IF(HR_Cleaned[[#This Row],[Attrition]]="Yes",1,0)</f>
        <v>1</v>
      </c>
    </row>
    <row r="841" spans="1:39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>
        <f>IF(HR_Cleaned[[#This Row],[Age]]&lt;25,"18-24",IF(HR_Cleaned[[#This Row],[Age]]&lt;35,"25-34",IF(HR_Cleaned[[#This Row],[Age]]&lt;45,"35-44",IF(HR_Cleaned[[#This Row],[Age]]&lt;55,"45-54","55+"))))</f>
        <v>35-44</v>
      </c>
      <c r="AK84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41" t="str">
        <f>IF(HR_Cleaned[[#This Row],[MonthlyIncome]]&lt;3000,"Below 3000",IF(HR_Cleaned[[#This Row],[MonthlyIncome]]&lt;5000,"3000-4999",IF(HR_Cleaned[[#This Row],[MonthlyIncome]]&lt;8000,"5000-7999","8000+")))</f>
        <v>5000-7999</v>
      </c>
      <c r="AM841">
        <f>IF(HR_Cleaned[[#This Row],[Attrition]]="Yes",1,0)</f>
        <v>0</v>
      </c>
    </row>
    <row r="842" spans="1:39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>
        <f>IF(HR_Cleaned[[#This Row],[Age]]&lt;25,"18-24",IF(HR_Cleaned[[#This Row],[Age]]&lt;35,"25-34",IF(HR_Cleaned[[#This Row],[Age]]&lt;45,"35-44",IF(HR_Cleaned[[#This Row],[Age]]&lt;55,"45-54","55+"))))</f>
        <v>35-44</v>
      </c>
      <c r="AK84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42" t="str">
        <f>IF(HR_Cleaned[[#This Row],[MonthlyIncome]]&lt;3000,"Below 3000",IF(HR_Cleaned[[#This Row],[MonthlyIncome]]&lt;5000,"3000-4999",IF(HR_Cleaned[[#This Row],[MonthlyIncome]]&lt;8000,"5000-7999","8000+")))</f>
        <v>Below 3000</v>
      </c>
      <c r="AM842">
        <f>IF(HR_Cleaned[[#This Row],[Attrition]]="Yes",1,0)</f>
        <v>0</v>
      </c>
    </row>
    <row r="843" spans="1:39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>
        <f>IF(HR_Cleaned[[#This Row],[Age]]&lt;25,"18-24",IF(HR_Cleaned[[#This Row],[Age]]&lt;35,"25-34",IF(HR_Cleaned[[#This Row],[Age]]&lt;45,"35-44",IF(HR_Cleaned[[#This Row],[Age]]&lt;55,"45-54","55+"))))</f>
        <v>18-24</v>
      </c>
      <c r="AK84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43" t="str">
        <f>IF(HR_Cleaned[[#This Row],[MonthlyIncome]]&lt;3000,"Below 3000",IF(HR_Cleaned[[#This Row],[MonthlyIncome]]&lt;5000,"3000-4999",IF(HR_Cleaned[[#This Row],[MonthlyIncome]]&lt;8000,"5000-7999","8000+")))</f>
        <v>3000-4999</v>
      </c>
      <c r="AM843">
        <f>IF(HR_Cleaned[[#This Row],[Attrition]]="Yes",1,0)</f>
        <v>0</v>
      </c>
    </row>
    <row r="844" spans="1:39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>
        <f>IF(HR_Cleaned[[#This Row],[Age]]&lt;25,"18-24",IF(HR_Cleaned[[#This Row],[Age]]&lt;35,"25-34",IF(HR_Cleaned[[#This Row],[Age]]&lt;45,"35-44",IF(HR_Cleaned[[#This Row],[Age]]&lt;55,"45-54","55+"))))</f>
        <v>25-34</v>
      </c>
      <c r="AK84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44" t="str">
        <f>IF(HR_Cleaned[[#This Row],[MonthlyIncome]]&lt;3000,"Below 3000",IF(HR_Cleaned[[#This Row],[MonthlyIncome]]&lt;5000,"3000-4999",IF(HR_Cleaned[[#This Row],[MonthlyIncome]]&lt;8000,"5000-7999","8000+")))</f>
        <v>Below 3000</v>
      </c>
      <c r="AM844">
        <f>IF(HR_Cleaned[[#This Row],[Attrition]]="Yes",1,0)</f>
        <v>1</v>
      </c>
    </row>
    <row r="845" spans="1:39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>
        <f>IF(HR_Cleaned[[#This Row],[Age]]&lt;25,"18-24",IF(HR_Cleaned[[#This Row],[Age]]&lt;35,"25-34",IF(HR_Cleaned[[#This Row],[Age]]&lt;45,"35-44",IF(HR_Cleaned[[#This Row],[Age]]&lt;55,"45-54","55+"))))</f>
        <v>25-34</v>
      </c>
      <c r="AK84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45" t="str">
        <f>IF(HR_Cleaned[[#This Row],[MonthlyIncome]]&lt;3000,"Below 3000",IF(HR_Cleaned[[#This Row],[MonthlyIncome]]&lt;5000,"3000-4999",IF(HR_Cleaned[[#This Row],[MonthlyIncome]]&lt;8000,"5000-7999","8000+")))</f>
        <v>3000-4999</v>
      </c>
      <c r="AM845">
        <f>IF(HR_Cleaned[[#This Row],[Attrition]]="Yes",1,0)</f>
        <v>0</v>
      </c>
    </row>
    <row r="846" spans="1:39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>
        <f>IF(HR_Cleaned[[#This Row],[Age]]&lt;25,"18-24",IF(HR_Cleaned[[#This Row],[Age]]&lt;35,"25-34",IF(HR_Cleaned[[#This Row],[Age]]&lt;45,"35-44",IF(HR_Cleaned[[#This Row],[Age]]&lt;55,"45-54","55+"))))</f>
        <v>25-34</v>
      </c>
      <c r="AK84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46" t="str">
        <f>IF(HR_Cleaned[[#This Row],[MonthlyIncome]]&lt;3000,"Below 3000",IF(HR_Cleaned[[#This Row],[MonthlyIncome]]&lt;5000,"3000-4999",IF(HR_Cleaned[[#This Row],[MonthlyIncome]]&lt;8000,"5000-7999","8000+")))</f>
        <v>5000-7999</v>
      </c>
      <c r="AM846">
        <f>IF(HR_Cleaned[[#This Row],[Attrition]]="Yes",1,0)</f>
        <v>0</v>
      </c>
    </row>
    <row r="847" spans="1:39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>
        <f>IF(HR_Cleaned[[#This Row],[Age]]&lt;25,"18-24",IF(HR_Cleaned[[#This Row],[Age]]&lt;35,"25-34",IF(HR_Cleaned[[#This Row],[Age]]&lt;45,"35-44",IF(HR_Cleaned[[#This Row],[Age]]&lt;55,"45-54","55+"))))</f>
        <v>35-44</v>
      </c>
      <c r="AK84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47" t="str">
        <f>IF(HR_Cleaned[[#This Row],[MonthlyIncome]]&lt;3000,"Below 3000",IF(HR_Cleaned[[#This Row],[MonthlyIncome]]&lt;5000,"3000-4999",IF(HR_Cleaned[[#This Row],[MonthlyIncome]]&lt;8000,"5000-7999","8000+")))</f>
        <v>3000-4999</v>
      </c>
      <c r="AM847">
        <f>IF(HR_Cleaned[[#This Row],[Attrition]]="Yes",1,0)</f>
        <v>0</v>
      </c>
    </row>
    <row r="848" spans="1:39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>
        <f>IF(HR_Cleaned[[#This Row],[Age]]&lt;25,"18-24",IF(HR_Cleaned[[#This Row],[Age]]&lt;35,"25-34",IF(HR_Cleaned[[#This Row],[Age]]&lt;45,"35-44",IF(HR_Cleaned[[#This Row],[Age]]&lt;55,"45-54","55+"))))</f>
        <v>35-44</v>
      </c>
      <c r="AK84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48" t="str">
        <f>IF(HR_Cleaned[[#This Row],[MonthlyIncome]]&lt;3000,"Below 3000",IF(HR_Cleaned[[#This Row],[MonthlyIncome]]&lt;5000,"3000-4999",IF(HR_Cleaned[[#This Row],[MonthlyIncome]]&lt;8000,"5000-7999","8000+")))</f>
        <v>8000+</v>
      </c>
      <c r="AM848">
        <f>IF(HR_Cleaned[[#This Row],[Attrition]]="Yes",1,0)</f>
        <v>0</v>
      </c>
    </row>
    <row r="849" spans="1:39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>
        <f>IF(HR_Cleaned[[#This Row],[Age]]&lt;25,"18-24",IF(HR_Cleaned[[#This Row],[Age]]&lt;35,"25-34",IF(HR_Cleaned[[#This Row],[Age]]&lt;45,"35-44",IF(HR_Cleaned[[#This Row],[Age]]&lt;55,"45-54","55+"))))</f>
        <v>25-34</v>
      </c>
      <c r="AK84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849" t="str">
        <f>IF(HR_Cleaned[[#This Row],[MonthlyIncome]]&lt;3000,"Below 3000",IF(HR_Cleaned[[#This Row],[MonthlyIncome]]&lt;5000,"3000-4999",IF(HR_Cleaned[[#This Row],[MonthlyIncome]]&lt;8000,"5000-7999","8000+")))</f>
        <v>5000-7999</v>
      </c>
      <c r="AM849">
        <f>IF(HR_Cleaned[[#This Row],[Attrition]]="Yes",1,0)</f>
        <v>0</v>
      </c>
    </row>
    <row r="850" spans="1:39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>
        <f>IF(HR_Cleaned[[#This Row],[Age]]&lt;25,"18-24",IF(HR_Cleaned[[#This Row],[Age]]&lt;35,"25-34",IF(HR_Cleaned[[#This Row],[Age]]&lt;45,"35-44",IF(HR_Cleaned[[#This Row],[Age]]&lt;55,"45-54","55+"))))</f>
        <v>35-44</v>
      </c>
      <c r="AK85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50" t="str">
        <f>IF(HR_Cleaned[[#This Row],[MonthlyIncome]]&lt;3000,"Below 3000",IF(HR_Cleaned[[#This Row],[MonthlyIncome]]&lt;5000,"3000-4999",IF(HR_Cleaned[[#This Row],[MonthlyIncome]]&lt;8000,"5000-7999","8000+")))</f>
        <v>Below 3000</v>
      </c>
      <c r="AM850">
        <f>IF(HR_Cleaned[[#This Row],[Attrition]]="Yes",1,0)</f>
        <v>0</v>
      </c>
    </row>
    <row r="851" spans="1:39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>
        <f>IF(HR_Cleaned[[#This Row],[Age]]&lt;25,"18-24",IF(HR_Cleaned[[#This Row],[Age]]&lt;35,"25-34",IF(HR_Cleaned[[#This Row],[Age]]&lt;45,"35-44",IF(HR_Cleaned[[#This Row],[Age]]&lt;55,"45-54","55+"))))</f>
        <v>35-44</v>
      </c>
      <c r="AK85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51" t="str">
        <f>IF(HR_Cleaned[[#This Row],[MonthlyIncome]]&lt;3000,"Below 3000",IF(HR_Cleaned[[#This Row],[MonthlyIncome]]&lt;5000,"3000-4999",IF(HR_Cleaned[[#This Row],[MonthlyIncome]]&lt;8000,"5000-7999","8000+")))</f>
        <v>5000-7999</v>
      </c>
      <c r="AM851">
        <f>IF(HR_Cleaned[[#This Row],[Attrition]]="Yes",1,0)</f>
        <v>1</v>
      </c>
    </row>
    <row r="852" spans="1:39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>
        <f>IF(HR_Cleaned[[#This Row],[Age]]&lt;25,"18-24",IF(HR_Cleaned[[#This Row],[Age]]&lt;35,"25-34",IF(HR_Cleaned[[#This Row],[Age]]&lt;45,"35-44",IF(HR_Cleaned[[#This Row],[Age]]&lt;55,"45-54","55+"))))</f>
        <v>25-34</v>
      </c>
      <c r="AK85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52" t="str">
        <f>IF(HR_Cleaned[[#This Row],[MonthlyIncome]]&lt;3000,"Below 3000",IF(HR_Cleaned[[#This Row],[MonthlyIncome]]&lt;5000,"3000-4999",IF(HR_Cleaned[[#This Row],[MonthlyIncome]]&lt;8000,"5000-7999","8000+")))</f>
        <v>Below 3000</v>
      </c>
      <c r="AM852">
        <f>IF(HR_Cleaned[[#This Row],[Attrition]]="Yes",1,0)</f>
        <v>0</v>
      </c>
    </row>
    <row r="853" spans="1:39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>
        <f>IF(HR_Cleaned[[#This Row],[Age]]&lt;25,"18-24",IF(HR_Cleaned[[#This Row],[Age]]&lt;35,"25-34",IF(HR_Cleaned[[#This Row],[Age]]&lt;45,"35-44",IF(HR_Cleaned[[#This Row],[Age]]&lt;55,"45-54","55+"))))</f>
        <v>55+</v>
      </c>
      <c r="AK85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53" t="str">
        <f>IF(HR_Cleaned[[#This Row],[MonthlyIncome]]&lt;3000,"Below 3000",IF(HR_Cleaned[[#This Row],[MonthlyIncome]]&lt;5000,"3000-4999",IF(HR_Cleaned[[#This Row],[MonthlyIncome]]&lt;8000,"5000-7999","8000+")))</f>
        <v>8000+</v>
      </c>
      <c r="AM853">
        <f>IF(HR_Cleaned[[#This Row],[Attrition]]="Yes",1,0)</f>
        <v>0</v>
      </c>
    </row>
    <row r="854" spans="1:39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>
        <f>IF(HR_Cleaned[[#This Row],[Age]]&lt;25,"18-24",IF(HR_Cleaned[[#This Row],[Age]]&lt;35,"25-34",IF(HR_Cleaned[[#This Row],[Age]]&lt;45,"35-44",IF(HR_Cleaned[[#This Row],[Age]]&lt;55,"45-54","55+"))))</f>
        <v>25-34</v>
      </c>
      <c r="AK85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54" t="str">
        <f>IF(HR_Cleaned[[#This Row],[MonthlyIncome]]&lt;3000,"Below 3000",IF(HR_Cleaned[[#This Row],[MonthlyIncome]]&lt;5000,"3000-4999",IF(HR_Cleaned[[#This Row],[MonthlyIncome]]&lt;8000,"5000-7999","8000+")))</f>
        <v>3000-4999</v>
      </c>
      <c r="AM854">
        <f>IF(HR_Cleaned[[#This Row],[Attrition]]="Yes",1,0)</f>
        <v>0</v>
      </c>
    </row>
    <row r="855" spans="1:39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>
        <f>IF(HR_Cleaned[[#This Row],[Age]]&lt;25,"18-24",IF(HR_Cleaned[[#This Row],[Age]]&lt;35,"25-34",IF(HR_Cleaned[[#This Row],[Age]]&lt;45,"35-44",IF(HR_Cleaned[[#This Row],[Age]]&lt;55,"45-54","55+"))))</f>
        <v>18-24</v>
      </c>
      <c r="AK855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55" t="str">
        <f>IF(HR_Cleaned[[#This Row],[MonthlyIncome]]&lt;3000,"Below 3000",IF(HR_Cleaned[[#This Row],[MonthlyIncome]]&lt;5000,"3000-4999",IF(HR_Cleaned[[#This Row],[MonthlyIncome]]&lt;8000,"5000-7999","8000+")))</f>
        <v>Below 3000</v>
      </c>
      <c r="AM855">
        <f>IF(HR_Cleaned[[#This Row],[Attrition]]="Yes",1,0)</f>
        <v>0</v>
      </c>
    </row>
    <row r="856" spans="1:39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>
        <f>IF(HR_Cleaned[[#This Row],[Age]]&lt;25,"18-24",IF(HR_Cleaned[[#This Row],[Age]]&lt;35,"25-34",IF(HR_Cleaned[[#This Row],[Age]]&lt;45,"35-44",IF(HR_Cleaned[[#This Row],[Age]]&lt;55,"45-54","55+"))))</f>
        <v>45-54</v>
      </c>
      <c r="AK85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56" t="str">
        <f>IF(HR_Cleaned[[#This Row],[MonthlyIncome]]&lt;3000,"Below 3000",IF(HR_Cleaned[[#This Row],[MonthlyIncome]]&lt;5000,"3000-4999",IF(HR_Cleaned[[#This Row],[MonthlyIncome]]&lt;8000,"5000-7999","8000+")))</f>
        <v>3000-4999</v>
      </c>
      <c r="AM856">
        <f>IF(HR_Cleaned[[#This Row],[Attrition]]="Yes",1,0)</f>
        <v>0</v>
      </c>
    </row>
    <row r="857" spans="1:39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>
        <f>IF(HR_Cleaned[[#This Row],[Age]]&lt;25,"18-24",IF(HR_Cleaned[[#This Row],[Age]]&lt;35,"25-34",IF(HR_Cleaned[[#This Row],[Age]]&lt;45,"35-44",IF(HR_Cleaned[[#This Row],[Age]]&lt;55,"45-54","55+"))))</f>
        <v>35-44</v>
      </c>
      <c r="AK85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857" t="str">
        <f>IF(HR_Cleaned[[#This Row],[MonthlyIncome]]&lt;3000,"Below 3000",IF(HR_Cleaned[[#This Row],[MonthlyIncome]]&lt;5000,"3000-4999",IF(HR_Cleaned[[#This Row],[MonthlyIncome]]&lt;8000,"5000-7999","8000+")))</f>
        <v>5000-7999</v>
      </c>
      <c r="AM857">
        <f>IF(HR_Cleaned[[#This Row],[Attrition]]="Yes",1,0)</f>
        <v>0</v>
      </c>
    </row>
    <row r="858" spans="1:39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>
        <f>IF(HR_Cleaned[[#This Row],[Age]]&lt;25,"18-24",IF(HR_Cleaned[[#This Row],[Age]]&lt;35,"25-34",IF(HR_Cleaned[[#This Row],[Age]]&lt;45,"35-44",IF(HR_Cleaned[[#This Row],[Age]]&lt;55,"45-54","55+"))))</f>
        <v>18-24</v>
      </c>
      <c r="AK85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58" t="str">
        <f>IF(HR_Cleaned[[#This Row],[MonthlyIncome]]&lt;3000,"Below 3000",IF(HR_Cleaned[[#This Row],[MonthlyIncome]]&lt;5000,"3000-4999",IF(HR_Cleaned[[#This Row],[MonthlyIncome]]&lt;8000,"5000-7999","8000+")))</f>
        <v>3000-4999</v>
      </c>
      <c r="AM858">
        <f>IF(HR_Cleaned[[#This Row],[Attrition]]="Yes",1,0)</f>
        <v>0</v>
      </c>
    </row>
    <row r="859" spans="1:39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>
        <f>IF(HR_Cleaned[[#This Row],[Age]]&lt;25,"18-24",IF(HR_Cleaned[[#This Row],[Age]]&lt;35,"25-34",IF(HR_Cleaned[[#This Row],[Age]]&lt;45,"35-44",IF(HR_Cleaned[[#This Row],[Age]]&lt;55,"45-54","55+"))))</f>
        <v>35-44</v>
      </c>
      <c r="AK85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59" t="str">
        <f>IF(HR_Cleaned[[#This Row],[MonthlyIncome]]&lt;3000,"Below 3000",IF(HR_Cleaned[[#This Row],[MonthlyIncome]]&lt;5000,"3000-4999",IF(HR_Cleaned[[#This Row],[MonthlyIncome]]&lt;8000,"5000-7999","8000+")))</f>
        <v>Below 3000</v>
      </c>
      <c r="AM859">
        <f>IF(HR_Cleaned[[#This Row],[Attrition]]="Yes",1,0)</f>
        <v>1</v>
      </c>
    </row>
    <row r="860" spans="1:39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>
        <f>IF(HR_Cleaned[[#This Row],[Age]]&lt;25,"18-24",IF(HR_Cleaned[[#This Row],[Age]]&lt;35,"25-34",IF(HR_Cleaned[[#This Row],[Age]]&lt;45,"35-44",IF(HR_Cleaned[[#This Row],[Age]]&lt;55,"45-54","55+"))))</f>
        <v>45-54</v>
      </c>
      <c r="AK86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60" t="str">
        <f>IF(HR_Cleaned[[#This Row],[MonthlyIncome]]&lt;3000,"Below 3000",IF(HR_Cleaned[[#This Row],[MonthlyIncome]]&lt;5000,"3000-4999",IF(HR_Cleaned[[#This Row],[MonthlyIncome]]&lt;8000,"5000-7999","8000+")))</f>
        <v>8000+</v>
      </c>
      <c r="AM860">
        <f>IF(HR_Cleaned[[#This Row],[Attrition]]="Yes",1,0)</f>
        <v>0</v>
      </c>
    </row>
    <row r="861" spans="1:39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>
        <f>IF(HR_Cleaned[[#This Row],[Age]]&lt;25,"18-24",IF(HR_Cleaned[[#This Row],[Age]]&lt;35,"25-34",IF(HR_Cleaned[[#This Row],[Age]]&lt;45,"35-44",IF(HR_Cleaned[[#This Row],[Age]]&lt;55,"45-54","55+"))))</f>
        <v>25-34</v>
      </c>
      <c r="AK86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61" t="str">
        <f>IF(HR_Cleaned[[#This Row],[MonthlyIncome]]&lt;3000,"Below 3000",IF(HR_Cleaned[[#This Row],[MonthlyIncome]]&lt;5000,"3000-4999",IF(HR_Cleaned[[#This Row],[MonthlyIncome]]&lt;8000,"5000-7999","8000+")))</f>
        <v>Below 3000</v>
      </c>
      <c r="AM861">
        <f>IF(HR_Cleaned[[#This Row],[Attrition]]="Yes",1,0)</f>
        <v>0</v>
      </c>
    </row>
    <row r="862" spans="1:39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>
        <f>IF(HR_Cleaned[[#This Row],[Age]]&lt;25,"18-24",IF(HR_Cleaned[[#This Row],[Age]]&lt;35,"25-34",IF(HR_Cleaned[[#This Row],[Age]]&lt;45,"35-44",IF(HR_Cleaned[[#This Row],[Age]]&lt;55,"45-54","55+"))))</f>
        <v>18-24</v>
      </c>
      <c r="AK86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62" t="str">
        <f>IF(HR_Cleaned[[#This Row],[MonthlyIncome]]&lt;3000,"Below 3000",IF(HR_Cleaned[[#This Row],[MonthlyIncome]]&lt;5000,"3000-4999",IF(HR_Cleaned[[#This Row],[MonthlyIncome]]&lt;8000,"5000-7999","8000+")))</f>
        <v>Below 3000</v>
      </c>
      <c r="AM862">
        <f>IF(HR_Cleaned[[#This Row],[Attrition]]="Yes",1,0)</f>
        <v>1</v>
      </c>
    </row>
    <row r="863" spans="1:39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>
        <f>IF(HR_Cleaned[[#This Row],[Age]]&lt;25,"18-24",IF(HR_Cleaned[[#This Row],[Age]]&lt;35,"25-34",IF(HR_Cleaned[[#This Row],[Age]]&lt;45,"35-44",IF(HR_Cleaned[[#This Row],[Age]]&lt;55,"45-54","55+"))))</f>
        <v>45-54</v>
      </c>
      <c r="AK86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863" t="str">
        <f>IF(HR_Cleaned[[#This Row],[MonthlyIncome]]&lt;3000,"Below 3000",IF(HR_Cleaned[[#This Row],[MonthlyIncome]]&lt;5000,"3000-4999",IF(HR_Cleaned[[#This Row],[MonthlyIncome]]&lt;8000,"5000-7999","8000+")))</f>
        <v>8000+</v>
      </c>
      <c r="AM863">
        <f>IF(HR_Cleaned[[#This Row],[Attrition]]="Yes",1,0)</f>
        <v>0</v>
      </c>
    </row>
    <row r="864" spans="1:39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>
        <f>IF(HR_Cleaned[[#This Row],[Age]]&lt;25,"18-24",IF(HR_Cleaned[[#This Row],[Age]]&lt;35,"25-34",IF(HR_Cleaned[[#This Row],[Age]]&lt;45,"35-44",IF(HR_Cleaned[[#This Row],[Age]]&lt;55,"45-54","55+"))))</f>
        <v>35-44</v>
      </c>
      <c r="AK86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64" t="str">
        <f>IF(HR_Cleaned[[#This Row],[MonthlyIncome]]&lt;3000,"Below 3000",IF(HR_Cleaned[[#This Row],[MonthlyIncome]]&lt;5000,"3000-4999",IF(HR_Cleaned[[#This Row],[MonthlyIncome]]&lt;8000,"5000-7999","8000+")))</f>
        <v>Below 3000</v>
      </c>
      <c r="AM864">
        <f>IF(HR_Cleaned[[#This Row],[Attrition]]="Yes",1,0)</f>
        <v>0</v>
      </c>
    </row>
    <row r="865" spans="1:39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>
        <f>IF(HR_Cleaned[[#This Row],[Age]]&lt;25,"18-24",IF(HR_Cleaned[[#This Row],[Age]]&lt;35,"25-34",IF(HR_Cleaned[[#This Row],[Age]]&lt;45,"35-44",IF(HR_Cleaned[[#This Row],[Age]]&lt;55,"45-54","55+"))))</f>
        <v>25-34</v>
      </c>
      <c r="AK86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65" t="str">
        <f>IF(HR_Cleaned[[#This Row],[MonthlyIncome]]&lt;3000,"Below 3000",IF(HR_Cleaned[[#This Row],[MonthlyIncome]]&lt;5000,"3000-4999",IF(HR_Cleaned[[#This Row],[MonthlyIncome]]&lt;8000,"5000-7999","8000+")))</f>
        <v>3000-4999</v>
      </c>
      <c r="AM865">
        <f>IF(HR_Cleaned[[#This Row],[Attrition]]="Yes",1,0)</f>
        <v>0</v>
      </c>
    </row>
    <row r="866" spans="1:39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>
        <f>IF(HR_Cleaned[[#This Row],[Age]]&lt;25,"18-24",IF(HR_Cleaned[[#This Row],[Age]]&lt;35,"25-34",IF(HR_Cleaned[[#This Row],[Age]]&lt;45,"35-44",IF(HR_Cleaned[[#This Row],[Age]]&lt;55,"45-54","55+"))))</f>
        <v>35-44</v>
      </c>
      <c r="AK86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66" t="str">
        <f>IF(HR_Cleaned[[#This Row],[MonthlyIncome]]&lt;3000,"Below 3000",IF(HR_Cleaned[[#This Row],[MonthlyIncome]]&lt;5000,"3000-4999",IF(HR_Cleaned[[#This Row],[MonthlyIncome]]&lt;8000,"5000-7999","8000+")))</f>
        <v>Below 3000</v>
      </c>
      <c r="AM866">
        <f>IF(HR_Cleaned[[#This Row],[Attrition]]="Yes",1,0)</f>
        <v>1</v>
      </c>
    </row>
    <row r="867" spans="1:39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>
        <f>IF(HR_Cleaned[[#This Row],[Age]]&lt;25,"18-24",IF(HR_Cleaned[[#This Row],[Age]]&lt;35,"25-34",IF(HR_Cleaned[[#This Row],[Age]]&lt;45,"35-44",IF(HR_Cleaned[[#This Row],[Age]]&lt;55,"45-54","55+"))))</f>
        <v>25-34</v>
      </c>
      <c r="AK86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67" t="str">
        <f>IF(HR_Cleaned[[#This Row],[MonthlyIncome]]&lt;3000,"Below 3000",IF(HR_Cleaned[[#This Row],[MonthlyIncome]]&lt;5000,"3000-4999",IF(HR_Cleaned[[#This Row],[MonthlyIncome]]&lt;8000,"5000-7999","8000+")))</f>
        <v>3000-4999</v>
      </c>
      <c r="AM867">
        <f>IF(HR_Cleaned[[#This Row],[Attrition]]="Yes",1,0)</f>
        <v>0</v>
      </c>
    </row>
    <row r="868" spans="1:39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>
        <f>IF(HR_Cleaned[[#This Row],[Age]]&lt;25,"18-24",IF(HR_Cleaned[[#This Row],[Age]]&lt;35,"25-34",IF(HR_Cleaned[[#This Row],[Age]]&lt;45,"35-44",IF(HR_Cleaned[[#This Row],[Age]]&lt;55,"45-54","55+"))))</f>
        <v>35-44</v>
      </c>
      <c r="AK86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68" t="str">
        <f>IF(HR_Cleaned[[#This Row],[MonthlyIncome]]&lt;3000,"Below 3000",IF(HR_Cleaned[[#This Row],[MonthlyIncome]]&lt;5000,"3000-4999",IF(HR_Cleaned[[#This Row],[MonthlyIncome]]&lt;8000,"5000-7999","8000+")))</f>
        <v>3000-4999</v>
      </c>
      <c r="AM868">
        <f>IF(HR_Cleaned[[#This Row],[Attrition]]="Yes",1,0)</f>
        <v>0</v>
      </c>
    </row>
    <row r="869" spans="1:39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>
        <f>IF(HR_Cleaned[[#This Row],[Age]]&lt;25,"18-24",IF(HR_Cleaned[[#This Row],[Age]]&lt;35,"25-34",IF(HR_Cleaned[[#This Row],[Age]]&lt;45,"35-44",IF(HR_Cleaned[[#This Row],[Age]]&lt;55,"45-54","55+"))))</f>
        <v>45-54</v>
      </c>
      <c r="AK86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69" t="str">
        <f>IF(HR_Cleaned[[#This Row],[MonthlyIncome]]&lt;3000,"Below 3000",IF(HR_Cleaned[[#This Row],[MonthlyIncome]]&lt;5000,"3000-4999",IF(HR_Cleaned[[#This Row],[MonthlyIncome]]&lt;8000,"5000-7999","8000+")))</f>
        <v>8000+</v>
      </c>
      <c r="AM869">
        <f>IF(HR_Cleaned[[#This Row],[Attrition]]="Yes",1,0)</f>
        <v>0</v>
      </c>
    </row>
    <row r="870" spans="1:39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>
        <f>IF(HR_Cleaned[[#This Row],[Age]]&lt;25,"18-24",IF(HR_Cleaned[[#This Row],[Age]]&lt;35,"25-34",IF(HR_Cleaned[[#This Row],[Age]]&lt;45,"35-44",IF(HR_Cleaned[[#This Row],[Age]]&lt;55,"45-54","55+"))))</f>
        <v>25-34</v>
      </c>
      <c r="AK87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70" t="str">
        <f>IF(HR_Cleaned[[#This Row],[MonthlyIncome]]&lt;3000,"Below 3000",IF(HR_Cleaned[[#This Row],[MonthlyIncome]]&lt;5000,"3000-4999",IF(HR_Cleaned[[#This Row],[MonthlyIncome]]&lt;8000,"5000-7999","8000+")))</f>
        <v>3000-4999</v>
      </c>
      <c r="AM870">
        <f>IF(HR_Cleaned[[#This Row],[Attrition]]="Yes",1,0)</f>
        <v>0</v>
      </c>
    </row>
    <row r="871" spans="1:39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>
        <f>IF(HR_Cleaned[[#This Row],[Age]]&lt;25,"18-24",IF(HR_Cleaned[[#This Row],[Age]]&lt;35,"25-34",IF(HR_Cleaned[[#This Row],[Age]]&lt;45,"35-44",IF(HR_Cleaned[[#This Row],[Age]]&lt;55,"45-54","55+"))))</f>
        <v>45-54</v>
      </c>
      <c r="AK87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71" t="str">
        <f>IF(HR_Cleaned[[#This Row],[MonthlyIncome]]&lt;3000,"Below 3000",IF(HR_Cleaned[[#This Row],[MonthlyIncome]]&lt;5000,"3000-4999",IF(HR_Cleaned[[#This Row],[MonthlyIncome]]&lt;8000,"5000-7999","8000+")))</f>
        <v>8000+</v>
      </c>
      <c r="AM871">
        <f>IF(HR_Cleaned[[#This Row],[Attrition]]="Yes",1,0)</f>
        <v>0</v>
      </c>
    </row>
    <row r="872" spans="1:39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>
        <f>IF(HR_Cleaned[[#This Row],[Age]]&lt;25,"18-24",IF(HR_Cleaned[[#This Row],[Age]]&lt;35,"25-34",IF(HR_Cleaned[[#This Row],[Age]]&lt;45,"35-44",IF(HR_Cleaned[[#This Row],[Age]]&lt;55,"45-54","55+"))))</f>
        <v>35-44</v>
      </c>
      <c r="AK87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72" t="str">
        <f>IF(HR_Cleaned[[#This Row],[MonthlyIncome]]&lt;3000,"Below 3000",IF(HR_Cleaned[[#This Row],[MonthlyIncome]]&lt;5000,"3000-4999",IF(HR_Cleaned[[#This Row],[MonthlyIncome]]&lt;8000,"5000-7999","8000+")))</f>
        <v>8000+</v>
      </c>
      <c r="AM872">
        <f>IF(HR_Cleaned[[#This Row],[Attrition]]="Yes",1,0)</f>
        <v>0</v>
      </c>
    </row>
    <row r="873" spans="1:39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>
        <f>IF(HR_Cleaned[[#This Row],[Age]]&lt;25,"18-24",IF(HR_Cleaned[[#This Row],[Age]]&lt;35,"25-34",IF(HR_Cleaned[[#This Row],[Age]]&lt;45,"35-44",IF(HR_Cleaned[[#This Row],[Age]]&lt;55,"45-54","55+"))))</f>
        <v>18-24</v>
      </c>
      <c r="AK87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73" t="str">
        <f>IF(HR_Cleaned[[#This Row],[MonthlyIncome]]&lt;3000,"Below 3000",IF(HR_Cleaned[[#This Row],[MonthlyIncome]]&lt;5000,"3000-4999",IF(HR_Cleaned[[#This Row],[MonthlyIncome]]&lt;8000,"5000-7999","8000+")))</f>
        <v>Below 3000</v>
      </c>
      <c r="AM873">
        <f>IF(HR_Cleaned[[#This Row],[Attrition]]="Yes",1,0)</f>
        <v>1</v>
      </c>
    </row>
    <row r="874" spans="1:39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>
        <f>IF(HR_Cleaned[[#This Row],[Age]]&lt;25,"18-24",IF(HR_Cleaned[[#This Row],[Age]]&lt;35,"25-34",IF(HR_Cleaned[[#This Row],[Age]]&lt;45,"35-44",IF(HR_Cleaned[[#This Row],[Age]]&lt;55,"45-54","55+"))))</f>
        <v>25-34</v>
      </c>
      <c r="AK87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74" t="str">
        <f>IF(HR_Cleaned[[#This Row],[MonthlyIncome]]&lt;3000,"Below 3000",IF(HR_Cleaned[[#This Row],[MonthlyIncome]]&lt;5000,"3000-4999",IF(HR_Cleaned[[#This Row],[MonthlyIncome]]&lt;8000,"5000-7999","8000+")))</f>
        <v>3000-4999</v>
      </c>
      <c r="AM874">
        <f>IF(HR_Cleaned[[#This Row],[Attrition]]="Yes",1,0)</f>
        <v>0</v>
      </c>
    </row>
    <row r="875" spans="1:39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>
        <f>IF(HR_Cleaned[[#This Row],[Age]]&lt;25,"18-24",IF(HR_Cleaned[[#This Row],[Age]]&lt;35,"25-34",IF(HR_Cleaned[[#This Row],[Age]]&lt;45,"35-44",IF(HR_Cleaned[[#This Row],[Age]]&lt;55,"45-54","55+"))))</f>
        <v>35-44</v>
      </c>
      <c r="AK87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75" t="str">
        <f>IF(HR_Cleaned[[#This Row],[MonthlyIncome]]&lt;3000,"Below 3000",IF(HR_Cleaned[[#This Row],[MonthlyIncome]]&lt;5000,"3000-4999",IF(HR_Cleaned[[#This Row],[MonthlyIncome]]&lt;8000,"5000-7999","8000+")))</f>
        <v>Below 3000</v>
      </c>
      <c r="AM875">
        <f>IF(HR_Cleaned[[#This Row],[Attrition]]="Yes",1,0)</f>
        <v>0</v>
      </c>
    </row>
    <row r="876" spans="1:39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>
        <f>IF(HR_Cleaned[[#This Row],[Age]]&lt;25,"18-24",IF(HR_Cleaned[[#This Row],[Age]]&lt;35,"25-34",IF(HR_Cleaned[[#This Row],[Age]]&lt;45,"35-44",IF(HR_Cleaned[[#This Row],[Age]]&lt;55,"45-54","55+"))))</f>
        <v>25-34</v>
      </c>
      <c r="AK87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76" t="str">
        <f>IF(HR_Cleaned[[#This Row],[MonthlyIncome]]&lt;3000,"Below 3000",IF(HR_Cleaned[[#This Row],[MonthlyIncome]]&lt;5000,"3000-4999",IF(HR_Cleaned[[#This Row],[MonthlyIncome]]&lt;8000,"5000-7999","8000+")))</f>
        <v>3000-4999</v>
      </c>
      <c r="AM876">
        <f>IF(HR_Cleaned[[#This Row],[Attrition]]="Yes",1,0)</f>
        <v>0</v>
      </c>
    </row>
    <row r="877" spans="1:39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>
        <f>IF(HR_Cleaned[[#This Row],[Age]]&lt;25,"18-24",IF(HR_Cleaned[[#This Row],[Age]]&lt;35,"25-34",IF(HR_Cleaned[[#This Row],[Age]]&lt;45,"35-44",IF(HR_Cleaned[[#This Row],[Age]]&lt;55,"45-54","55+"))))</f>
        <v>35-44</v>
      </c>
      <c r="AK87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877" t="str">
        <f>IF(HR_Cleaned[[#This Row],[MonthlyIncome]]&lt;3000,"Below 3000",IF(HR_Cleaned[[#This Row],[MonthlyIncome]]&lt;5000,"3000-4999",IF(HR_Cleaned[[#This Row],[MonthlyIncome]]&lt;8000,"5000-7999","8000+")))</f>
        <v>3000-4999</v>
      </c>
      <c r="AM877">
        <f>IF(HR_Cleaned[[#This Row],[Attrition]]="Yes",1,0)</f>
        <v>0</v>
      </c>
    </row>
    <row r="878" spans="1:39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>
        <f>IF(HR_Cleaned[[#This Row],[Age]]&lt;25,"18-24",IF(HR_Cleaned[[#This Row],[Age]]&lt;35,"25-34",IF(HR_Cleaned[[#This Row],[Age]]&lt;45,"35-44",IF(HR_Cleaned[[#This Row],[Age]]&lt;55,"45-54","55+"))))</f>
        <v>18-24</v>
      </c>
      <c r="AK87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78" t="str">
        <f>IF(HR_Cleaned[[#This Row],[MonthlyIncome]]&lt;3000,"Below 3000",IF(HR_Cleaned[[#This Row],[MonthlyIncome]]&lt;5000,"3000-4999",IF(HR_Cleaned[[#This Row],[MonthlyIncome]]&lt;8000,"5000-7999","8000+")))</f>
        <v>Below 3000</v>
      </c>
      <c r="AM878">
        <f>IF(HR_Cleaned[[#This Row],[Attrition]]="Yes",1,0)</f>
        <v>0</v>
      </c>
    </row>
    <row r="879" spans="1:39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>
        <f>IF(HR_Cleaned[[#This Row],[Age]]&lt;25,"18-24",IF(HR_Cleaned[[#This Row],[Age]]&lt;35,"25-34",IF(HR_Cleaned[[#This Row],[Age]]&lt;45,"35-44",IF(HR_Cleaned[[#This Row],[Age]]&lt;55,"45-54","55+"))))</f>
        <v>45-54</v>
      </c>
      <c r="AK87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79" t="str">
        <f>IF(HR_Cleaned[[#This Row],[MonthlyIncome]]&lt;3000,"Below 3000",IF(HR_Cleaned[[#This Row],[MonthlyIncome]]&lt;5000,"3000-4999",IF(HR_Cleaned[[#This Row],[MonthlyIncome]]&lt;8000,"5000-7999","8000+")))</f>
        <v>5000-7999</v>
      </c>
      <c r="AM879">
        <f>IF(HR_Cleaned[[#This Row],[Attrition]]="Yes",1,0)</f>
        <v>0</v>
      </c>
    </row>
    <row r="880" spans="1:39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>
        <f>IF(HR_Cleaned[[#This Row],[Age]]&lt;25,"18-24",IF(HR_Cleaned[[#This Row],[Age]]&lt;35,"25-34",IF(HR_Cleaned[[#This Row],[Age]]&lt;45,"35-44",IF(HR_Cleaned[[#This Row],[Age]]&lt;55,"45-54","55+"))))</f>
        <v>35-44</v>
      </c>
      <c r="AK88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80" t="str">
        <f>IF(HR_Cleaned[[#This Row],[MonthlyIncome]]&lt;3000,"Below 3000",IF(HR_Cleaned[[#This Row],[MonthlyIncome]]&lt;5000,"3000-4999",IF(HR_Cleaned[[#This Row],[MonthlyIncome]]&lt;8000,"5000-7999","8000+")))</f>
        <v>5000-7999</v>
      </c>
      <c r="AM880">
        <f>IF(HR_Cleaned[[#This Row],[Attrition]]="Yes",1,0)</f>
        <v>0</v>
      </c>
    </row>
    <row r="881" spans="1:39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>
        <f>IF(HR_Cleaned[[#This Row],[Age]]&lt;25,"18-24",IF(HR_Cleaned[[#This Row],[Age]]&lt;35,"25-34",IF(HR_Cleaned[[#This Row],[Age]]&lt;45,"35-44",IF(HR_Cleaned[[#This Row],[Age]]&lt;55,"45-54","55+"))))</f>
        <v>55+</v>
      </c>
      <c r="AK881" t="str">
        <f>IF(HR_Cleaned[[#This Row],[YearsAtCompany]]&lt;=2,"0-2 Years",IF(HR_Cleaned[[#This Row],[YearsAtCompany]]&lt;=5,"3-5 Years",IF(HR_Cleaned[[#This Row],[YearsAtCompany]]&lt;=10,"6-10 Years","11+ Years")))</f>
        <v>11+ Years</v>
      </c>
      <c r="AL881" t="str">
        <f>IF(HR_Cleaned[[#This Row],[MonthlyIncome]]&lt;3000,"Below 3000",IF(HR_Cleaned[[#This Row],[MonthlyIncome]]&lt;5000,"3000-4999",IF(HR_Cleaned[[#This Row],[MonthlyIncome]]&lt;8000,"5000-7999","8000+")))</f>
        <v>5000-7999</v>
      </c>
      <c r="AM881">
        <f>IF(HR_Cleaned[[#This Row],[Attrition]]="Yes",1,0)</f>
        <v>0</v>
      </c>
    </row>
    <row r="882" spans="1:39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>
        <f>IF(HR_Cleaned[[#This Row],[Age]]&lt;25,"18-24",IF(HR_Cleaned[[#This Row],[Age]]&lt;35,"25-34",IF(HR_Cleaned[[#This Row],[Age]]&lt;45,"35-44",IF(HR_Cleaned[[#This Row],[Age]]&lt;55,"45-54","55+"))))</f>
        <v>25-34</v>
      </c>
      <c r="AK88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82" t="str">
        <f>IF(HR_Cleaned[[#This Row],[MonthlyIncome]]&lt;3000,"Below 3000",IF(HR_Cleaned[[#This Row],[MonthlyIncome]]&lt;5000,"3000-4999",IF(HR_Cleaned[[#This Row],[MonthlyIncome]]&lt;8000,"5000-7999","8000+")))</f>
        <v>Below 3000</v>
      </c>
      <c r="AM882">
        <f>IF(HR_Cleaned[[#This Row],[Attrition]]="Yes",1,0)</f>
        <v>0</v>
      </c>
    </row>
    <row r="883" spans="1:39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>
        <f>IF(HR_Cleaned[[#This Row],[Age]]&lt;25,"18-24",IF(HR_Cleaned[[#This Row],[Age]]&lt;35,"25-34",IF(HR_Cleaned[[#This Row],[Age]]&lt;45,"35-44",IF(HR_Cleaned[[#This Row],[Age]]&lt;55,"45-54","55+"))))</f>
        <v>25-34</v>
      </c>
      <c r="AK88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83" t="str">
        <f>IF(HR_Cleaned[[#This Row],[MonthlyIncome]]&lt;3000,"Below 3000",IF(HR_Cleaned[[#This Row],[MonthlyIncome]]&lt;5000,"3000-4999",IF(HR_Cleaned[[#This Row],[MonthlyIncome]]&lt;8000,"5000-7999","8000+")))</f>
        <v>3000-4999</v>
      </c>
      <c r="AM883">
        <f>IF(HR_Cleaned[[#This Row],[Attrition]]="Yes",1,0)</f>
        <v>0</v>
      </c>
    </row>
    <row r="884" spans="1:39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>
        <f>IF(HR_Cleaned[[#This Row],[Age]]&lt;25,"18-24",IF(HR_Cleaned[[#This Row],[Age]]&lt;35,"25-34",IF(HR_Cleaned[[#This Row],[Age]]&lt;45,"35-44",IF(HR_Cleaned[[#This Row],[Age]]&lt;55,"45-54","55+"))))</f>
        <v>35-44</v>
      </c>
      <c r="AK88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84" t="str">
        <f>IF(HR_Cleaned[[#This Row],[MonthlyIncome]]&lt;3000,"Below 3000",IF(HR_Cleaned[[#This Row],[MonthlyIncome]]&lt;5000,"3000-4999",IF(HR_Cleaned[[#This Row],[MonthlyIncome]]&lt;8000,"5000-7999","8000+")))</f>
        <v>8000+</v>
      </c>
      <c r="AM884">
        <f>IF(HR_Cleaned[[#This Row],[Attrition]]="Yes",1,0)</f>
        <v>0</v>
      </c>
    </row>
    <row r="885" spans="1:39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>
        <f>IF(HR_Cleaned[[#This Row],[Age]]&lt;25,"18-24",IF(HR_Cleaned[[#This Row],[Age]]&lt;35,"25-34",IF(HR_Cleaned[[#This Row],[Age]]&lt;45,"35-44",IF(HR_Cleaned[[#This Row],[Age]]&lt;55,"45-54","55+"))))</f>
        <v>25-34</v>
      </c>
      <c r="AK88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885" t="str">
        <f>IF(HR_Cleaned[[#This Row],[MonthlyIncome]]&lt;3000,"Below 3000",IF(HR_Cleaned[[#This Row],[MonthlyIncome]]&lt;5000,"3000-4999",IF(HR_Cleaned[[#This Row],[MonthlyIncome]]&lt;8000,"5000-7999","8000+")))</f>
        <v>Below 3000</v>
      </c>
      <c r="AM885">
        <f>IF(HR_Cleaned[[#This Row],[Attrition]]="Yes",1,0)</f>
        <v>0</v>
      </c>
    </row>
    <row r="886" spans="1:39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>
        <f>IF(HR_Cleaned[[#This Row],[Age]]&lt;25,"18-24",IF(HR_Cleaned[[#This Row],[Age]]&lt;35,"25-34",IF(HR_Cleaned[[#This Row],[Age]]&lt;45,"35-44",IF(HR_Cleaned[[#This Row],[Age]]&lt;55,"45-54","55+"))))</f>
        <v>35-44</v>
      </c>
      <c r="AK88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86" t="str">
        <f>IF(HR_Cleaned[[#This Row],[MonthlyIncome]]&lt;3000,"Below 3000",IF(HR_Cleaned[[#This Row],[MonthlyIncome]]&lt;5000,"3000-4999",IF(HR_Cleaned[[#This Row],[MonthlyIncome]]&lt;8000,"5000-7999","8000+")))</f>
        <v>5000-7999</v>
      </c>
      <c r="AM886">
        <f>IF(HR_Cleaned[[#This Row],[Attrition]]="Yes",1,0)</f>
        <v>0</v>
      </c>
    </row>
    <row r="887" spans="1:39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>
        <f>IF(HR_Cleaned[[#This Row],[Age]]&lt;25,"18-24",IF(HR_Cleaned[[#This Row],[Age]]&lt;35,"25-34",IF(HR_Cleaned[[#This Row],[Age]]&lt;45,"35-44",IF(HR_Cleaned[[#This Row],[Age]]&lt;55,"45-54","55+"))))</f>
        <v>25-34</v>
      </c>
      <c r="AK88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87" t="str">
        <f>IF(HR_Cleaned[[#This Row],[MonthlyIncome]]&lt;3000,"Below 3000",IF(HR_Cleaned[[#This Row],[MonthlyIncome]]&lt;5000,"3000-4999",IF(HR_Cleaned[[#This Row],[MonthlyIncome]]&lt;8000,"5000-7999","8000+")))</f>
        <v>3000-4999</v>
      </c>
      <c r="AM887">
        <f>IF(HR_Cleaned[[#This Row],[Attrition]]="Yes",1,0)</f>
        <v>0</v>
      </c>
    </row>
    <row r="888" spans="1:39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>
        <f>IF(HR_Cleaned[[#This Row],[Age]]&lt;25,"18-24",IF(HR_Cleaned[[#This Row],[Age]]&lt;35,"25-34",IF(HR_Cleaned[[#This Row],[Age]]&lt;45,"35-44",IF(HR_Cleaned[[#This Row],[Age]]&lt;55,"45-54","55+"))))</f>
        <v>25-34</v>
      </c>
      <c r="AK88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888" t="str">
        <f>IF(HR_Cleaned[[#This Row],[MonthlyIncome]]&lt;3000,"Below 3000",IF(HR_Cleaned[[#This Row],[MonthlyIncome]]&lt;5000,"3000-4999",IF(HR_Cleaned[[#This Row],[MonthlyIncome]]&lt;8000,"5000-7999","8000+")))</f>
        <v>3000-4999</v>
      </c>
      <c r="AM888">
        <f>IF(HR_Cleaned[[#This Row],[Attrition]]="Yes",1,0)</f>
        <v>0</v>
      </c>
    </row>
    <row r="889" spans="1:39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>
        <f>IF(HR_Cleaned[[#This Row],[Age]]&lt;25,"18-24",IF(HR_Cleaned[[#This Row],[Age]]&lt;35,"25-34",IF(HR_Cleaned[[#This Row],[Age]]&lt;45,"35-44",IF(HR_Cleaned[[#This Row],[Age]]&lt;55,"45-54","55+"))))</f>
        <v>35-44</v>
      </c>
      <c r="AK88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89" t="str">
        <f>IF(HR_Cleaned[[#This Row],[MonthlyIncome]]&lt;3000,"Below 3000",IF(HR_Cleaned[[#This Row],[MonthlyIncome]]&lt;5000,"3000-4999",IF(HR_Cleaned[[#This Row],[MonthlyIncome]]&lt;8000,"5000-7999","8000+")))</f>
        <v>8000+</v>
      </c>
      <c r="AM889">
        <f>IF(HR_Cleaned[[#This Row],[Attrition]]="Yes",1,0)</f>
        <v>0</v>
      </c>
    </row>
    <row r="890" spans="1:39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>
        <f>IF(HR_Cleaned[[#This Row],[Age]]&lt;25,"18-24",IF(HR_Cleaned[[#This Row],[Age]]&lt;35,"25-34",IF(HR_Cleaned[[#This Row],[Age]]&lt;45,"35-44",IF(HR_Cleaned[[#This Row],[Age]]&lt;55,"45-54","55+"))))</f>
        <v>35-44</v>
      </c>
      <c r="AK89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890" t="str">
        <f>IF(HR_Cleaned[[#This Row],[MonthlyIncome]]&lt;3000,"Below 3000",IF(HR_Cleaned[[#This Row],[MonthlyIncome]]&lt;5000,"3000-4999",IF(HR_Cleaned[[#This Row],[MonthlyIncome]]&lt;8000,"5000-7999","8000+")))</f>
        <v>8000+</v>
      </c>
      <c r="AM890">
        <f>IF(HR_Cleaned[[#This Row],[Attrition]]="Yes",1,0)</f>
        <v>0</v>
      </c>
    </row>
    <row r="891" spans="1:39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>
        <f>IF(HR_Cleaned[[#This Row],[Age]]&lt;25,"18-24",IF(HR_Cleaned[[#This Row],[Age]]&lt;35,"25-34",IF(HR_Cleaned[[#This Row],[Age]]&lt;45,"35-44",IF(HR_Cleaned[[#This Row],[Age]]&lt;55,"45-54","55+"))))</f>
        <v>25-34</v>
      </c>
      <c r="AK89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91" t="str">
        <f>IF(HR_Cleaned[[#This Row],[MonthlyIncome]]&lt;3000,"Below 3000",IF(HR_Cleaned[[#This Row],[MonthlyIncome]]&lt;5000,"3000-4999",IF(HR_Cleaned[[#This Row],[MonthlyIncome]]&lt;8000,"5000-7999","8000+")))</f>
        <v>Below 3000</v>
      </c>
      <c r="AM891">
        <f>IF(HR_Cleaned[[#This Row],[Attrition]]="Yes",1,0)</f>
        <v>0</v>
      </c>
    </row>
    <row r="892" spans="1:39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>
        <f>IF(HR_Cleaned[[#This Row],[Age]]&lt;25,"18-24",IF(HR_Cleaned[[#This Row],[Age]]&lt;35,"25-34",IF(HR_Cleaned[[#This Row],[Age]]&lt;45,"35-44",IF(HR_Cleaned[[#This Row],[Age]]&lt;55,"45-54","55+"))))</f>
        <v>45-54</v>
      </c>
      <c r="AK89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92" t="str">
        <f>IF(HR_Cleaned[[#This Row],[MonthlyIncome]]&lt;3000,"Below 3000",IF(HR_Cleaned[[#This Row],[MonthlyIncome]]&lt;5000,"3000-4999",IF(HR_Cleaned[[#This Row],[MonthlyIncome]]&lt;8000,"5000-7999","8000+")))</f>
        <v>8000+</v>
      </c>
      <c r="AM892">
        <f>IF(HR_Cleaned[[#This Row],[Attrition]]="Yes",1,0)</f>
        <v>0</v>
      </c>
    </row>
    <row r="893" spans="1:39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>
        <f>IF(HR_Cleaned[[#This Row],[Age]]&lt;25,"18-24",IF(HR_Cleaned[[#This Row],[Age]]&lt;35,"25-34",IF(HR_Cleaned[[#This Row],[Age]]&lt;45,"35-44",IF(HR_Cleaned[[#This Row],[Age]]&lt;55,"45-54","55+"))))</f>
        <v>35-44</v>
      </c>
      <c r="AK89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93" t="str">
        <f>IF(HR_Cleaned[[#This Row],[MonthlyIncome]]&lt;3000,"Below 3000",IF(HR_Cleaned[[#This Row],[MonthlyIncome]]&lt;5000,"3000-4999",IF(HR_Cleaned[[#This Row],[MonthlyIncome]]&lt;8000,"5000-7999","8000+")))</f>
        <v>Below 3000</v>
      </c>
      <c r="AM893">
        <f>IF(HR_Cleaned[[#This Row],[Attrition]]="Yes",1,0)</f>
        <v>0</v>
      </c>
    </row>
    <row r="894" spans="1:39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>
        <f>IF(HR_Cleaned[[#This Row],[Age]]&lt;25,"18-24",IF(HR_Cleaned[[#This Row],[Age]]&lt;35,"25-34",IF(HR_Cleaned[[#This Row],[Age]]&lt;45,"35-44",IF(HR_Cleaned[[#This Row],[Age]]&lt;55,"45-54","55+"))))</f>
        <v>18-24</v>
      </c>
      <c r="AK89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894" t="str">
        <f>IF(HR_Cleaned[[#This Row],[MonthlyIncome]]&lt;3000,"Below 3000",IF(HR_Cleaned[[#This Row],[MonthlyIncome]]&lt;5000,"3000-4999",IF(HR_Cleaned[[#This Row],[MonthlyIncome]]&lt;8000,"5000-7999","8000+")))</f>
        <v>Below 3000</v>
      </c>
      <c r="AM894">
        <f>IF(HR_Cleaned[[#This Row],[Attrition]]="Yes",1,0)</f>
        <v>1</v>
      </c>
    </row>
    <row r="895" spans="1:39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>
        <f>IF(HR_Cleaned[[#This Row],[Age]]&lt;25,"18-24",IF(HR_Cleaned[[#This Row],[Age]]&lt;35,"25-34",IF(HR_Cleaned[[#This Row],[Age]]&lt;45,"35-44",IF(HR_Cleaned[[#This Row],[Age]]&lt;55,"45-54","55+"))))</f>
        <v>25-34</v>
      </c>
      <c r="AK89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895" t="str">
        <f>IF(HR_Cleaned[[#This Row],[MonthlyIncome]]&lt;3000,"Below 3000",IF(HR_Cleaned[[#This Row],[MonthlyIncome]]&lt;5000,"3000-4999",IF(HR_Cleaned[[#This Row],[MonthlyIncome]]&lt;8000,"5000-7999","8000+")))</f>
        <v>3000-4999</v>
      </c>
      <c r="AM895">
        <f>IF(HR_Cleaned[[#This Row],[Attrition]]="Yes",1,0)</f>
        <v>0</v>
      </c>
    </row>
    <row r="896" spans="1:39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>
        <f>IF(HR_Cleaned[[#This Row],[Age]]&lt;25,"18-24",IF(HR_Cleaned[[#This Row],[Age]]&lt;35,"25-34",IF(HR_Cleaned[[#This Row],[Age]]&lt;45,"35-44",IF(HR_Cleaned[[#This Row],[Age]]&lt;55,"45-54","55+"))))</f>
        <v>45-54</v>
      </c>
      <c r="AK89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96" t="str">
        <f>IF(HR_Cleaned[[#This Row],[MonthlyIncome]]&lt;3000,"Below 3000",IF(HR_Cleaned[[#This Row],[MonthlyIncome]]&lt;5000,"3000-4999",IF(HR_Cleaned[[#This Row],[MonthlyIncome]]&lt;8000,"5000-7999","8000+")))</f>
        <v>8000+</v>
      </c>
      <c r="AM896">
        <f>IF(HR_Cleaned[[#This Row],[Attrition]]="Yes",1,0)</f>
        <v>0</v>
      </c>
    </row>
    <row r="897" spans="1:39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>
        <f>IF(HR_Cleaned[[#This Row],[Age]]&lt;25,"18-24",IF(HR_Cleaned[[#This Row],[Age]]&lt;35,"25-34",IF(HR_Cleaned[[#This Row],[Age]]&lt;45,"35-44",IF(HR_Cleaned[[#This Row],[Age]]&lt;55,"45-54","55+"))))</f>
        <v>25-34</v>
      </c>
      <c r="AK89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97" t="str">
        <f>IF(HR_Cleaned[[#This Row],[MonthlyIncome]]&lt;3000,"Below 3000",IF(HR_Cleaned[[#This Row],[MonthlyIncome]]&lt;5000,"3000-4999",IF(HR_Cleaned[[#This Row],[MonthlyIncome]]&lt;8000,"5000-7999","8000+")))</f>
        <v>5000-7999</v>
      </c>
      <c r="AM897">
        <f>IF(HR_Cleaned[[#This Row],[Attrition]]="Yes",1,0)</f>
        <v>0</v>
      </c>
    </row>
    <row r="898" spans="1:39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>
        <f>IF(HR_Cleaned[[#This Row],[Age]]&lt;25,"18-24",IF(HR_Cleaned[[#This Row],[Age]]&lt;35,"25-34",IF(HR_Cleaned[[#This Row],[Age]]&lt;45,"35-44",IF(HR_Cleaned[[#This Row],[Age]]&lt;55,"45-54","55+"))))</f>
        <v>25-34</v>
      </c>
      <c r="AK89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98" t="str">
        <f>IF(HR_Cleaned[[#This Row],[MonthlyIncome]]&lt;3000,"Below 3000",IF(HR_Cleaned[[#This Row],[MonthlyIncome]]&lt;5000,"3000-4999",IF(HR_Cleaned[[#This Row],[MonthlyIncome]]&lt;8000,"5000-7999","8000+")))</f>
        <v>5000-7999</v>
      </c>
      <c r="AM898">
        <f>IF(HR_Cleaned[[#This Row],[Attrition]]="Yes",1,0)</f>
        <v>0</v>
      </c>
    </row>
    <row r="899" spans="1:39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>
        <f>IF(HR_Cleaned[[#This Row],[Age]]&lt;25,"18-24",IF(HR_Cleaned[[#This Row],[Age]]&lt;35,"25-34",IF(HR_Cleaned[[#This Row],[Age]]&lt;45,"35-44",IF(HR_Cleaned[[#This Row],[Age]]&lt;55,"45-54","55+"))))</f>
        <v>55+</v>
      </c>
      <c r="AK89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899" t="str">
        <f>IF(HR_Cleaned[[#This Row],[MonthlyIncome]]&lt;3000,"Below 3000",IF(HR_Cleaned[[#This Row],[MonthlyIncome]]&lt;5000,"3000-4999",IF(HR_Cleaned[[#This Row],[MonthlyIncome]]&lt;8000,"5000-7999","8000+")))</f>
        <v>5000-7999</v>
      </c>
      <c r="AM899">
        <f>IF(HR_Cleaned[[#This Row],[Attrition]]="Yes",1,0)</f>
        <v>0</v>
      </c>
    </row>
    <row r="900" spans="1:39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>
        <f>IF(HR_Cleaned[[#This Row],[Age]]&lt;25,"18-24",IF(HR_Cleaned[[#This Row],[Age]]&lt;35,"25-34",IF(HR_Cleaned[[#This Row],[Age]]&lt;45,"35-44",IF(HR_Cleaned[[#This Row],[Age]]&lt;55,"45-54","55+"))))</f>
        <v>35-44</v>
      </c>
      <c r="AK90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00" t="str">
        <f>IF(HR_Cleaned[[#This Row],[MonthlyIncome]]&lt;3000,"Below 3000",IF(HR_Cleaned[[#This Row],[MonthlyIncome]]&lt;5000,"3000-4999",IF(HR_Cleaned[[#This Row],[MonthlyIncome]]&lt;8000,"5000-7999","8000+")))</f>
        <v>8000+</v>
      </c>
      <c r="AM900">
        <f>IF(HR_Cleaned[[#This Row],[Attrition]]="Yes",1,0)</f>
        <v>0</v>
      </c>
    </row>
    <row r="901" spans="1:39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>
        <f>IF(HR_Cleaned[[#This Row],[Age]]&lt;25,"18-24",IF(HR_Cleaned[[#This Row],[Age]]&lt;35,"25-34",IF(HR_Cleaned[[#This Row],[Age]]&lt;45,"35-44",IF(HR_Cleaned[[#This Row],[Age]]&lt;55,"45-54","55+"))))</f>
        <v>45-54</v>
      </c>
      <c r="AK90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901" t="str">
        <f>IF(HR_Cleaned[[#This Row],[MonthlyIncome]]&lt;3000,"Below 3000",IF(HR_Cleaned[[#This Row],[MonthlyIncome]]&lt;5000,"3000-4999",IF(HR_Cleaned[[#This Row],[MonthlyIncome]]&lt;8000,"5000-7999","8000+")))</f>
        <v>8000+</v>
      </c>
      <c r="AM901">
        <f>IF(HR_Cleaned[[#This Row],[Attrition]]="Yes",1,0)</f>
        <v>0</v>
      </c>
    </row>
    <row r="902" spans="1:39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>
        <f>IF(HR_Cleaned[[#This Row],[Age]]&lt;25,"18-24",IF(HR_Cleaned[[#This Row],[Age]]&lt;35,"25-34",IF(HR_Cleaned[[#This Row],[Age]]&lt;45,"35-44",IF(HR_Cleaned[[#This Row],[Age]]&lt;55,"45-54","55+"))))</f>
        <v>35-44</v>
      </c>
      <c r="AK90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02" t="str">
        <f>IF(HR_Cleaned[[#This Row],[MonthlyIncome]]&lt;3000,"Below 3000",IF(HR_Cleaned[[#This Row],[MonthlyIncome]]&lt;5000,"3000-4999",IF(HR_Cleaned[[#This Row],[MonthlyIncome]]&lt;8000,"5000-7999","8000+")))</f>
        <v>3000-4999</v>
      </c>
      <c r="AM902">
        <f>IF(HR_Cleaned[[#This Row],[Attrition]]="Yes",1,0)</f>
        <v>0</v>
      </c>
    </row>
    <row r="903" spans="1:39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>
        <f>IF(HR_Cleaned[[#This Row],[Age]]&lt;25,"18-24",IF(HR_Cleaned[[#This Row],[Age]]&lt;35,"25-34",IF(HR_Cleaned[[#This Row],[Age]]&lt;45,"35-44",IF(HR_Cleaned[[#This Row],[Age]]&lt;55,"45-54","55+"))))</f>
        <v>45-54</v>
      </c>
      <c r="AK90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903" t="str">
        <f>IF(HR_Cleaned[[#This Row],[MonthlyIncome]]&lt;3000,"Below 3000",IF(HR_Cleaned[[#This Row],[MonthlyIncome]]&lt;5000,"3000-4999",IF(HR_Cleaned[[#This Row],[MonthlyIncome]]&lt;8000,"5000-7999","8000+")))</f>
        <v>Below 3000</v>
      </c>
      <c r="AM903">
        <f>IF(HR_Cleaned[[#This Row],[Attrition]]="Yes",1,0)</f>
        <v>0</v>
      </c>
    </row>
    <row r="904" spans="1:39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>
        <f>IF(HR_Cleaned[[#This Row],[Age]]&lt;25,"18-24",IF(HR_Cleaned[[#This Row],[Age]]&lt;35,"25-34",IF(HR_Cleaned[[#This Row],[Age]]&lt;45,"35-44",IF(HR_Cleaned[[#This Row],[Age]]&lt;55,"45-54","55+"))))</f>
        <v>25-34</v>
      </c>
      <c r="AK90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04" t="str">
        <f>IF(HR_Cleaned[[#This Row],[MonthlyIncome]]&lt;3000,"Below 3000",IF(HR_Cleaned[[#This Row],[MonthlyIncome]]&lt;5000,"3000-4999",IF(HR_Cleaned[[#This Row],[MonthlyIncome]]&lt;8000,"5000-7999","8000+")))</f>
        <v>Below 3000</v>
      </c>
      <c r="AM904">
        <f>IF(HR_Cleaned[[#This Row],[Attrition]]="Yes",1,0)</f>
        <v>0</v>
      </c>
    </row>
    <row r="905" spans="1:39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>
        <f>IF(HR_Cleaned[[#This Row],[Age]]&lt;25,"18-24",IF(HR_Cleaned[[#This Row],[Age]]&lt;35,"25-34",IF(HR_Cleaned[[#This Row],[Age]]&lt;45,"35-44",IF(HR_Cleaned[[#This Row],[Age]]&lt;55,"45-54","55+"))))</f>
        <v>25-34</v>
      </c>
      <c r="AK90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05" t="str">
        <f>IF(HR_Cleaned[[#This Row],[MonthlyIncome]]&lt;3000,"Below 3000",IF(HR_Cleaned[[#This Row],[MonthlyIncome]]&lt;5000,"3000-4999",IF(HR_Cleaned[[#This Row],[MonthlyIncome]]&lt;8000,"5000-7999","8000+")))</f>
        <v>5000-7999</v>
      </c>
      <c r="AM905">
        <f>IF(HR_Cleaned[[#This Row],[Attrition]]="Yes",1,0)</f>
        <v>0</v>
      </c>
    </row>
    <row r="906" spans="1:39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>
        <f>IF(HR_Cleaned[[#This Row],[Age]]&lt;25,"18-24",IF(HR_Cleaned[[#This Row],[Age]]&lt;35,"25-34",IF(HR_Cleaned[[#This Row],[Age]]&lt;45,"35-44",IF(HR_Cleaned[[#This Row],[Age]]&lt;55,"45-54","55+"))))</f>
        <v>45-54</v>
      </c>
      <c r="AK90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906" t="str">
        <f>IF(HR_Cleaned[[#This Row],[MonthlyIncome]]&lt;3000,"Below 3000",IF(HR_Cleaned[[#This Row],[MonthlyIncome]]&lt;5000,"3000-4999",IF(HR_Cleaned[[#This Row],[MonthlyIncome]]&lt;8000,"5000-7999","8000+")))</f>
        <v>8000+</v>
      </c>
      <c r="AM906">
        <f>IF(HR_Cleaned[[#This Row],[Attrition]]="Yes",1,0)</f>
        <v>0</v>
      </c>
    </row>
    <row r="907" spans="1:39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>
        <f>IF(HR_Cleaned[[#This Row],[Age]]&lt;25,"18-24",IF(HR_Cleaned[[#This Row],[Age]]&lt;35,"25-34",IF(HR_Cleaned[[#This Row],[Age]]&lt;45,"35-44",IF(HR_Cleaned[[#This Row],[Age]]&lt;55,"45-54","55+"))))</f>
        <v>25-34</v>
      </c>
      <c r="AK90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07" t="str">
        <f>IF(HR_Cleaned[[#This Row],[MonthlyIncome]]&lt;3000,"Below 3000",IF(HR_Cleaned[[#This Row],[MonthlyIncome]]&lt;5000,"3000-4999",IF(HR_Cleaned[[#This Row],[MonthlyIncome]]&lt;8000,"5000-7999","8000+")))</f>
        <v>8000+</v>
      </c>
      <c r="AM907">
        <f>IF(HR_Cleaned[[#This Row],[Attrition]]="Yes",1,0)</f>
        <v>0</v>
      </c>
    </row>
    <row r="908" spans="1:39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>
        <f>IF(HR_Cleaned[[#This Row],[Age]]&lt;25,"18-24",IF(HR_Cleaned[[#This Row],[Age]]&lt;35,"25-34",IF(HR_Cleaned[[#This Row],[Age]]&lt;45,"35-44",IF(HR_Cleaned[[#This Row],[Age]]&lt;55,"45-54","55+"))))</f>
        <v>25-34</v>
      </c>
      <c r="AK90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908" t="str">
        <f>IF(HR_Cleaned[[#This Row],[MonthlyIncome]]&lt;3000,"Below 3000",IF(HR_Cleaned[[#This Row],[MonthlyIncome]]&lt;5000,"3000-4999",IF(HR_Cleaned[[#This Row],[MonthlyIncome]]&lt;8000,"5000-7999","8000+")))</f>
        <v>Below 3000</v>
      </c>
      <c r="AM908">
        <f>IF(HR_Cleaned[[#This Row],[Attrition]]="Yes",1,0)</f>
        <v>0</v>
      </c>
    </row>
    <row r="909" spans="1:39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>
        <f>IF(HR_Cleaned[[#This Row],[Age]]&lt;25,"18-24",IF(HR_Cleaned[[#This Row],[Age]]&lt;35,"25-34",IF(HR_Cleaned[[#This Row],[Age]]&lt;45,"35-44",IF(HR_Cleaned[[#This Row],[Age]]&lt;55,"45-54","55+"))))</f>
        <v>35-44</v>
      </c>
      <c r="AK90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09" t="str">
        <f>IF(HR_Cleaned[[#This Row],[MonthlyIncome]]&lt;3000,"Below 3000",IF(HR_Cleaned[[#This Row],[MonthlyIncome]]&lt;5000,"3000-4999",IF(HR_Cleaned[[#This Row],[MonthlyIncome]]&lt;8000,"5000-7999","8000+")))</f>
        <v>8000+</v>
      </c>
      <c r="AM909">
        <f>IF(HR_Cleaned[[#This Row],[Attrition]]="Yes",1,0)</f>
        <v>0</v>
      </c>
    </row>
    <row r="910" spans="1:39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>
        <f>IF(HR_Cleaned[[#This Row],[Age]]&lt;25,"18-24",IF(HR_Cleaned[[#This Row],[Age]]&lt;35,"25-34",IF(HR_Cleaned[[#This Row],[Age]]&lt;45,"35-44",IF(HR_Cleaned[[#This Row],[Age]]&lt;55,"45-54","55+"))))</f>
        <v>25-34</v>
      </c>
      <c r="AK91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10" t="str">
        <f>IF(HR_Cleaned[[#This Row],[MonthlyIncome]]&lt;3000,"Below 3000",IF(HR_Cleaned[[#This Row],[MonthlyIncome]]&lt;5000,"3000-4999",IF(HR_Cleaned[[#This Row],[MonthlyIncome]]&lt;8000,"5000-7999","8000+")))</f>
        <v>8000+</v>
      </c>
      <c r="AM910">
        <f>IF(HR_Cleaned[[#This Row],[Attrition]]="Yes",1,0)</f>
        <v>0</v>
      </c>
    </row>
    <row r="911" spans="1:39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>
        <f>IF(HR_Cleaned[[#This Row],[Age]]&lt;25,"18-24",IF(HR_Cleaned[[#This Row],[Age]]&lt;35,"25-34",IF(HR_Cleaned[[#This Row],[Age]]&lt;45,"35-44",IF(HR_Cleaned[[#This Row],[Age]]&lt;55,"45-54","55+"))))</f>
        <v>18-24</v>
      </c>
      <c r="AK91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911" t="str">
        <f>IF(HR_Cleaned[[#This Row],[MonthlyIncome]]&lt;3000,"Below 3000",IF(HR_Cleaned[[#This Row],[MonthlyIncome]]&lt;5000,"3000-4999",IF(HR_Cleaned[[#This Row],[MonthlyIncome]]&lt;8000,"5000-7999","8000+")))</f>
        <v>Below 3000</v>
      </c>
      <c r="AM911">
        <f>IF(HR_Cleaned[[#This Row],[Attrition]]="Yes",1,0)</f>
        <v>0</v>
      </c>
    </row>
    <row r="912" spans="1:39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>
        <f>IF(HR_Cleaned[[#This Row],[Age]]&lt;25,"18-24",IF(HR_Cleaned[[#This Row],[Age]]&lt;35,"25-34",IF(HR_Cleaned[[#This Row],[Age]]&lt;45,"35-44",IF(HR_Cleaned[[#This Row],[Age]]&lt;55,"45-54","55+"))))</f>
        <v>18-24</v>
      </c>
      <c r="AK91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912" t="str">
        <f>IF(HR_Cleaned[[#This Row],[MonthlyIncome]]&lt;3000,"Below 3000",IF(HR_Cleaned[[#This Row],[MonthlyIncome]]&lt;5000,"3000-4999",IF(HR_Cleaned[[#This Row],[MonthlyIncome]]&lt;8000,"5000-7999","8000+")))</f>
        <v>Below 3000</v>
      </c>
      <c r="AM912">
        <f>IF(HR_Cleaned[[#This Row],[Attrition]]="Yes",1,0)</f>
        <v>0</v>
      </c>
    </row>
    <row r="913" spans="1:39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>
        <f>IF(HR_Cleaned[[#This Row],[Age]]&lt;25,"18-24",IF(HR_Cleaned[[#This Row],[Age]]&lt;35,"25-34",IF(HR_Cleaned[[#This Row],[Age]]&lt;45,"35-44",IF(HR_Cleaned[[#This Row],[Age]]&lt;55,"45-54","55+"))))</f>
        <v>25-34</v>
      </c>
      <c r="AK91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913" t="str">
        <f>IF(HR_Cleaned[[#This Row],[MonthlyIncome]]&lt;3000,"Below 3000",IF(HR_Cleaned[[#This Row],[MonthlyIncome]]&lt;5000,"3000-4999",IF(HR_Cleaned[[#This Row],[MonthlyIncome]]&lt;8000,"5000-7999","8000+")))</f>
        <v>Below 3000</v>
      </c>
      <c r="AM913">
        <f>IF(HR_Cleaned[[#This Row],[Attrition]]="Yes",1,0)</f>
        <v>1</v>
      </c>
    </row>
    <row r="914" spans="1:39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>
        <f>IF(HR_Cleaned[[#This Row],[Age]]&lt;25,"18-24",IF(HR_Cleaned[[#This Row],[Age]]&lt;35,"25-34",IF(HR_Cleaned[[#This Row],[Age]]&lt;45,"35-44",IF(HR_Cleaned[[#This Row],[Age]]&lt;55,"45-54","55+"))))</f>
        <v>25-34</v>
      </c>
      <c r="AK91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14" t="str">
        <f>IF(HR_Cleaned[[#This Row],[MonthlyIncome]]&lt;3000,"Below 3000",IF(HR_Cleaned[[#This Row],[MonthlyIncome]]&lt;5000,"3000-4999",IF(HR_Cleaned[[#This Row],[MonthlyIncome]]&lt;8000,"5000-7999","8000+")))</f>
        <v>Below 3000</v>
      </c>
      <c r="AM914">
        <f>IF(HR_Cleaned[[#This Row],[Attrition]]="Yes",1,0)</f>
        <v>0</v>
      </c>
    </row>
    <row r="915" spans="1:39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>
        <f>IF(HR_Cleaned[[#This Row],[Age]]&lt;25,"18-24",IF(HR_Cleaned[[#This Row],[Age]]&lt;35,"25-34",IF(HR_Cleaned[[#This Row],[Age]]&lt;45,"35-44",IF(HR_Cleaned[[#This Row],[Age]]&lt;55,"45-54","55+"))))</f>
        <v>45-54</v>
      </c>
      <c r="AK91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15" t="str">
        <f>IF(HR_Cleaned[[#This Row],[MonthlyIncome]]&lt;3000,"Below 3000",IF(HR_Cleaned[[#This Row],[MonthlyIncome]]&lt;5000,"3000-4999",IF(HR_Cleaned[[#This Row],[MonthlyIncome]]&lt;8000,"5000-7999","8000+")))</f>
        <v>8000+</v>
      </c>
      <c r="AM915">
        <f>IF(HR_Cleaned[[#This Row],[Attrition]]="Yes",1,0)</f>
        <v>1</v>
      </c>
    </row>
    <row r="916" spans="1:39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>
        <f>IF(HR_Cleaned[[#This Row],[Age]]&lt;25,"18-24",IF(HR_Cleaned[[#This Row],[Age]]&lt;35,"25-34",IF(HR_Cleaned[[#This Row],[Age]]&lt;45,"35-44",IF(HR_Cleaned[[#This Row],[Age]]&lt;55,"45-54","55+"))))</f>
        <v>55+</v>
      </c>
      <c r="AK916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16" t="str">
        <f>IF(HR_Cleaned[[#This Row],[MonthlyIncome]]&lt;3000,"Below 3000",IF(HR_Cleaned[[#This Row],[MonthlyIncome]]&lt;5000,"3000-4999",IF(HR_Cleaned[[#This Row],[MonthlyIncome]]&lt;8000,"5000-7999","8000+")))</f>
        <v>8000+</v>
      </c>
      <c r="AM916">
        <f>IF(HR_Cleaned[[#This Row],[Attrition]]="Yes",1,0)</f>
        <v>0</v>
      </c>
    </row>
    <row r="917" spans="1:39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>
        <f>IF(HR_Cleaned[[#This Row],[Age]]&lt;25,"18-24",IF(HR_Cleaned[[#This Row],[Age]]&lt;35,"25-34",IF(HR_Cleaned[[#This Row],[Age]]&lt;45,"35-44",IF(HR_Cleaned[[#This Row],[Age]]&lt;55,"45-54","55+"))))</f>
        <v>18-24</v>
      </c>
      <c r="AK91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917" t="str">
        <f>IF(HR_Cleaned[[#This Row],[MonthlyIncome]]&lt;3000,"Below 3000",IF(HR_Cleaned[[#This Row],[MonthlyIncome]]&lt;5000,"3000-4999",IF(HR_Cleaned[[#This Row],[MonthlyIncome]]&lt;8000,"5000-7999","8000+")))</f>
        <v>Below 3000</v>
      </c>
      <c r="AM917">
        <f>IF(HR_Cleaned[[#This Row],[Attrition]]="Yes",1,0)</f>
        <v>1</v>
      </c>
    </row>
    <row r="918" spans="1:39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>
        <f>IF(HR_Cleaned[[#This Row],[Age]]&lt;25,"18-24",IF(HR_Cleaned[[#This Row],[Age]]&lt;35,"25-34",IF(HR_Cleaned[[#This Row],[Age]]&lt;45,"35-44",IF(HR_Cleaned[[#This Row],[Age]]&lt;55,"45-54","55+"))))</f>
        <v>45-54</v>
      </c>
      <c r="AK91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18" t="str">
        <f>IF(HR_Cleaned[[#This Row],[MonthlyIncome]]&lt;3000,"Below 3000",IF(HR_Cleaned[[#This Row],[MonthlyIncome]]&lt;5000,"3000-4999",IF(HR_Cleaned[[#This Row],[MonthlyIncome]]&lt;8000,"5000-7999","8000+")))</f>
        <v>8000+</v>
      </c>
      <c r="AM918">
        <f>IF(HR_Cleaned[[#This Row],[Attrition]]="Yes",1,0)</f>
        <v>0</v>
      </c>
    </row>
    <row r="919" spans="1:39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>
        <f>IF(HR_Cleaned[[#This Row],[Age]]&lt;25,"18-24",IF(HR_Cleaned[[#This Row],[Age]]&lt;35,"25-34",IF(HR_Cleaned[[#This Row],[Age]]&lt;45,"35-44",IF(HR_Cleaned[[#This Row],[Age]]&lt;55,"45-54","55+"))))</f>
        <v>25-34</v>
      </c>
      <c r="AK91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19" t="str">
        <f>IF(HR_Cleaned[[#This Row],[MonthlyIncome]]&lt;3000,"Below 3000",IF(HR_Cleaned[[#This Row],[MonthlyIncome]]&lt;5000,"3000-4999",IF(HR_Cleaned[[#This Row],[MonthlyIncome]]&lt;8000,"5000-7999","8000+")))</f>
        <v>3000-4999</v>
      </c>
      <c r="AM919">
        <f>IF(HR_Cleaned[[#This Row],[Attrition]]="Yes",1,0)</f>
        <v>0</v>
      </c>
    </row>
    <row r="920" spans="1:39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>
        <f>IF(HR_Cleaned[[#This Row],[Age]]&lt;25,"18-24",IF(HR_Cleaned[[#This Row],[Age]]&lt;35,"25-34",IF(HR_Cleaned[[#This Row],[Age]]&lt;45,"35-44",IF(HR_Cleaned[[#This Row],[Age]]&lt;55,"45-54","55+"))))</f>
        <v>45-54</v>
      </c>
      <c r="AK92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20" t="str">
        <f>IF(HR_Cleaned[[#This Row],[MonthlyIncome]]&lt;3000,"Below 3000",IF(HR_Cleaned[[#This Row],[MonthlyIncome]]&lt;5000,"3000-4999",IF(HR_Cleaned[[#This Row],[MonthlyIncome]]&lt;8000,"5000-7999","8000+")))</f>
        <v>8000+</v>
      </c>
      <c r="AM920">
        <f>IF(HR_Cleaned[[#This Row],[Attrition]]="Yes",1,0)</f>
        <v>0</v>
      </c>
    </row>
    <row r="921" spans="1:39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>
        <f>IF(HR_Cleaned[[#This Row],[Age]]&lt;25,"18-24",IF(HR_Cleaned[[#This Row],[Age]]&lt;35,"25-34",IF(HR_Cleaned[[#This Row],[Age]]&lt;45,"35-44",IF(HR_Cleaned[[#This Row],[Age]]&lt;55,"45-54","55+"))))</f>
        <v>55+</v>
      </c>
      <c r="AK92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21" t="str">
        <f>IF(HR_Cleaned[[#This Row],[MonthlyIncome]]&lt;3000,"Below 3000",IF(HR_Cleaned[[#This Row],[MonthlyIncome]]&lt;5000,"3000-4999",IF(HR_Cleaned[[#This Row],[MonthlyIncome]]&lt;8000,"5000-7999","8000+")))</f>
        <v>8000+</v>
      </c>
      <c r="AM921">
        <f>IF(HR_Cleaned[[#This Row],[Attrition]]="Yes",1,0)</f>
        <v>0</v>
      </c>
    </row>
    <row r="922" spans="1:39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>
        <f>IF(HR_Cleaned[[#This Row],[Age]]&lt;25,"18-24",IF(HR_Cleaned[[#This Row],[Age]]&lt;35,"25-34",IF(HR_Cleaned[[#This Row],[Age]]&lt;45,"35-44",IF(HR_Cleaned[[#This Row],[Age]]&lt;55,"45-54","55+"))))</f>
        <v>25-34</v>
      </c>
      <c r="AK92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22" t="str">
        <f>IF(HR_Cleaned[[#This Row],[MonthlyIncome]]&lt;3000,"Below 3000",IF(HR_Cleaned[[#This Row],[MonthlyIncome]]&lt;5000,"3000-4999",IF(HR_Cleaned[[#This Row],[MonthlyIncome]]&lt;8000,"5000-7999","8000+")))</f>
        <v>3000-4999</v>
      </c>
      <c r="AM922">
        <f>IF(HR_Cleaned[[#This Row],[Attrition]]="Yes",1,0)</f>
        <v>0</v>
      </c>
    </row>
    <row r="923" spans="1:39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>
        <f>IF(HR_Cleaned[[#This Row],[Age]]&lt;25,"18-24",IF(HR_Cleaned[[#This Row],[Age]]&lt;35,"25-34",IF(HR_Cleaned[[#This Row],[Age]]&lt;45,"35-44",IF(HR_Cleaned[[#This Row],[Age]]&lt;55,"45-54","55+"))))</f>
        <v>25-34</v>
      </c>
      <c r="AK92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23" t="str">
        <f>IF(HR_Cleaned[[#This Row],[MonthlyIncome]]&lt;3000,"Below 3000",IF(HR_Cleaned[[#This Row],[MonthlyIncome]]&lt;5000,"3000-4999",IF(HR_Cleaned[[#This Row],[MonthlyIncome]]&lt;8000,"5000-7999","8000+")))</f>
        <v>Below 3000</v>
      </c>
      <c r="AM923">
        <f>IF(HR_Cleaned[[#This Row],[Attrition]]="Yes",1,0)</f>
        <v>0</v>
      </c>
    </row>
    <row r="924" spans="1:39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>
        <f>IF(HR_Cleaned[[#This Row],[Age]]&lt;25,"18-24",IF(HR_Cleaned[[#This Row],[Age]]&lt;35,"25-34",IF(HR_Cleaned[[#This Row],[Age]]&lt;45,"35-44",IF(HR_Cleaned[[#This Row],[Age]]&lt;55,"45-54","55+"))))</f>
        <v>35-44</v>
      </c>
      <c r="AK924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24" t="str">
        <f>IF(HR_Cleaned[[#This Row],[MonthlyIncome]]&lt;3000,"Below 3000",IF(HR_Cleaned[[#This Row],[MonthlyIncome]]&lt;5000,"3000-4999",IF(HR_Cleaned[[#This Row],[MonthlyIncome]]&lt;8000,"5000-7999","8000+")))</f>
        <v>8000+</v>
      </c>
      <c r="AM924">
        <f>IF(HR_Cleaned[[#This Row],[Attrition]]="Yes",1,0)</f>
        <v>0</v>
      </c>
    </row>
    <row r="925" spans="1:39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>
        <f>IF(HR_Cleaned[[#This Row],[Age]]&lt;25,"18-24",IF(HR_Cleaned[[#This Row],[Age]]&lt;35,"25-34",IF(HR_Cleaned[[#This Row],[Age]]&lt;45,"35-44",IF(HR_Cleaned[[#This Row],[Age]]&lt;55,"45-54","55+"))))</f>
        <v>25-34</v>
      </c>
      <c r="AK92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25" t="str">
        <f>IF(HR_Cleaned[[#This Row],[MonthlyIncome]]&lt;3000,"Below 3000",IF(HR_Cleaned[[#This Row],[MonthlyIncome]]&lt;5000,"3000-4999",IF(HR_Cleaned[[#This Row],[MonthlyIncome]]&lt;8000,"5000-7999","8000+")))</f>
        <v>3000-4999</v>
      </c>
      <c r="AM925">
        <f>IF(HR_Cleaned[[#This Row],[Attrition]]="Yes",1,0)</f>
        <v>0</v>
      </c>
    </row>
    <row r="926" spans="1:39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>
        <f>IF(HR_Cleaned[[#This Row],[Age]]&lt;25,"18-24",IF(HR_Cleaned[[#This Row],[Age]]&lt;35,"25-34",IF(HR_Cleaned[[#This Row],[Age]]&lt;45,"35-44",IF(HR_Cleaned[[#This Row],[Age]]&lt;55,"45-54","55+"))))</f>
        <v>35-44</v>
      </c>
      <c r="AK92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26" t="str">
        <f>IF(HR_Cleaned[[#This Row],[MonthlyIncome]]&lt;3000,"Below 3000",IF(HR_Cleaned[[#This Row],[MonthlyIncome]]&lt;5000,"3000-4999",IF(HR_Cleaned[[#This Row],[MonthlyIncome]]&lt;8000,"5000-7999","8000+")))</f>
        <v>3000-4999</v>
      </c>
      <c r="AM926">
        <f>IF(HR_Cleaned[[#This Row],[Attrition]]="Yes",1,0)</f>
        <v>0</v>
      </c>
    </row>
    <row r="927" spans="1:39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>
        <f>IF(HR_Cleaned[[#This Row],[Age]]&lt;25,"18-24",IF(HR_Cleaned[[#This Row],[Age]]&lt;35,"25-34",IF(HR_Cleaned[[#This Row],[Age]]&lt;45,"35-44",IF(HR_Cleaned[[#This Row],[Age]]&lt;55,"45-54","55+"))))</f>
        <v>35-44</v>
      </c>
      <c r="AK92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927" t="str">
        <f>IF(HR_Cleaned[[#This Row],[MonthlyIncome]]&lt;3000,"Below 3000",IF(HR_Cleaned[[#This Row],[MonthlyIncome]]&lt;5000,"3000-4999",IF(HR_Cleaned[[#This Row],[MonthlyIncome]]&lt;8000,"5000-7999","8000+")))</f>
        <v>Below 3000</v>
      </c>
      <c r="AM927">
        <f>IF(HR_Cleaned[[#This Row],[Attrition]]="Yes",1,0)</f>
        <v>0</v>
      </c>
    </row>
    <row r="928" spans="1:39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>
        <f>IF(HR_Cleaned[[#This Row],[Age]]&lt;25,"18-24",IF(HR_Cleaned[[#This Row],[Age]]&lt;35,"25-34",IF(HR_Cleaned[[#This Row],[Age]]&lt;45,"35-44",IF(HR_Cleaned[[#This Row],[Age]]&lt;55,"45-54","55+"))))</f>
        <v>35-44</v>
      </c>
      <c r="AK92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28" t="str">
        <f>IF(HR_Cleaned[[#This Row],[MonthlyIncome]]&lt;3000,"Below 3000",IF(HR_Cleaned[[#This Row],[MonthlyIncome]]&lt;5000,"3000-4999",IF(HR_Cleaned[[#This Row],[MonthlyIncome]]&lt;8000,"5000-7999","8000+")))</f>
        <v>8000+</v>
      </c>
      <c r="AM928">
        <f>IF(HR_Cleaned[[#This Row],[Attrition]]="Yes",1,0)</f>
        <v>0</v>
      </c>
    </row>
    <row r="929" spans="1:39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>
        <f>IF(HR_Cleaned[[#This Row],[Age]]&lt;25,"18-24",IF(HR_Cleaned[[#This Row],[Age]]&lt;35,"25-34",IF(HR_Cleaned[[#This Row],[Age]]&lt;45,"35-44",IF(HR_Cleaned[[#This Row],[Age]]&lt;55,"45-54","55+"))))</f>
        <v>35-44</v>
      </c>
      <c r="AK92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29" t="str">
        <f>IF(HR_Cleaned[[#This Row],[MonthlyIncome]]&lt;3000,"Below 3000",IF(HR_Cleaned[[#This Row],[MonthlyIncome]]&lt;5000,"3000-4999",IF(HR_Cleaned[[#This Row],[MonthlyIncome]]&lt;8000,"5000-7999","8000+")))</f>
        <v>5000-7999</v>
      </c>
      <c r="AM929">
        <f>IF(HR_Cleaned[[#This Row],[Attrition]]="Yes",1,0)</f>
        <v>0</v>
      </c>
    </row>
    <row r="930" spans="1:39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>
        <f>IF(HR_Cleaned[[#This Row],[Age]]&lt;25,"18-24",IF(HR_Cleaned[[#This Row],[Age]]&lt;35,"25-34",IF(HR_Cleaned[[#This Row],[Age]]&lt;45,"35-44",IF(HR_Cleaned[[#This Row],[Age]]&lt;55,"45-54","55+"))))</f>
        <v>35-44</v>
      </c>
      <c r="AK93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30" t="str">
        <f>IF(HR_Cleaned[[#This Row],[MonthlyIncome]]&lt;3000,"Below 3000",IF(HR_Cleaned[[#This Row],[MonthlyIncome]]&lt;5000,"3000-4999",IF(HR_Cleaned[[#This Row],[MonthlyIncome]]&lt;8000,"5000-7999","8000+")))</f>
        <v>5000-7999</v>
      </c>
      <c r="AM930">
        <f>IF(HR_Cleaned[[#This Row],[Attrition]]="Yes",1,0)</f>
        <v>1</v>
      </c>
    </row>
    <row r="931" spans="1:39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>
        <f>IF(HR_Cleaned[[#This Row],[Age]]&lt;25,"18-24",IF(HR_Cleaned[[#This Row],[Age]]&lt;35,"25-34",IF(HR_Cleaned[[#This Row],[Age]]&lt;45,"35-44",IF(HR_Cleaned[[#This Row],[Age]]&lt;55,"45-54","55+"))))</f>
        <v>25-34</v>
      </c>
      <c r="AK93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931" t="str">
        <f>IF(HR_Cleaned[[#This Row],[MonthlyIncome]]&lt;3000,"Below 3000",IF(HR_Cleaned[[#This Row],[MonthlyIncome]]&lt;5000,"3000-4999",IF(HR_Cleaned[[#This Row],[MonthlyIncome]]&lt;8000,"5000-7999","8000+")))</f>
        <v>3000-4999</v>
      </c>
      <c r="AM931">
        <f>IF(HR_Cleaned[[#This Row],[Attrition]]="Yes",1,0)</f>
        <v>0</v>
      </c>
    </row>
    <row r="932" spans="1:39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>
        <f>IF(HR_Cleaned[[#This Row],[Age]]&lt;25,"18-24",IF(HR_Cleaned[[#This Row],[Age]]&lt;35,"25-34",IF(HR_Cleaned[[#This Row],[Age]]&lt;45,"35-44",IF(HR_Cleaned[[#This Row],[Age]]&lt;55,"45-54","55+"))))</f>
        <v>45-54</v>
      </c>
      <c r="AK93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32" t="str">
        <f>IF(HR_Cleaned[[#This Row],[MonthlyIncome]]&lt;3000,"Below 3000",IF(HR_Cleaned[[#This Row],[MonthlyIncome]]&lt;5000,"3000-4999",IF(HR_Cleaned[[#This Row],[MonthlyIncome]]&lt;8000,"5000-7999","8000+")))</f>
        <v>Below 3000</v>
      </c>
      <c r="AM932">
        <f>IF(HR_Cleaned[[#This Row],[Attrition]]="Yes",1,0)</f>
        <v>0</v>
      </c>
    </row>
    <row r="933" spans="1:39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>
        <f>IF(HR_Cleaned[[#This Row],[Age]]&lt;25,"18-24",IF(HR_Cleaned[[#This Row],[Age]]&lt;35,"25-34",IF(HR_Cleaned[[#This Row],[Age]]&lt;45,"35-44",IF(HR_Cleaned[[#This Row],[Age]]&lt;55,"45-54","55+"))))</f>
        <v>25-34</v>
      </c>
      <c r="AK93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33" t="str">
        <f>IF(HR_Cleaned[[#This Row],[MonthlyIncome]]&lt;3000,"Below 3000",IF(HR_Cleaned[[#This Row],[MonthlyIncome]]&lt;5000,"3000-4999",IF(HR_Cleaned[[#This Row],[MonthlyIncome]]&lt;8000,"5000-7999","8000+")))</f>
        <v>3000-4999</v>
      </c>
      <c r="AM933">
        <f>IF(HR_Cleaned[[#This Row],[Attrition]]="Yes",1,0)</f>
        <v>0</v>
      </c>
    </row>
    <row r="934" spans="1:39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>
        <f>IF(HR_Cleaned[[#This Row],[Age]]&lt;25,"18-24",IF(HR_Cleaned[[#This Row],[Age]]&lt;35,"25-34",IF(HR_Cleaned[[#This Row],[Age]]&lt;45,"35-44",IF(HR_Cleaned[[#This Row],[Age]]&lt;55,"45-54","55+"))))</f>
        <v>25-34</v>
      </c>
      <c r="AK93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34" t="str">
        <f>IF(HR_Cleaned[[#This Row],[MonthlyIncome]]&lt;3000,"Below 3000",IF(HR_Cleaned[[#This Row],[MonthlyIncome]]&lt;5000,"3000-4999",IF(HR_Cleaned[[#This Row],[MonthlyIncome]]&lt;8000,"5000-7999","8000+")))</f>
        <v>3000-4999</v>
      </c>
      <c r="AM934">
        <f>IF(HR_Cleaned[[#This Row],[Attrition]]="Yes",1,0)</f>
        <v>1</v>
      </c>
    </row>
    <row r="935" spans="1:39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>
        <f>IF(HR_Cleaned[[#This Row],[Age]]&lt;25,"18-24",IF(HR_Cleaned[[#This Row],[Age]]&lt;35,"25-34",IF(HR_Cleaned[[#This Row],[Age]]&lt;45,"35-44",IF(HR_Cleaned[[#This Row],[Age]]&lt;55,"45-54","55+"))))</f>
        <v>25-34</v>
      </c>
      <c r="AK93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35" t="str">
        <f>IF(HR_Cleaned[[#This Row],[MonthlyIncome]]&lt;3000,"Below 3000",IF(HR_Cleaned[[#This Row],[MonthlyIncome]]&lt;5000,"3000-4999",IF(HR_Cleaned[[#This Row],[MonthlyIncome]]&lt;8000,"5000-7999","8000+")))</f>
        <v>Below 3000</v>
      </c>
      <c r="AM935">
        <f>IF(HR_Cleaned[[#This Row],[Attrition]]="Yes",1,0)</f>
        <v>0</v>
      </c>
    </row>
    <row r="936" spans="1:39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>
        <f>IF(HR_Cleaned[[#This Row],[Age]]&lt;25,"18-24",IF(HR_Cleaned[[#This Row],[Age]]&lt;35,"25-34",IF(HR_Cleaned[[#This Row],[Age]]&lt;45,"35-44",IF(HR_Cleaned[[#This Row],[Age]]&lt;55,"45-54","55+"))))</f>
        <v>25-34</v>
      </c>
      <c r="AK93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936" t="str">
        <f>IF(HR_Cleaned[[#This Row],[MonthlyIncome]]&lt;3000,"Below 3000",IF(HR_Cleaned[[#This Row],[MonthlyIncome]]&lt;5000,"3000-4999",IF(HR_Cleaned[[#This Row],[MonthlyIncome]]&lt;8000,"5000-7999","8000+")))</f>
        <v>Below 3000</v>
      </c>
      <c r="AM936">
        <f>IF(HR_Cleaned[[#This Row],[Attrition]]="Yes",1,0)</f>
        <v>0</v>
      </c>
    </row>
    <row r="937" spans="1:39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>
        <f>IF(HR_Cleaned[[#This Row],[Age]]&lt;25,"18-24",IF(HR_Cleaned[[#This Row],[Age]]&lt;35,"25-34",IF(HR_Cleaned[[#This Row],[Age]]&lt;45,"35-44",IF(HR_Cleaned[[#This Row],[Age]]&lt;55,"45-54","55+"))))</f>
        <v>25-34</v>
      </c>
      <c r="AK93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37" t="str">
        <f>IF(HR_Cleaned[[#This Row],[MonthlyIncome]]&lt;3000,"Below 3000",IF(HR_Cleaned[[#This Row],[MonthlyIncome]]&lt;5000,"3000-4999",IF(HR_Cleaned[[#This Row],[MonthlyIncome]]&lt;8000,"5000-7999","8000+")))</f>
        <v>5000-7999</v>
      </c>
      <c r="AM937">
        <f>IF(HR_Cleaned[[#This Row],[Attrition]]="Yes",1,0)</f>
        <v>0</v>
      </c>
    </row>
    <row r="938" spans="1:39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>
        <f>IF(HR_Cleaned[[#This Row],[Age]]&lt;25,"18-24",IF(HR_Cleaned[[#This Row],[Age]]&lt;35,"25-34",IF(HR_Cleaned[[#This Row],[Age]]&lt;45,"35-44",IF(HR_Cleaned[[#This Row],[Age]]&lt;55,"45-54","55+"))))</f>
        <v>45-54</v>
      </c>
      <c r="AK93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938" t="str">
        <f>IF(HR_Cleaned[[#This Row],[MonthlyIncome]]&lt;3000,"Below 3000",IF(HR_Cleaned[[#This Row],[MonthlyIncome]]&lt;5000,"3000-4999",IF(HR_Cleaned[[#This Row],[MonthlyIncome]]&lt;8000,"5000-7999","8000+")))</f>
        <v>8000+</v>
      </c>
      <c r="AM938">
        <f>IF(HR_Cleaned[[#This Row],[Attrition]]="Yes",1,0)</f>
        <v>0</v>
      </c>
    </row>
    <row r="939" spans="1:39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>
        <f>IF(HR_Cleaned[[#This Row],[Age]]&lt;25,"18-24",IF(HR_Cleaned[[#This Row],[Age]]&lt;35,"25-34",IF(HR_Cleaned[[#This Row],[Age]]&lt;45,"35-44",IF(HR_Cleaned[[#This Row],[Age]]&lt;55,"45-54","55+"))))</f>
        <v>35-44</v>
      </c>
      <c r="AK93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39" t="str">
        <f>IF(HR_Cleaned[[#This Row],[MonthlyIncome]]&lt;3000,"Below 3000",IF(HR_Cleaned[[#This Row],[MonthlyIncome]]&lt;5000,"3000-4999",IF(HR_Cleaned[[#This Row],[MonthlyIncome]]&lt;8000,"5000-7999","8000+")))</f>
        <v>8000+</v>
      </c>
      <c r="AM939">
        <f>IF(HR_Cleaned[[#This Row],[Attrition]]="Yes",1,0)</f>
        <v>0</v>
      </c>
    </row>
    <row r="940" spans="1:39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>
        <f>IF(HR_Cleaned[[#This Row],[Age]]&lt;25,"18-24",IF(HR_Cleaned[[#This Row],[Age]]&lt;35,"25-34",IF(HR_Cleaned[[#This Row],[Age]]&lt;45,"35-44",IF(HR_Cleaned[[#This Row],[Age]]&lt;55,"45-54","55+"))))</f>
        <v>55+</v>
      </c>
      <c r="AK94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940" t="str">
        <f>IF(HR_Cleaned[[#This Row],[MonthlyIncome]]&lt;3000,"Below 3000",IF(HR_Cleaned[[#This Row],[MonthlyIncome]]&lt;5000,"3000-4999",IF(HR_Cleaned[[#This Row],[MonthlyIncome]]&lt;8000,"5000-7999","8000+")))</f>
        <v>Below 3000</v>
      </c>
      <c r="AM940">
        <f>IF(HR_Cleaned[[#This Row],[Attrition]]="Yes",1,0)</f>
        <v>0</v>
      </c>
    </row>
    <row r="941" spans="1:39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>
        <f>IF(HR_Cleaned[[#This Row],[Age]]&lt;25,"18-24",IF(HR_Cleaned[[#This Row],[Age]]&lt;35,"25-34",IF(HR_Cleaned[[#This Row],[Age]]&lt;45,"35-44",IF(HR_Cleaned[[#This Row],[Age]]&lt;55,"45-54","55+"))))</f>
        <v>25-34</v>
      </c>
      <c r="AK94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41" t="str">
        <f>IF(HR_Cleaned[[#This Row],[MonthlyIncome]]&lt;3000,"Below 3000",IF(HR_Cleaned[[#This Row],[MonthlyIncome]]&lt;5000,"3000-4999",IF(HR_Cleaned[[#This Row],[MonthlyIncome]]&lt;8000,"5000-7999","8000+")))</f>
        <v>3000-4999</v>
      </c>
      <c r="AM941">
        <f>IF(HR_Cleaned[[#This Row],[Attrition]]="Yes",1,0)</f>
        <v>1</v>
      </c>
    </row>
    <row r="942" spans="1:39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>
        <f>IF(HR_Cleaned[[#This Row],[Age]]&lt;25,"18-24",IF(HR_Cleaned[[#This Row],[Age]]&lt;35,"25-34",IF(HR_Cleaned[[#This Row],[Age]]&lt;45,"35-44",IF(HR_Cleaned[[#This Row],[Age]]&lt;55,"45-54","55+"))))</f>
        <v>35-44</v>
      </c>
      <c r="AK94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42" t="str">
        <f>IF(HR_Cleaned[[#This Row],[MonthlyIncome]]&lt;3000,"Below 3000",IF(HR_Cleaned[[#This Row],[MonthlyIncome]]&lt;5000,"3000-4999",IF(HR_Cleaned[[#This Row],[MonthlyIncome]]&lt;8000,"5000-7999","8000+")))</f>
        <v>3000-4999</v>
      </c>
      <c r="AM942">
        <f>IF(HR_Cleaned[[#This Row],[Attrition]]="Yes",1,0)</f>
        <v>1</v>
      </c>
    </row>
    <row r="943" spans="1:39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>
        <f>IF(HR_Cleaned[[#This Row],[Age]]&lt;25,"18-24",IF(HR_Cleaned[[#This Row],[Age]]&lt;35,"25-34",IF(HR_Cleaned[[#This Row],[Age]]&lt;45,"35-44",IF(HR_Cleaned[[#This Row],[Age]]&lt;55,"45-54","55+"))))</f>
        <v>25-34</v>
      </c>
      <c r="AK94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43" t="str">
        <f>IF(HR_Cleaned[[#This Row],[MonthlyIncome]]&lt;3000,"Below 3000",IF(HR_Cleaned[[#This Row],[MonthlyIncome]]&lt;5000,"3000-4999",IF(HR_Cleaned[[#This Row],[MonthlyIncome]]&lt;8000,"5000-7999","8000+")))</f>
        <v>3000-4999</v>
      </c>
      <c r="AM943">
        <f>IF(HR_Cleaned[[#This Row],[Attrition]]="Yes",1,0)</f>
        <v>0</v>
      </c>
    </row>
    <row r="944" spans="1:39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>
        <f>IF(HR_Cleaned[[#This Row],[Age]]&lt;25,"18-24",IF(HR_Cleaned[[#This Row],[Age]]&lt;35,"25-34",IF(HR_Cleaned[[#This Row],[Age]]&lt;45,"35-44",IF(HR_Cleaned[[#This Row],[Age]]&lt;55,"45-54","55+"))))</f>
        <v>35-44</v>
      </c>
      <c r="AK94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44" t="str">
        <f>IF(HR_Cleaned[[#This Row],[MonthlyIncome]]&lt;3000,"Below 3000",IF(HR_Cleaned[[#This Row],[MonthlyIncome]]&lt;5000,"3000-4999",IF(HR_Cleaned[[#This Row],[MonthlyIncome]]&lt;8000,"5000-7999","8000+")))</f>
        <v>5000-7999</v>
      </c>
      <c r="AM944">
        <f>IF(HR_Cleaned[[#This Row],[Attrition]]="Yes",1,0)</f>
        <v>0</v>
      </c>
    </row>
    <row r="945" spans="1:39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>
        <f>IF(HR_Cleaned[[#This Row],[Age]]&lt;25,"18-24",IF(HR_Cleaned[[#This Row],[Age]]&lt;35,"25-34",IF(HR_Cleaned[[#This Row],[Age]]&lt;45,"35-44",IF(HR_Cleaned[[#This Row],[Age]]&lt;55,"45-54","55+"))))</f>
        <v>45-54</v>
      </c>
      <c r="AK94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45" t="str">
        <f>IF(HR_Cleaned[[#This Row],[MonthlyIncome]]&lt;3000,"Below 3000",IF(HR_Cleaned[[#This Row],[MonthlyIncome]]&lt;5000,"3000-4999",IF(HR_Cleaned[[#This Row],[MonthlyIncome]]&lt;8000,"5000-7999","8000+")))</f>
        <v>3000-4999</v>
      </c>
      <c r="AM945">
        <f>IF(HR_Cleaned[[#This Row],[Attrition]]="Yes",1,0)</f>
        <v>0</v>
      </c>
    </row>
    <row r="946" spans="1:39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>
        <f>IF(HR_Cleaned[[#This Row],[Age]]&lt;25,"18-24",IF(HR_Cleaned[[#This Row],[Age]]&lt;35,"25-34",IF(HR_Cleaned[[#This Row],[Age]]&lt;45,"35-44",IF(HR_Cleaned[[#This Row],[Age]]&lt;55,"45-54","55+"))))</f>
        <v>25-34</v>
      </c>
      <c r="AK94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46" t="str">
        <f>IF(HR_Cleaned[[#This Row],[MonthlyIncome]]&lt;3000,"Below 3000",IF(HR_Cleaned[[#This Row],[MonthlyIncome]]&lt;5000,"3000-4999",IF(HR_Cleaned[[#This Row],[MonthlyIncome]]&lt;8000,"5000-7999","8000+")))</f>
        <v>5000-7999</v>
      </c>
      <c r="AM946">
        <f>IF(HR_Cleaned[[#This Row],[Attrition]]="Yes",1,0)</f>
        <v>0</v>
      </c>
    </row>
    <row r="947" spans="1:39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>
        <f>IF(HR_Cleaned[[#This Row],[Age]]&lt;25,"18-24",IF(HR_Cleaned[[#This Row],[Age]]&lt;35,"25-34",IF(HR_Cleaned[[#This Row],[Age]]&lt;45,"35-44",IF(HR_Cleaned[[#This Row],[Age]]&lt;55,"45-54","55+"))))</f>
        <v>45-54</v>
      </c>
      <c r="AK94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47" t="str">
        <f>IF(HR_Cleaned[[#This Row],[MonthlyIncome]]&lt;3000,"Below 3000",IF(HR_Cleaned[[#This Row],[MonthlyIncome]]&lt;5000,"3000-4999",IF(HR_Cleaned[[#This Row],[MonthlyIncome]]&lt;8000,"5000-7999","8000+")))</f>
        <v>8000+</v>
      </c>
      <c r="AM947">
        <f>IF(HR_Cleaned[[#This Row],[Attrition]]="Yes",1,0)</f>
        <v>0</v>
      </c>
    </row>
    <row r="948" spans="1:39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>
        <f>IF(HR_Cleaned[[#This Row],[Age]]&lt;25,"18-24",IF(HR_Cleaned[[#This Row],[Age]]&lt;35,"25-34",IF(HR_Cleaned[[#This Row],[Age]]&lt;45,"35-44",IF(HR_Cleaned[[#This Row],[Age]]&lt;55,"45-54","55+"))))</f>
        <v>35-44</v>
      </c>
      <c r="AK94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48" t="str">
        <f>IF(HR_Cleaned[[#This Row],[MonthlyIncome]]&lt;3000,"Below 3000",IF(HR_Cleaned[[#This Row],[MonthlyIncome]]&lt;5000,"3000-4999",IF(HR_Cleaned[[#This Row],[MonthlyIncome]]&lt;8000,"5000-7999","8000+")))</f>
        <v>8000+</v>
      </c>
      <c r="AM948">
        <f>IF(HR_Cleaned[[#This Row],[Attrition]]="Yes",1,0)</f>
        <v>1</v>
      </c>
    </row>
    <row r="949" spans="1:39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>
        <f>IF(HR_Cleaned[[#This Row],[Age]]&lt;25,"18-24",IF(HR_Cleaned[[#This Row],[Age]]&lt;35,"25-34",IF(HR_Cleaned[[#This Row],[Age]]&lt;45,"35-44",IF(HR_Cleaned[[#This Row],[Age]]&lt;55,"45-54","55+"))))</f>
        <v>45-54</v>
      </c>
      <c r="AK94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49" t="str">
        <f>IF(HR_Cleaned[[#This Row],[MonthlyIncome]]&lt;3000,"Below 3000",IF(HR_Cleaned[[#This Row],[MonthlyIncome]]&lt;5000,"3000-4999",IF(HR_Cleaned[[#This Row],[MonthlyIncome]]&lt;8000,"5000-7999","8000+")))</f>
        <v>8000+</v>
      </c>
      <c r="AM949">
        <f>IF(HR_Cleaned[[#This Row],[Attrition]]="Yes",1,0)</f>
        <v>1</v>
      </c>
    </row>
    <row r="950" spans="1:39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>
        <f>IF(HR_Cleaned[[#This Row],[Age]]&lt;25,"18-24",IF(HR_Cleaned[[#This Row],[Age]]&lt;35,"25-34",IF(HR_Cleaned[[#This Row],[Age]]&lt;45,"35-44",IF(HR_Cleaned[[#This Row],[Age]]&lt;55,"45-54","55+"))))</f>
        <v>25-34</v>
      </c>
      <c r="AK95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50" t="str">
        <f>IF(HR_Cleaned[[#This Row],[MonthlyIncome]]&lt;3000,"Below 3000",IF(HR_Cleaned[[#This Row],[MonthlyIncome]]&lt;5000,"3000-4999",IF(HR_Cleaned[[#This Row],[MonthlyIncome]]&lt;8000,"5000-7999","8000+")))</f>
        <v>8000+</v>
      </c>
      <c r="AM950">
        <f>IF(HR_Cleaned[[#This Row],[Attrition]]="Yes",1,0)</f>
        <v>0</v>
      </c>
    </row>
    <row r="951" spans="1:39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>
        <f>IF(HR_Cleaned[[#This Row],[Age]]&lt;25,"18-24",IF(HR_Cleaned[[#This Row],[Age]]&lt;35,"25-34",IF(HR_Cleaned[[#This Row],[Age]]&lt;45,"35-44",IF(HR_Cleaned[[#This Row],[Age]]&lt;55,"45-54","55+"))))</f>
        <v>35-44</v>
      </c>
      <c r="AK95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51" t="str">
        <f>IF(HR_Cleaned[[#This Row],[MonthlyIncome]]&lt;3000,"Below 3000",IF(HR_Cleaned[[#This Row],[MonthlyIncome]]&lt;5000,"3000-4999",IF(HR_Cleaned[[#This Row],[MonthlyIncome]]&lt;8000,"5000-7999","8000+")))</f>
        <v>3000-4999</v>
      </c>
      <c r="AM951">
        <f>IF(HR_Cleaned[[#This Row],[Attrition]]="Yes",1,0)</f>
        <v>0</v>
      </c>
    </row>
    <row r="952" spans="1:39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>
        <f>IF(HR_Cleaned[[#This Row],[Age]]&lt;25,"18-24",IF(HR_Cleaned[[#This Row],[Age]]&lt;35,"25-34",IF(HR_Cleaned[[#This Row],[Age]]&lt;45,"35-44",IF(HR_Cleaned[[#This Row],[Age]]&lt;55,"45-54","55+"))))</f>
        <v>25-34</v>
      </c>
      <c r="AK95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52" t="str">
        <f>IF(HR_Cleaned[[#This Row],[MonthlyIncome]]&lt;3000,"Below 3000",IF(HR_Cleaned[[#This Row],[MonthlyIncome]]&lt;5000,"3000-4999",IF(HR_Cleaned[[#This Row],[MonthlyIncome]]&lt;8000,"5000-7999","8000+")))</f>
        <v>8000+</v>
      </c>
      <c r="AM952">
        <f>IF(HR_Cleaned[[#This Row],[Attrition]]="Yes",1,0)</f>
        <v>0</v>
      </c>
    </row>
    <row r="953" spans="1:39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>
        <f>IF(HR_Cleaned[[#This Row],[Age]]&lt;25,"18-24",IF(HR_Cleaned[[#This Row],[Age]]&lt;35,"25-34",IF(HR_Cleaned[[#This Row],[Age]]&lt;45,"35-44",IF(HR_Cleaned[[#This Row],[Age]]&lt;55,"45-54","55+"))))</f>
        <v>35-44</v>
      </c>
      <c r="AK95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53" t="str">
        <f>IF(HR_Cleaned[[#This Row],[MonthlyIncome]]&lt;3000,"Below 3000",IF(HR_Cleaned[[#This Row],[MonthlyIncome]]&lt;5000,"3000-4999",IF(HR_Cleaned[[#This Row],[MonthlyIncome]]&lt;8000,"5000-7999","8000+")))</f>
        <v>5000-7999</v>
      </c>
      <c r="AM953">
        <f>IF(HR_Cleaned[[#This Row],[Attrition]]="Yes",1,0)</f>
        <v>0</v>
      </c>
    </row>
    <row r="954" spans="1:39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>
        <f>IF(HR_Cleaned[[#This Row],[Age]]&lt;25,"18-24",IF(HR_Cleaned[[#This Row],[Age]]&lt;35,"25-34",IF(HR_Cleaned[[#This Row],[Age]]&lt;45,"35-44",IF(HR_Cleaned[[#This Row],[Age]]&lt;55,"45-54","55+"))))</f>
        <v>25-34</v>
      </c>
      <c r="AK95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54" t="str">
        <f>IF(HR_Cleaned[[#This Row],[MonthlyIncome]]&lt;3000,"Below 3000",IF(HR_Cleaned[[#This Row],[MonthlyIncome]]&lt;5000,"3000-4999",IF(HR_Cleaned[[#This Row],[MonthlyIncome]]&lt;8000,"5000-7999","8000+")))</f>
        <v>Below 3000</v>
      </c>
      <c r="AM954">
        <f>IF(HR_Cleaned[[#This Row],[Attrition]]="Yes",1,0)</f>
        <v>1</v>
      </c>
    </row>
    <row r="955" spans="1:39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>
        <f>IF(HR_Cleaned[[#This Row],[Age]]&lt;25,"18-24",IF(HR_Cleaned[[#This Row],[Age]]&lt;35,"25-34",IF(HR_Cleaned[[#This Row],[Age]]&lt;45,"35-44",IF(HR_Cleaned[[#This Row],[Age]]&lt;55,"45-54","55+"))))</f>
        <v>35-44</v>
      </c>
      <c r="AK95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55" t="str">
        <f>IF(HR_Cleaned[[#This Row],[MonthlyIncome]]&lt;3000,"Below 3000",IF(HR_Cleaned[[#This Row],[MonthlyIncome]]&lt;5000,"3000-4999",IF(HR_Cleaned[[#This Row],[MonthlyIncome]]&lt;8000,"5000-7999","8000+")))</f>
        <v>Below 3000</v>
      </c>
      <c r="AM955">
        <f>IF(HR_Cleaned[[#This Row],[Attrition]]="Yes",1,0)</f>
        <v>1</v>
      </c>
    </row>
    <row r="956" spans="1:39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>
        <f>IF(HR_Cleaned[[#This Row],[Age]]&lt;25,"18-24",IF(HR_Cleaned[[#This Row],[Age]]&lt;35,"25-34",IF(HR_Cleaned[[#This Row],[Age]]&lt;45,"35-44",IF(HR_Cleaned[[#This Row],[Age]]&lt;55,"45-54","55+"))))</f>
        <v>35-44</v>
      </c>
      <c r="AK956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56" t="str">
        <f>IF(HR_Cleaned[[#This Row],[MonthlyIncome]]&lt;3000,"Below 3000",IF(HR_Cleaned[[#This Row],[MonthlyIncome]]&lt;5000,"3000-4999",IF(HR_Cleaned[[#This Row],[MonthlyIncome]]&lt;8000,"5000-7999","8000+")))</f>
        <v>8000+</v>
      </c>
      <c r="AM956">
        <f>IF(HR_Cleaned[[#This Row],[Attrition]]="Yes",1,0)</f>
        <v>0</v>
      </c>
    </row>
    <row r="957" spans="1:39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>
        <f>IF(HR_Cleaned[[#This Row],[Age]]&lt;25,"18-24",IF(HR_Cleaned[[#This Row],[Age]]&lt;35,"25-34",IF(HR_Cleaned[[#This Row],[Age]]&lt;45,"35-44",IF(HR_Cleaned[[#This Row],[Age]]&lt;55,"45-54","55+"))))</f>
        <v>55+</v>
      </c>
      <c r="AK95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57" t="str">
        <f>IF(HR_Cleaned[[#This Row],[MonthlyIncome]]&lt;3000,"Below 3000",IF(HR_Cleaned[[#This Row],[MonthlyIncome]]&lt;5000,"3000-4999",IF(HR_Cleaned[[#This Row],[MonthlyIncome]]&lt;8000,"5000-7999","8000+")))</f>
        <v>8000+</v>
      </c>
      <c r="AM957">
        <f>IF(HR_Cleaned[[#This Row],[Attrition]]="Yes",1,0)</f>
        <v>0</v>
      </c>
    </row>
    <row r="958" spans="1:39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>
        <f>IF(HR_Cleaned[[#This Row],[Age]]&lt;25,"18-24",IF(HR_Cleaned[[#This Row],[Age]]&lt;35,"25-34",IF(HR_Cleaned[[#This Row],[Age]]&lt;45,"35-44",IF(HR_Cleaned[[#This Row],[Age]]&lt;55,"45-54","55+"))))</f>
        <v>55+</v>
      </c>
      <c r="AK95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58" t="str">
        <f>IF(HR_Cleaned[[#This Row],[MonthlyIncome]]&lt;3000,"Below 3000",IF(HR_Cleaned[[#This Row],[MonthlyIncome]]&lt;5000,"3000-4999",IF(HR_Cleaned[[#This Row],[MonthlyIncome]]&lt;8000,"5000-7999","8000+")))</f>
        <v>8000+</v>
      </c>
      <c r="AM958">
        <f>IF(HR_Cleaned[[#This Row],[Attrition]]="Yes",1,0)</f>
        <v>0</v>
      </c>
    </row>
    <row r="959" spans="1:39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>
        <f>IF(HR_Cleaned[[#This Row],[Age]]&lt;25,"18-24",IF(HR_Cleaned[[#This Row],[Age]]&lt;35,"25-34",IF(HR_Cleaned[[#This Row],[Age]]&lt;45,"35-44",IF(HR_Cleaned[[#This Row],[Age]]&lt;55,"45-54","55+"))))</f>
        <v>35-44</v>
      </c>
      <c r="AK95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59" t="str">
        <f>IF(HR_Cleaned[[#This Row],[MonthlyIncome]]&lt;3000,"Below 3000",IF(HR_Cleaned[[#This Row],[MonthlyIncome]]&lt;5000,"3000-4999",IF(HR_Cleaned[[#This Row],[MonthlyIncome]]&lt;8000,"5000-7999","8000+")))</f>
        <v>3000-4999</v>
      </c>
      <c r="AM959">
        <f>IF(HR_Cleaned[[#This Row],[Attrition]]="Yes",1,0)</f>
        <v>0</v>
      </c>
    </row>
    <row r="960" spans="1:39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>
        <f>IF(HR_Cleaned[[#This Row],[Age]]&lt;25,"18-24",IF(HR_Cleaned[[#This Row],[Age]]&lt;35,"25-34",IF(HR_Cleaned[[#This Row],[Age]]&lt;45,"35-44",IF(HR_Cleaned[[#This Row],[Age]]&lt;55,"45-54","55+"))))</f>
        <v>25-34</v>
      </c>
      <c r="AK96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60" t="str">
        <f>IF(HR_Cleaned[[#This Row],[MonthlyIncome]]&lt;3000,"Below 3000",IF(HR_Cleaned[[#This Row],[MonthlyIncome]]&lt;5000,"3000-4999",IF(HR_Cleaned[[#This Row],[MonthlyIncome]]&lt;8000,"5000-7999","8000+")))</f>
        <v>8000+</v>
      </c>
      <c r="AM960">
        <f>IF(HR_Cleaned[[#This Row],[Attrition]]="Yes",1,0)</f>
        <v>0</v>
      </c>
    </row>
    <row r="961" spans="1:39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>
        <f>IF(HR_Cleaned[[#This Row],[Age]]&lt;25,"18-24",IF(HR_Cleaned[[#This Row],[Age]]&lt;35,"25-34",IF(HR_Cleaned[[#This Row],[Age]]&lt;45,"35-44",IF(HR_Cleaned[[#This Row],[Age]]&lt;55,"45-54","55+"))))</f>
        <v>35-44</v>
      </c>
      <c r="AK96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61" t="str">
        <f>IF(HR_Cleaned[[#This Row],[MonthlyIncome]]&lt;3000,"Below 3000",IF(HR_Cleaned[[#This Row],[MonthlyIncome]]&lt;5000,"3000-4999",IF(HR_Cleaned[[#This Row],[MonthlyIncome]]&lt;8000,"5000-7999","8000+")))</f>
        <v>3000-4999</v>
      </c>
      <c r="AM961">
        <f>IF(HR_Cleaned[[#This Row],[Attrition]]="Yes",1,0)</f>
        <v>0</v>
      </c>
    </row>
    <row r="962" spans="1:39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>
        <f>IF(HR_Cleaned[[#This Row],[Age]]&lt;25,"18-24",IF(HR_Cleaned[[#This Row],[Age]]&lt;35,"25-34",IF(HR_Cleaned[[#This Row],[Age]]&lt;45,"35-44",IF(HR_Cleaned[[#This Row],[Age]]&lt;55,"45-54","55+"))))</f>
        <v>35-44</v>
      </c>
      <c r="AK96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62" t="str">
        <f>IF(HR_Cleaned[[#This Row],[MonthlyIncome]]&lt;3000,"Below 3000",IF(HR_Cleaned[[#This Row],[MonthlyIncome]]&lt;5000,"3000-4999",IF(HR_Cleaned[[#This Row],[MonthlyIncome]]&lt;8000,"5000-7999","8000+")))</f>
        <v>3000-4999</v>
      </c>
      <c r="AM962">
        <f>IF(HR_Cleaned[[#This Row],[Attrition]]="Yes",1,0)</f>
        <v>0</v>
      </c>
    </row>
    <row r="963" spans="1:39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>
        <f>IF(HR_Cleaned[[#This Row],[Age]]&lt;25,"18-24",IF(HR_Cleaned[[#This Row],[Age]]&lt;35,"25-34",IF(HR_Cleaned[[#This Row],[Age]]&lt;45,"35-44",IF(HR_Cleaned[[#This Row],[Age]]&lt;55,"45-54","55+"))))</f>
        <v>35-44</v>
      </c>
      <c r="AK96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63" t="str">
        <f>IF(HR_Cleaned[[#This Row],[MonthlyIncome]]&lt;3000,"Below 3000",IF(HR_Cleaned[[#This Row],[MonthlyIncome]]&lt;5000,"3000-4999",IF(HR_Cleaned[[#This Row],[MonthlyIncome]]&lt;8000,"5000-7999","8000+")))</f>
        <v>3000-4999</v>
      </c>
      <c r="AM963">
        <f>IF(HR_Cleaned[[#This Row],[Attrition]]="Yes",1,0)</f>
        <v>0</v>
      </c>
    </row>
    <row r="964" spans="1:39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>
        <f>IF(HR_Cleaned[[#This Row],[Age]]&lt;25,"18-24",IF(HR_Cleaned[[#This Row],[Age]]&lt;35,"25-34",IF(HR_Cleaned[[#This Row],[Age]]&lt;45,"35-44",IF(HR_Cleaned[[#This Row],[Age]]&lt;55,"45-54","55+"))))</f>
        <v>45-54</v>
      </c>
      <c r="AK964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64" t="str">
        <f>IF(HR_Cleaned[[#This Row],[MonthlyIncome]]&lt;3000,"Below 3000",IF(HR_Cleaned[[#This Row],[MonthlyIncome]]&lt;5000,"3000-4999",IF(HR_Cleaned[[#This Row],[MonthlyIncome]]&lt;8000,"5000-7999","8000+")))</f>
        <v>8000+</v>
      </c>
      <c r="AM964">
        <f>IF(HR_Cleaned[[#This Row],[Attrition]]="Yes",1,0)</f>
        <v>0</v>
      </c>
    </row>
    <row r="965" spans="1:39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>
        <f>IF(HR_Cleaned[[#This Row],[Age]]&lt;25,"18-24",IF(HR_Cleaned[[#This Row],[Age]]&lt;35,"25-34",IF(HR_Cleaned[[#This Row],[Age]]&lt;45,"35-44",IF(HR_Cleaned[[#This Row],[Age]]&lt;55,"45-54","55+"))))</f>
        <v>35-44</v>
      </c>
      <c r="AK96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65" t="str">
        <f>IF(HR_Cleaned[[#This Row],[MonthlyIncome]]&lt;3000,"Below 3000",IF(HR_Cleaned[[#This Row],[MonthlyIncome]]&lt;5000,"3000-4999",IF(HR_Cleaned[[#This Row],[MonthlyIncome]]&lt;8000,"5000-7999","8000+")))</f>
        <v>5000-7999</v>
      </c>
      <c r="AM965">
        <f>IF(HR_Cleaned[[#This Row],[Attrition]]="Yes",1,0)</f>
        <v>0</v>
      </c>
    </row>
    <row r="966" spans="1:39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>
        <f>IF(HR_Cleaned[[#This Row],[Age]]&lt;25,"18-24",IF(HR_Cleaned[[#This Row],[Age]]&lt;35,"25-34",IF(HR_Cleaned[[#This Row],[Age]]&lt;45,"35-44",IF(HR_Cleaned[[#This Row],[Age]]&lt;55,"45-54","55+"))))</f>
        <v>25-34</v>
      </c>
      <c r="AK96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66" t="str">
        <f>IF(HR_Cleaned[[#This Row],[MonthlyIncome]]&lt;3000,"Below 3000",IF(HR_Cleaned[[#This Row],[MonthlyIncome]]&lt;5000,"3000-4999",IF(HR_Cleaned[[#This Row],[MonthlyIncome]]&lt;8000,"5000-7999","8000+")))</f>
        <v>5000-7999</v>
      </c>
      <c r="AM966">
        <f>IF(HR_Cleaned[[#This Row],[Attrition]]="Yes",1,0)</f>
        <v>0</v>
      </c>
    </row>
    <row r="967" spans="1:39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>
        <f>IF(HR_Cleaned[[#This Row],[Age]]&lt;25,"18-24",IF(HR_Cleaned[[#This Row],[Age]]&lt;35,"25-34",IF(HR_Cleaned[[#This Row],[Age]]&lt;45,"35-44",IF(HR_Cleaned[[#This Row],[Age]]&lt;55,"45-54","55+"))))</f>
        <v>25-34</v>
      </c>
      <c r="AK96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67" t="str">
        <f>IF(HR_Cleaned[[#This Row],[MonthlyIncome]]&lt;3000,"Below 3000",IF(HR_Cleaned[[#This Row],[MonthlyIncome]]&lt;5000,"3000-4999",IF(HR_Cleaned[[#This Row],[MonthlyIncome]]&lt;8000,"5000-7999","8000+")))</f>
        <v>3000-4999</v>
      </c>
      <c r="AM967">
        <f>IF(HR_Cleaned[[#This Row],[Attrition]]="Yes",1,0)</f>
        <v>0</v>
      </c>
    </row>
    <row r="968" spans="1:39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>
        <f>IF(HR_Cleaned[[#This Row],[Age]]&lt;25,"18-24",IF(HR_Cleaned[[#This Row],[Age]]&lt;35,"25-34",IF(HR_Cleaned[[#This Row],[Age]]&lt;45,"35-44",IF(HR_Cleaned[[#This Row],[Age]]&lt;55,"45-54","55+"))))</f>
        <v>55+</v>
      </c>
      <c r="AK96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68" t="str">
        <f>IF(HR_Cleaned[[#This Row],[MonthlyIncome]]&lt;3000,"Below 3000",IF(HR_Cleaned[[#This Row],[MonthlyIncome]]&lt;5000,"3000-4999",IF(HR_Cleaned[[#This Row],[MonthlyIncome]]&lt;8000,"5000-7999","8000+")))</f>
        <v>8000+</v>
      </c>
      <c r="AM968">
        <f>IF(HR_Cleaned[[#This Row],[Attrition]]="Yes",1,0)</f>
        <v>1</v>
      </c>
    </row>
    <row r="969" spans="1:39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>
        <f>IF(HR_Cleaned[[#This Row],[Age]]&lt;25,"18-24",IF(HR_Cleaned[[#This Row],[Age]]&lt;35,"25-34",IF(HR_Cleaned[[#This Row],[Age]]&lt;45,"35-44",IF(HR_Cleaned[[#This Row],[Age]]&lt;55,"45-54","55+"))))</f>
        <v>35-44</v>
      </c>
      <c r="AK96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69" t="str">
        <f>IF(HR_Cleaned[[#This Row],[MonthlyIncome]]&lt;3000,"Below 3000",IF(HR_Cleaned[[#This Row],[MonthlyIncome]]&lt;5000,"3000-4999",IF(HR_Cleaned[[#This Row],[MonthlyIncome]]&lt;8000,"5000-7999","8000+")))</f>
        <v>Below 3000</v>
      </c>
      <c r="AM969">
        <f>IF(HR_Cleaned[[#This Row],[Attrition]]="Yes",1,0)</f>
        <v>0</v>
      </c>
    </row>
    <row r="970" spans="1:39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>
        <f>IF(HR_Cleaned[[#This Row],[Age]]&lt;25,"18-24",IF(HR_Cleaned[[#This Row],[Age]]&lt;35,"25-34",IF(HR_Cleaned[[#This Row],[Age]]&lt;45,"35-44",IF(HR_Cleaned[[#This Row],[Age]]&lt;55,"45-54","55+"))))</f>
        <v>35-44</v>
      </c>
      <c r="AK97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70" t="str">
        <f>IF(HR_Cleaned[[#This Row],[MonthlyIncome]]&lt;3000,"Below 3000",IF(HR_Cleaned[[#This Row],[MonthlyIncome]]&lt;5000,"3000-4999",IF(HR_Cleaned[[#This Row],[MonthlyIncome]]&lt;8000,"5000-7999","8000+")))</f>
        <v>3000-4999</v>
      </c>
      <c r="AM970">
        <f>IF(HR_Cleaned[[#This Row],[Attrition]]="Yes",1,0)</f>
        <v>0</v>
      </c>
    </row>
    <row r="971" spans="1:39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>
        <f>IF(HR_Cleaned[[#This Row],[Age]]&lt;25,"18-24",IF(HR_Cleaned[[#This Row],[Age]]&lt;35,"25-34",IF(HR_Cleaned[[#This Row],[Age]]&lt;45,"35-44",IF(HR_Cleaned[[#This Row],[Age]]&lt;55,"45-54","55+"))))</f>
        <v>45-54</v>
      </c>
      <c r="AK97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71" t="str">
        <f>IF(HR_Cleaned[[#This Row],[MonthlyIncome]]&lt;3000,"Below 3000",IF(HR_Cleaned[[#This Row],[MonthlyIncome]]&lt;5000,"3000-4999",IF(HR_Cleaned[[#This Row],[MonthlyIncome]]&lt;8000,"5000-7999","8000+")))</f>
        <v>5000-7999</v>
      </c>
      <c r="AM971">
        <f>IF(HR_Cleaned[[#This Row],[Attrition]]="Yes",1,0)</f>
        <v>0</v>
      </c>
    </row>
    <row r="972" spans="1:39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>
        <f>IF(HR_Cleaned[[#This Row],[Age]]&lt;25,"18-24",IF(HR_Cleaned[[#This Row],[Age]]&lt;35,"25-34",IF(HR_Cleaned[[#This Row],[Age]]&lt;45,"35-44",IF(HR_Cleaned[[#This Row],[Age]]&lt;55,"45-54","55+"))))</f>
        <v>25-34</v>
      </c>
      <c r="AK97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972" t="str">
        <f>IF(HR_Cleaned[[#This Row],[MonthlyIncome]]&lt;3000,"Below 3000",IF(HR_Cleaned[[#This Row],[MonthlyIncome]]&lt;5000,"3000-4999",IF(HR_Cleaned[[#This Row],[MonthlyIncome]]&lt;8000,"5000-7999","8000+")))</f>
        <v>Below 3000</v>
      </c>
      <c r="AM972">
        <f>IF(HR_Cleaned[[#This Row],[Attrition]]="Yes",1,0)</f>
        <v>0</v>
      </c>
    </row>
    <row r="973" spans="1:39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>
        <f>IF(HR_Cleaned[[#This Row],[Age]]&lt;25,"18-24",IF(HR_Cleaned[[#This Row],[Age]]&lt;35,"25-34",IF(HR_Cleaned[[#This Row],[Age]]&lt;45,"35-44",IF(HR_Cleaned[[#This Row],[Age]]&lt;55,"45-54","55+"))))</f>
        <v>45-54</v>
      </c>
      <c r="AK97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73" t="str">
        <f>IF(HR_Cleaned[[#This Row],[MonthlyIncome]]&lt;3000,"Below 3000",IF(HR_Cleaned[[#This Row],[MonthlyIncome]]&lt;5000,"3000-4999",IF(HR_Cleaned[[#This Row],[MonthlyIncome]]&lt;8000,"5000-7999","8000+")))</f>
        <v>8000+</v>
      </c>
      <c r="AM973">
        <f>IF(HR_Cleaned[[#This Row],[Attrition]]="Yes",1,0)</f>
        <v>0</v>
      </c>
    </row>
    <row r="974" spans="1:39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>
        <f>IF(HR_Cleaned[[#This Row],[Age]]&lt;25,"18-24",IF(HR_Cleaned[[#This Row],[Age]]&lt;35,"25-34",IF(HR_Cleaned[[#This Row],[Age]]&lt;45,"35-44",IF(HR_Cleaned[[#This Row],[Age]]&lt;55,"45-54","55+"))))</f>
        <v>18-24</v>
      </c>
      <c r="AK97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974" t="str">
        <f>IF(HR_Cleaned[[#This Row],[MonthlyIncome]]&lt;3000,"Below 3000",IF(HR_Cleaned[[#This Row],[MonthlyIncome]]&lt;5000,"3000-4999",IF(HR_Cleaned[[#This Row],[MonthlyIncome]]&lt;8000,"5000-7999","8000+")))</f>
        <v>Below 3000</v>
      </c>
      <c r="AM974">
        <f>IF(HR_Cleaned[[#This Row],[Attrition]]="Yes",1,0)</f>
        <v>0</v>
      </c>
    </row>
    <row r="975" spans="1:39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>
        <f>IF(HR_Cleaned[[#This Row],[Age]]&lt;25,"18-24",IF(HR_Cleaned[[#This Row],[Age]]&lt;35,"25-34",IF(HR_Cleaned[[#This Row],[Age]]&lt;45,"35-44",IF(HR_Cleaned[[#This Row],[Age]]&lt;55,"45-54","55+"))))</f>
        <v>35-44</v>
      </c>
      <c r="AK97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75" t="str">
        <f>IF(HR_Cleaned[[#This Row],[MonthlyIncome]]&lt;3000,"Below 3000",IF(HR_Cleaned[[#This Row],[MonthlyIncome]]&lt;5000,"3000-4999",IF(HR_Cleaned[[#This Row],[MonthlyIncome]]&lt;8000,"5000-7999","8000+")))</f>
        <v>5000-7999</v>
      </c>
      <c r="AM975">
        <f>IF(HR_Cleaned[[#This Row],[Attrition]]="Yes",1,0)</f>
        <v>0</v>
      </c>
    </row>
    <row r="976" spans="1:39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>
        <f>IF(HR_Cleaned[[#This Row],[Age]]&lt;25,"18-24",IF(HR_Cleaned[[#This Row],[Age]]&lt;35,"25-34",IF(HR_Cleaned[[#This Row],[Age]]&lt;45,"35-44",IF(HR_Cleaned[[#This Row],[Age]]&lt;55,"45-54","55+"))))</f>
        <v>25-34</v>
      </c>
      <c r="AK97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76" t="str">
        <f>IF(HR_Cleaned[[#This Row],[MonthlyIncome]]&lt;3000,"Below 3000",IF(HR_Cleaned[[#This Row],[MonthlyIncome]]&lt;5000,"3000-4999",IF(HR_Cleaned[[#This Row],[MonthlyIncome]]&lt;8000,"5000-7999","8000+")))</f>
        <v>5000-7999</v>
      </c>
      <c r="AM976">
        <f>IF(HR_Cleaned[[#This Row],[Attrition]]="Yes",1,0)</f>
        <v>0</v>
      </c>
    </row>
    <row r="977" spans="1:39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>
        <f>IF(HR_Cleaned[[#This Row],[Age]]&lt;25,"18-24",IF(HR_Cleaned[[#This Row],[Age]]&lt;35,"25-34",IF(HR_Cleaned[[#This Row],[Age]]&lt;45,"35-44",IF(HR_Cleaned[[#This Row],[Age]]&lt;55,"45-54","55+"))))</f>
        <v>55+</v>
      </c>
      <c r="AK97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77" t="str">
        <f>IF(HR_Cleaned[[#This Row],[MonthlyIncome]]&lt;3000,"Below 3000",IF(HR_Cleaned[[#This Row],[MonthlyIncome]]&lt;5000,"3000-4999",IF(HR_Cleaned[[#This Row],[MonthlyIncome]]&lt;8000,"5000-7999","8000+")))</f>
        <v>8000+</v>
      </c>
      <c r="AM977">
        <f>IF(HR_Cleaned[[#This Row],[Attrition]]="Yes",1,0)</f>
        <v>1</v>
      </c>
    </row>
    <row r="978" spans="1:39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>
        <f>IF(HR_Cleaned[[#This Row],[Age]]&lt;25,"18-24",IF(HR_Cleaned[[#This Row],[Age]]&lt;35,"25-34",IF(HR_Cleaned[[#This Row],[Age]]&lt;45,"35-44",IF(HR_Cleaned[[#This Row],[Age]]&lt;55,"45-54","55+"))))</f>
        <v>55+</v>
      </c>
      <c r="AK97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78" t="str">
        <f>IF(HR_Cleaned[[#This Row],[MonthlyIncome]]&lt;3000,"Below 3000",IF(HR_Cleaned[[#This Row],[MonthlyIncome]]&lt;5000,"3000-4999",IF(HR_Cleaned[[#This Row],[MonthlyIncome]]&lt;8000,"5000-7999","8000+")))</f>
        <v>8000+</v>
      </c>
      <c r="AM978">
        <f>IF(HR_Cleaned[[#This Row],[Attrition]]="Yes",1,0)</f>
        <v>0</v>
      </c>
    </row>
    <row r="979" spans="1:39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>
        <f>IF(HR_Cleaned[[#This Row],[Age]]&lt;25,"18-24",IF(HR_Cleaned[[#This Row],[Age]]&lt;35,"25-34",IF(HR_Cleaned[[#This Row],[Age]]&lt;45,"35-44",IF(HR_Cleaned[[#This Row],[Age]]&lt;55,"45-54","55+"))))</f>
        <v>25-34</v>
      </c>
      <c r="AK97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79" t="str">
        <f>IF(HR_Cleaned[[#This Row],[MonthlyIncome]]&lt;3000,"Below 3000",IF(HR_Cleaned[[#This Row],[MonthlyIncome]]&lt;5000,"3000-4999",IF(HR_Cleaned[[#This Row],[MonthlyIncome]]&lt;8000,"5000-7999","8000+")))</f>
        <v>Below 3000</v>
      </c>
      <c r="AM979">
        <f>IF(HR_Cleaned[[#This Row],[Attrition]]="Yes",1,0)</f>
        <v>0</v>
      </c>
    </row>
    <row r="980" spans="1:39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>
        <f>IF(HR_Cleaned[[#This Row],[Age]]&lt;25,"18-24",IF(HR_Cleaned[[#This Row],[Age]]&lt;35,"25-34",IF(HR_Cleaned[[#This Row],[Age]]&lt;45,"35-44",IF(HR_Cleaned[[#This Row],[Age]]&lt;55,"45-54","55+"))))</f>
        <v>35-44</v>
      </c>
      <c r="AK98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80" t="str">
        <f>IF(HR_Cleaned[[#This Row],[MonthlyIncome]]&lt;3000,"Below 3000",IF(HR_Cleaned[[#This Row],[MonthlyIncome]]&lt;5000,"3000-4999",IF(HR_Cleaned[[#This Row],[MonthlyIncome]]&lt;8000,"5000-7999","8000+")))</f>
        <v>5000-7999</v>
      </c>
      <c r="AM980">
        <f>IF(HR_Cleaned[[#This Row],[Attrition]]="Yes",1,0)</f>
        <v>0</v>
      </c>
    </row>
    <row r="981" spans="1:39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>
        <f>IF(HR_Cleaned[[#This Row],[Age]]&lt;25,"18-24",IF(HR_Cleaned[[#This Row],[Age]]&lt;35,"25-34",IF(HR_Cleaned[[#This Row],[Age]]&lt;45,"35-44",IF(HR_Cleaned[[#This Row],[Age]]&lt;55,"45-54","55+"))))</f>
        <v>25-34</v>
      </c>
      <c r="AK98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81" t="str">
        <f>IF(HR_Cleaned[[#This Row],[MonthlyIncome]]&lt;3000,"Below 3000",IF(HR_Cleaned[[#This Row],[MonthlyIncome]]&lt;5000,"3000-4999",IF(HR_Cleaned[[#This Row],[MonthlyIncome]]&lt;8000,"5000-7999","8000+")))</f>
        <v>5000-7999</v>
      </c>
      <c r="AM981">
        <f>IF(HR_Cleaned[[#This Row],[Attrition]]="Yes",1,0)</f>
        <v>0</v>
      </c>
    </row>
    <row r="982" spans="1:39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>
        <f>IF(HR_Cleaned[[#This Row],[Age]]&lt;25,"18-24",IF(HR_Cleaned[[#This Row],[Age]]&lt;35,"25-34",IF(HR_Cleaned[[#This Row],[Age]]&lt;45,"35-44",IF(HR_Cleaned[[#This Row],[Age]]&lt;55,"45-54","55+"))))</f>
        <v>25-34</v>
      </c>
      <c r="AK98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982" t="str">
        <f>IF(HR_Cleaned[[#This Row],[MonthlyIncome]]&lt;3000,"Below 3000",IF(HR_Cleaned[[#This Row],[MonthlyIncome]]&lt;5000,"3000-4999",IF(HR_Cleaned[[#This Row],[MonthlyIncome]]&lt;8000,"5000-7999","8000+")))</f>
        <v>Below 3000</v>
      </c>
      <c r="AM982">
        <f>IF(HR_Cleaned[[#This Row],[Attrition]]="Yes",1,0)</f>
        <v>1</v>
      </c>
    </row>
    <row r="983" spans="1:39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>
        <f>IF(HR_Cleaned[[#This Row],[Age]]&lt;25,"18-24",IF(HR_Cleaned[[#This Row],[Age]]&lt;35,"25-34",IF(HR_Cleaned[[#This Row],[Age]]&lt;45,"35-44",IF(HR_Cleaned[[#This Row],[Age]]&lt;55,"45-54","55+"))))</f>
        <v>35-44</v>
      </c>
      <c r="AK98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83" t="str">
        <f>IF(HR_Cleaned[[#This Row],[MonthlyIncome]]&lt;3000,"Below 3000",IF(HR_Cleaned[[#This Row],[MonthlyIncome]]&lt;5000,"3000-4999",IF(HR_Cleaned[[#This Row],[MonthlyIncome]]&lt;8000,"5000-7999","8000+")))</f>
        <v>3000-4999</v>
      </c>
      <c r="AM983">
        <f>IF(HR_Cleaned[[#This Row],[Attrition]]="Yes",1,0)</f>
        <v>1</v>
      </c>
    </row>
    <row r="984" spans="1:39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>
        <f>IF(HR_Cleaned[[#This Row],[Age]]&lt;25,"18-24",IF(HR_Cleaned[[#This Row],[Age]]&lt;35,"25-34",IF(HR_Cleaned[[#This Row],[Age]]&lt;45,"35-44",IF(HR_Cleaned[[#This Row],[Age]]&lt;55,"45-54","55+"))))</f>
        <v>35-44</v>
      </c>
      <c r="AK98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84" t="str">
        <f>IF(HR_Cleaned[[#This Row],[MonthlyIncome]]&lt;3000,"Below 3000",IF(HR_Cleaned[[#This Row],[MonthlyIncome]]&lt;5000,"3000-4999",IF(HR_Cleaned[[#This Row],[MonthlyIncome]]&lt;8000,"5000-7999","8000+")))</f>
        <v>Below 3000</v>
      </c>
      <c r="AM984">
        <f>IF(HR_Cleaned[[#This Row],[Attrition]]="Yes",1,0)</f>
        <v>0</v>
      </c>
    </row>
    <row r="985" spans="1:39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>
        <f>IF(HR_Cleaned[[#This Row],[Age]]&lt;25,"18-24",IF(HR_Cleaned[[#This Row],[Age]]&lt;35,"25-34",IF(HR_Cleaned[[#This Row],[Age]]&lt;45,"35-44",IF(HR_Cleaned[[#This Row],[Age]]&lt;55,"45-54","55+"))))</f>
        <v>25-34</v>
      </c>
      <c r="AK98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85" t="str">
        <f>IF(HR_Cleaned[[#This Row],[MonthlyIncome]]&lt;3000,"Below 3000",IF(HR_Cleaned[[#This Row],[MonthlyIncome]]&lt;5000,"3000-4999",IF(HR_Cleaned[[#This Row],[MonthlyIncome]]&lt;8000,"5000-7999","8000+")))</f>
        <v>5000-7999</v>
      </c>
      <c r="AM985">
        <f>IF(HR_Cleaned[[#This Row],[Attrition]]="Yes",1,0)</f>
        <v>0</v>
      </c>
    </row>
    <row r="986" spans="1:39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>
        <f>IF(HR_Cleaned[[#This Row],[Age]]&lt;25,"18-24",IF(HR_Cleaned[[#This Row],[Age]]&lt;35,"25-34",IF(HR_Cleaned[[#This Row],[Age]]&lt;45,"35-44",IF(HR_Cleaned[[#This Row],[Age]]&lt;55,"45-54","55+"))))</f>
        <v>25-34</v>
      </c>
      <c r="AK98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86" t="str">
        <f>IF(HR_Cleaned[[#This Row],[MonthlyIncome]]&lt;3000,"Below 3000",IF(HR_Cleaned[[#This Row],[MonthlyIncome]]&lt;5000,"3000-4999",IF(HR_Cleaned[[#This Row],[MonthlyIncome]]&lt;8000,"5000-7999","8000+")))</f>
        <v>3000-4999</v>
      </c>
      <c r="AM986">
        <f>IF(HR_Cleaned[[#This Row],[Attrition]]="Yes",1,0)</f>
        <v>0</v>
      </c>
    </row>
    <row r="987" spans="1:39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>
        <f>IF(HR_Cleaned[[#This Row],[Age]]&lt;25,"18-24",IF(HR_Cleaned[[#This Row],[Age]]&lt;35,"25-34",IF(HR_Cleaned[[#This Row],[Age]]&lt;45,"35-44",IF(HR_Cleaned[[#This Row],[Age]]&lt;55,"45-54","55+"))))</f>
        <v>25-34</v>
      </c>
      <c r="AK98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87" t="str">
        <f>IF(HR_Cleaned[[#This Row],[MonthlyIncome]]&lt;3000,"Below 3000",IF(HR_Cleaned[[#This Row],[MonthlyIncome]]&lt;5000,"3000-4999",IF(HR_Cleaned[[#This Row],[MonthlyIncome]]&lt;8000,"5000-7999","8000+")))</f>
        <v>5000-7999</v>
      </c>
      <c r="AM987">
        <f>IF(HR_Cleaned[[#This Row],[Attrition]]="Yes",1,0)</f>
        <v>1</v>
      </c>
    </row>
    <row r="988" spans="1:39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>
        <f>IF(HR_Cleaned[[#This Row],[Age]]&lt;25,"18-24",IF(HR_Cleaned[[#This Row],[Age]]&lt;35,"25-34",IF(HR_Cleaned[[#This Row],[Age]]&lt;45,"35-44",IF(HR_Cleaned[[#This Row],[Age]]&lt;55,"45-54","55+"))))</f>
        <v>35-44</v>
      </c>
      <c r="AK98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88" t="str">
        <f>IF(HR_Cleaned[[#This Row],[MonthlyIncome]]&lt;3000,"Below 3000",IF(HR_Cleaned[[#This Row],[MonthlyIncome]]&lt;5000,"3000-4999",IF(HR_Cleaned[[#This Row],[MonthlyIncome]]&lt;8000,"5000-7999","8000+")))</f>
        <v>5000-7999</v>
      </c>
      <c r="AM988">
        <f>IF(HR_Cleaned[[#This Row],[Attrition]]="Yes",1,0)</f>
        <v>0</v>
      </c>
    </row>
    <row r="989" spans="1:39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>
        <f>IF(HR_Cleaned[[#This Row],[Age]]&lt;25,"18-24",IF(HR_Cleaned[[#This Row],[Age]]&lt;35,"25-34",IF(HR_Cleaned[[#This Row],[Age]]&lt;45,"35-44",IF(HR_Cleaned[[#This Row],[Age]]&lt;55,"45-54","55+"))))</f>
        <v>45-54</v>
      </c>
      <c r="AK98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89" t="str">
        <f>IF(HR_Cleaned[[#This Row],[MonthlyIncome]]&lt;3000,"Below 3000",IF(HR_Cleaned[[#This Row],[MonthlyIncome]]&lt;5000,"3000-4999",IF(HR_Cleaned[[#This Row],[MonthlyIncome]]&lt;8000,"5000-7999","8000+")))</f>
        <v>8000+</v>
      </c>
      <c r="AM989">
        <f>IF(HR_Cleaned[[#This Row],[Attrition]]="Yes",1,0)</f>
        <v>0</v>
      </c>
    </row>
    <row r="990" spans="1:39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>
        <f>IF(HR_Cleaned[[#This Row],[Age]]&lt;25,"18-24",IF(HR_Cleaned[[#This Row],[Age]]&lt;35,"25-34",IF(HR_Cleaned[[#This Row],[Age]]&lt;45,"35-44",IF(HR_Cleaned[[#This Row],[Age]]&lt;55,"45-54","55+"))))</f>
        <v>35-44</v>
      </c>
      <c r="AK99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90" t="str">
        <f>IF(HR_Cleaned[[#This Row],[MonthlyIncome]]&lt;3000,"Below 3000",IF(HR_Cleaned[[#This Row],[MonthlyIncome]]&lt;5000,"3000-4999",IF(HR_Cleaned[[#This Row],[MonthlyIncome]]&lt;8000,"5000-7999","8000+")))</f>
        <v>5000-7999</v>
      </c>
      <c r="AM990">
        <f>IF(HR_Cleaned[[#This Row],[Attrition]]="Yes",1,0)</f>
        <v>0</v>
      </c>
    </row>
    <row r="991" spans="1:39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>
        <f>IF(HR_Cleaned[[#This Row],[Age]]&lt;25,"18-24",IF(HR_Cleaned[[#This Row],[Age]]&lt;35,"25-34",IF(HR_Cleaned[[#This Row],[Age]]&lt;45,"35-44",IF(HR_Cleaned[[#This Row],[Age]]&lt;55,"45-54","55+"))))</f>
        <v>35-44</v>
      </c>
      <c r="AK99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91" t="str">
        <f>IF(HR_Cleaned[[#This Row],[MonthlyIncome]]&lt;3000,"Below 3000",IF(HR_Cleaned[[#This Row],[MonthlyIncome]]&lt;5000,"3000-4999",IF(HR_Cleaned[[#This Row],[MonthlyIncome]]&lt;8000,"5000-7999","8000+")))</f>
        <v>Below 3000</v>
      </c>
      <c r="AM991">
        <f>IF(HR_Cleaned[[#This Row],[Attrition]]="Yes",1,0)</f>
        <v>0</v>
      </c>
    </row>
    <row r="992" spans="1:39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>
        <f>IF(HR_Cleaned[[#This Row],[Age]]&lt;25,"18-24",IF(HR_Cleaned[[#This Row],[Age]]&lt;35,"25-34",IF(HR_Cleaned[[#This Row],[Age]]&lt;45,"35-44",IF(HR_Cleaned[[#This Row],[Age]]&lt;55,"45-54","55+"))))</f>
        <v>25-34</v>
      </c>
      <c r="AK99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92" t="str">
        <f>IF(HR_Cleaned[[#This Row],[MonthlyIncome]]&lt;3000,"Below 3000",IF(HR_Cleaned[[#This Row],[MonthlyIncome]]&lt;5000,"3000-4999",IF(HR_Cleaned[[#This Row],[MonthlyIncome]]&lt;8000,"5000-7999","8000+")))</f>
        <v>8000+</v>
      </c>
      <c r="AM992">
        <f>IF(HR_Cleaned[[#This Row],[Attrition]]="Yes",1,0)</f>
        <v>0</v>
      </c>
    </row>
    <row r="993" spans="1:39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>
        <f>IF(HR_Cleaned[[#This Row],[Age]]&lt;25,"18-24",IF(HR_Cleaned[[#This Row],[Age]]&lt;35,"25-34",IF(HR_Cleaned[[#This Row],[Age]]&lt;45,"35-44",IF(HR_Cleaned[[#This Row],[Age]]&lt;55,"45-54","55+"))))</f>
        <v>25-34</v>
      </c>
      <c r="AK99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93" t="str">
        <f>IF(HR_Cleaned[[#This Row],[MonthlyIncome]]&lt;3000,"Below 3000",IF(HR_Cleaned[[#This Row],[MonthlyIncome]]&lt;5000,"3000-4999",IF(HR_Cleaned[[#This Row],[MonthlyIncome]]&lt;8000,"5000-7999","8000+")))</f>
        <v>3000-4999</v>
      </c>
      <c r="AM993">
        <f>IF(HR_Cleaned[[#This Row],[Attrition]]="Yes",1,0)</f>
        <v>0</v>
      </c>
    </row>
    <row r="994" spans="1:39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>
        <f>IF(HR_Cleaned[[#This Row],[Age]]&lt;25,"18-24",IF(HR_Cleaned[[#This Row],[Age]]&lt;35,"25-34",IF(HR_Cleaned[[#This Row],[Age]]&lt;45,"35-44",IF(HR_Cleaned[[#This Row],[Age]]&lt;55,"45-54","55+"))))</f>
        <v>35-44</v>
      </c>
      <c r="AK99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94" t="str">
        <f>IF(HR_Cleaned[[#This Row],[MonthlyIncome]]&lt;3000,"Below 3000",IF(HR_Cleaned[[#This Row],[MonthlyIncome]]&lt;5000,"3000-4999",IF(HR_Cleaned[[#This Row],[MonthlyIncome]]&lt;8000,"5000-7999","8000+")))</f>
        <v>8000+</v>
      </c>
      <c r="AM994">
        <f>IF(HR_Cleaned[[#This Row],[Attrition]]="Yes",1,0)</f>
        <v>0</v>
      </c>
    </row>
    <row r="995" spans="1:39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>
        <f>IF(HR_Cleaned[[#This Row],[Age]]&lt;25,"18-24",IF(HR_Cleaned[[#This Row],[Age]]&lt;35,"25-34",IF(HR_Cleaned[[#This Row],[Age]]&lt;45,"35-44",IF(HR_Cleaned[[#This Row],[Age]]&lt;55,"45-54","55+"))))</f>
        <v>25-34</v>
      </c>
      <c r="AK99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95" t="str">
        <f>IF(HR_Cleaned[[#This Row],[MonthlyIncome]]&lt;3000,"Below 3000",IF(HR_Cleaned[[#This Row],[MonthlyIncome]]&lt;5000,"3000-4999",IF(HR_Cleaned[[#This Row],[MonthlyIncome]]&lt;8000,"5000-7999","8000+")))</f>
        <v>5000-7999</v>
      </c>
      <c r="AM995">
        <f>IF(HR_Cleaned[[#This Row],[Attrition]]="Yes",1,0)</f>
        <v>0</v>
      </c>
    </row>
    <row r="996" spans="1:39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>
        <f>IF(HR_Cleaned[[#This Row],[Age]]&lt;25,"18-24",IF(HR_Cleaned[[#This Row],[Age]]&lt;35,"25-34",IF(HR_Cleaned[[#This Row],[Age]]&lt;45,"35-44",IF(HR_Cleaned[[#This Row],[Age]]&lt;55,"45-54","55+"))))</f>
        <v>45-54</v>
      </c>
      <c r="AK99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996" t="str">
        <f>IF(HR_Cleaned[[#This Row],[MonthlyIncome]]&lt;3000,"Below 3000",IF(HR_Cleaned[[#This Row],[MonthlyIncome]]&lt;5000,"3000-4999",IF(HR_Cleaned[[#This Row],[MonthlyIncome]]&lt;8000,"5000-7999","8000+")))</f>
        <v>8000+</v>
      </c>
      <c r="AM996">
        <f>IF(HR_Cleaned[[#This Row],[Attrition]]="Yes",1,0)</f>
        <v>0</v>
      </c>
    </row>
    <row r="997" spans="1:39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>
        <f>IF(HR_Cleaned[[#This Row],[Age]]&lt;25,"18-24",IF(HR_Cleaned[[#This Row],[Age]]&lt;35,"25-34",IF(HR_Cleaned[[#This Row],[Age]]&lt;45,"35-44",IF(HR_Cleaned[[#This Row],[Age]]&lt;55,"45-54","55+"))))</f>
        <v>35-44</v>
      </c>
      <c r="AK99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997" t="str">
        <f>IF(HR_Cleaned[[#This Row],[MonthlyIncome]]&lt;3000,"Below 3000",IF(HR_Cleaned[[#This Row],[MonthlyIncome]]&lt;5000,"3000-4999",IF(HR_Cleaned[[#This Row],[MonthlyIncome]]&lt;8000,"5000-7999","8000+")))</f>
        <v>3000-4999</v>
      </c>
      <c r="AM997">
        <f>IF(HR_Cleaned[[#This Row],[Attrition]]="Yes",1,0)</f>
        <v>0</v>
      </c>
    </row>
    <row r="998" spans="1:39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>
        <f>IF(HR_Cleaned[[#This Row],[Age]]&lt;25,"18-24",IF(HR_Cleaned[[#This Row],[Age]]&lt;35,"25-34",IF(HR_Cleaned[[#This Row],[Age]]&lt;45,"35-44",IF(HR_Cleaned[[#This Row],[Age]]&lt;55,"45-54","55+"))))</f>
        <v>25-34</v>
      </c>
      <c r="AK99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98" t="str">
        <f>IF(HR_Cleaned[[#This Row],[MonthlyIncome]]&lt;3000,"Below 3000",IF(HR_Cleaned[[#This Row],[MonthlyIncome]]&lt;5000,"3000-4999",IF(HR_Cleaned[[#This Row],[MonthlyIncome]]&lt;8000,"5000-7999","8000+")))</f>
        <v>5000-7999</v>
      </c>
      <c r="AM998">
        <f>IF(HR_Cleaned[[#This Row],[Attrition]]="Yes",1,0)</f>
        <v>0</v>
      </c>
    </row>
    <row r="999" spans="1:39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>
        <f>IF(HR_Cleaned[[#This Row],[Age]]&lt;25,"18-24",IF(HR_Cleaned[[#This Row],[Age]]&lt;35,"25-34",IF(HR_Cleaned[[#This Row],[Age]]&lt;45,"35-44",IF(HR_Cleaned[[#This Row],[Age]]&lt;55,"45-54","55+"))))</f>
        <v>25-34</v>
      </c>
      <c r="AK99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999" t="str">
        <f>IF(HR_Cleaned[[#This Row],[MonthlyIncome]]&lt;3000,"Below 3000",IF(HR_Cleaned[[#This Row],[MonthlyIncome]]&lt;5000,"3000-4999",IF(HR_Cleaned[[#This Row],[MonthlyIncome]]&lt;8000,"5000-7999","8000+")))</f>
        <v>Below 3000</v>
      </c>
      <c r="AM999">
        <f>IF(HR_Cleaned[[#This Row],[Attrition]]="Yes",1,0)</f>
        <v>1</v>
      </c>
    </row>
    <row r="1000" spans="1:39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>
        <f>IF(HR_Cleaned[[#This Row],[Age]]&lt;25,"18-24",IF(HR_Cleaned[[#This Row],[Age]]&lt;35,"25-34",IF(HR_Cleaned[[#This Row],[Age]]&lt;45,"35-44",IF(HR_Cleaned[[#This Row],[Age]]&lt;55,"45-54","55+"))))</f>
        <v>25-34</v>
      </c>
      <c r="AK100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00" t="str">
        <f>IF(HR_Cleaned[[#This Row],[MonthlyIncome]]&lt;3000,"Below 3000",IF(HR_Cleaned[[#This Row],[MonthlyIncome]]&lt;5000,"3000-4999",IF(HR_Cleaned[[#This Row],[MonthlyIncome]]&lt;8000,"5000-7999","8000+")))</f>
        <v>3000-4999</v>
      </c>
      <c r="AM1000">
        <f>IF(HR_Cleaned[[#This Row],[Attrition]]="Yes",1,0)</f>
        <v>0</v>
      </c>
    </row>
    <row r="1001" spans="1:39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>
        <f>IF(HR_Cleaned[[#This Row],[Age]]&lt;25,"18-24",IF(HR_Cleaned[[#This Row],[Age]]&lt;35,"25-34",IF(HR_Cleaned[[#This Row],[Age]]&lt;45,"35-44",IF(HR_Cleaned[[#This Row],[Age]]&lt;55,"45-54","55+"))))</f>
        <v>35-44</v>
      </c>
      <c r="AK1001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001" t="str">
        <f>IF(HR_Cleaned[[#This Row],[MonthlyIncome]]&lt;3000,"Below 3000",IF(HR_Cleaned[[#This Row],[MonthlyIncome]]&lt;5000,"3000-4999",IF(HR_Cleaned[[#This Row],[MonthlyIncome]]&lt;8000,"5000-7999","8000+")))</f>
        <v>8000+</v>
      </c>
      <c r="AM1001">
        <f>IF(HR_Cleaned[[#This Row],[Attrition]]="Yes",1,0)</f>
        <v>0</v>
      </c>
    </row>
    <row r="1002" spans="1:39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>
        <f>IF(HR_Cleaned[[#This Row],[Age]]&lt;25,"18-24",IF(HR_Cleaned[[#This Row],[Age]]&lt;35,"25-34",IF(HR_Cleaned[[#This Row],[Age]]&lt;45,"35-44",IF(HR_Cleaned[[#This Row],[Age]]&lt;55,"45-54","55+"))))</f>
        <v>45-54</v>
      </c>
      <c r="AK100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02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02">
        <f>IF(HR_Cleaned[[#This Row],[Attrition]]="Yes",1,0)</f>
        <v>0</v>
      </c>
    </row>
    <row r="1003" spans="1:39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>
        <f>IF(HR_Cleaned[[#This Row],[Age]]&lt;25,"18-24",IF(HR_Cleaned[[#This Row],[Age]]&lt;35,"25-34",IF(HR_Cleaned[[#This Row],[Age]]&lt;45,"35-44",IF(HR_Cleaned[[#This Row],[Age]]&lt;55,"45-54","55+"))))</f>
        <v>35-44</v>
      </c>
      <c r="AK100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03" t="str">
        <f>IF(HR_Cleaned[[#This Row],[MonthlyIncome]]&lt;3000,"Below 3000",IF(HR_Cleaned[[#This Row],[MonthlyIncome]]&lt;5000,"3000-4999",IF(HR_Cleaned[[#This Row],[MonthlyIncome]]&lt;8000,"5000-7999","8000+")))</f>
        <v>3000-4999</v>
      </c>
      <c r="AM1003">
        <f>IF(HR_Cleaned[[#This Row],[Attrition]]="Yes",1,0)</f>
        <v>0</v>
      </c>
    </row>
    <row r="1004" spans="1:39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>
        <f>IF(HR_Cleaned[[#This Row],[Age]]&lt;25,"18-24",IF(HR_Cleaned[[#This Row],[Age]]&lt;35,"25-34",IF(HR_Cleaned[[#This Row],[Age]]&lt;45,"35-44",IF(HR_Cleaned[[#This Row],[Age]]&lt;55,"45-54","55+"))))</f>
        <v>35-44</v>
      </c>
      <c r="AK100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004" t="str">
        <f>IF(HR_Cleaned[[#This Row],[MonthlyIncome]]&lt;3000,"Below 3000",IF(HR_Cleaned[[#This Row],[MonthlyIncome]]&lt;5000,"3000-4999",IF(HR_Cleaned[[#This Row],[MonthlyIncome]]&lt;8000,"5000-7999","8000+")))</f>
        <v>8000+</v>
      </c>
      <c r="AM1004">
        <f>IF(HR_Cleaned[[#This Row],[Attrition]]="Yes",1,0)</f>
        <v>0</v>
      </c>
    </row>
    <row r="1005" spans="1:39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>
        <f>IF(HR_Cleaned[[#This Row],[Age]]&lt;25,"18-24",IF(HR_Cleaned[[#This Row],[Age]]&lt;35,"25-34",IF(HR_Cleaned[[#This Row],[Age]]&lt;45,"35-44",IF(HR_Cleaned[[#This Row],[Age]]&lt;55,"45-54","55+"))))</f>
        <v>25-34</v>
      </c>
      <c r="AK100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05" t="str">
        <f>IF(HR_Cleaned[[#This Row],[MonthlyIncome]]&lt;3000,"Below 3000",IF(HR_Cleaned[[#This Row],[MonthlyIncome]]&lt;5000,"3000-4999",IF(HR_Cleaned[[#This Row],[MonthlyIncome]]&lt;8000,"5000-7999","8000+")))</f>
        <v>3000-4999</v>
      </c>
      <c r="AM1005">
        <f>IF(HR_Cleaned[[#This Row],[Attrition]]="Yes",1,0)</f>
        <v>0</v>
      </c>
    </row>
    <row r="1006" spans="1:39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>
        <f>IF(HR_Cleaned[[#This Row],[Age]]&lt;25,"18-24",IF(HR_Cleaned[[#This Row],[Age]]&lt;35,"25-34",IF(HR_Cleaned[[#This Row],[Age]]&lt;45,"35-44",IF(HR_Cleaned[[#This Row],[Age]]&lt;55,"45-54","55+"))))</f>
        <v>25-34</v>
      </c>
      <c r="AK100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06" t="str">
        <f>IF(HR_Cleaned[[#This Row],[MonthlyIncome]]&lt;3000,"Below 3000",IF(HR_Cleaned[[#This Row],[MonthlyIncome]]&lt;5000,"3000-4999",IF(HR_Cleaned[[#This Row],[MonthlyIncome]]&lt;8000,"5000-7999","8000+")))</f>
        <v>3000-4999</v>
      </c>
      <c r="AM1006">
        <f>IF(HR_Cleaned[[#This Row],[Attrition]]="Yes",1,0)</f>
        <v>0</v>
      </c>
    </row>
    <row r="1007" spans="1:39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>
        <f>IF(HR_Cleaned[[#This Row],[Age]]&lt;25,"18-24",IF(HR_Cleaned[[#This Row],[Age]]&lt;35,"25-34",IF(HR_Cleaned[[#This Row],[Age]]&lt;45,"35-44",IF(HR_Cleaned[[#This Row],[Age]]&lt;55,"45-54","55+"))))</f>
        <v>25-34</v>
      </c>
      <c r="AK100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07" t="str">
        <f>IF(HR_Cleaned[[#This Row],[MonthlyIncome]]&lt;3000,"Below 3000",IF(HR_Cleaned[[#This Row],[MonthlyIncome]]&lt;5000,"3000-4999",IF(HR_Cleaned[[#This Row],[MonthlyIncome]]&lt;8000,"5000-7999","8000+")))</f>
        <v>5000-7999</v>
      </c>
      <c r="AM1007">
        <f>IF(HR_Cleaned[[#This Row],[Attrition]]="Yes",1,0)</f>
        <v>0</v>
      </c>
    </row>
    <row r="1008" spans="1:39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>
        <f>IF(HR_Cleaned[[#This Row],[Age]]&lt;25,"18-24",IF(HR_Cleaned[[#This Row],[Age]]&lt;35,"25-34",IF(HR_Cleaned[[#This Row],[Age]]&lt;45,"35-44",IF(HR_Cleaned[[#This Row],[Age]]&lt;55,"45-54","55+"))))</f>
        <v>45-54</v>
      </c>
      <c r="AK100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08" t="str">
        <f>IF(HR_Cleaned[[#This Row],[MonthlyIncome]]&lt;3000,"Below 3000",IF(HR_Cleaned[[#This Row],[MonthlyIncome]]&lt;5000,"3000-4999",IF(HR_Cleaned[[#This Row],[MonthlyIncome]]&lt;8000,"5000-7999","8000+")))</f>
        <v>3000-4999</v>
      </c>
      <c r="AM1008">
        <f>IF(HR_Cleaned[[#This Row],[Attrition]]="Yes",1,0)</f>
        <v>1</v>
      </c>
    </row>
    <row r="1009" spans="1:39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>
        <f>IF(HR_Cleaned[[#This Row],[Age]]&lt;25,"18-24",IF(HR_Cleaned[[#This Row],[Age]]&lt;35,"25-34",IF(HR_Cleaned[[#This Row],[Age]]&lt;45,"35-44",IF(HR_Cleaned[[#This Row],[Age]]&lt;55,"45-54","55+"))))</f>
        <v>25-34</v>
      </c>
      <c r="AK100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09" t="str">
        <f>IF(HR_Cleaned[[#This Row],[MonthlyIncome]]&lt;3000,"Below 3000",IF(HR_Cleaned[[#This Row],[MonthlyIncome]]&lt;5000,"3000-4999",IF(HR_Cleaned[[#This Row],[MonthlyIncome]]&lt;8000,"5000-7999","8000+")))</f>
        <v>5000-7999</v>
      </c>
      <c r="AM1009">
        <f>IF(HR_Cleaned[[#This Row],[Attrition]]="Yes",1,0)</f>
        <v>1</v>
      </c>
    </row>
    <row r="1010" spans="1:39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>
        <f>IF(HR_Cleaned[[#This Row],[Age]]&lt;25,"18-24",IF(HR_Cleaned[[#This Row],[Age]]&lt;35,"25-34",IF(HR_Cleaned[[#This Row],[Age]]&lt;45,"35-44",IF(HR_Cleaned[[#This Row],[Age]]&lt;55,"45-54","55+"))))</f>
        <v>45-54</v>
      </c>
      <c r="AK101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010" t="str">
        <f>IF(HR_Cleaned[[#This Row],[MonthlyIncome]]&lt;3000,"Below 3000",IF(HR_Cleaned[[#This Row],[MonthlyIncome]]&lt;5000,"3000-4999",IF(HR_Cleaned[[#This Row],[MonthlyIncome]]&lt;8000,"5000-7999","8000+")))</f>
        <v>8000+</v>
      </c>
      <c r="AM1010">
        <f>IF(HR_Cleaned[[#This Row],[Attrition]]="Yes",1,0)</f>
        <v>0</v>
      </c>
    </row>
    <row r="1011" spans="1:39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>
        <f>IF(HR_Cleaned[[#This Row],[Age]]&lt;25,"18-24",IF(HR_Cleaned[[#This Row],[Age]]&lt;35,"25-34",IF(HR_Cleaned[[#This Row],[Age]]&lt;45,"35-44",IF(HR_Cleaned[[#This Row],[Age]]&lt;55,"45-54","55+"))))</f>
        <v>55+</v>
      </c>
      <c r="AK101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11" t="str">
        <f>IF(HR_Cleaned[[#This Row],[MonthlyIncome]]&lt;3000,"Below 3000",IF(HR_Cleaned[[#This Row],[MonthlyIncome]]&lt;5000,"3000-4999",IF(HR_Cleaned[[#This Row],[MonthlyIncome]]&lt;8000,"5000-7999","8000+")))</f>
        <v>8000+</v>
      </c>
      <c r="AM1011">
        <f>IF(HR_Cleaned[[#This Row],[Attrition]]="Yes",1,0)</f>
        <v>0</v>
      </c>
    </row>
    <row r="1012" spans="1:39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>
        <f>IF(HR_Cleaned[[#This Row],[Age]]&lt;25,"18-24",IF(HR_Cleaned[[#This Row],[Age]]&lt;35,"25-34",IF(HR_Cleaned[[#This Row],[Age]]&lt;45,"35-44",IF(HR_Cleaned[[#This Row],[Age]]&lt;55,"45-54","55+"))))</f>
        <v>55+</v>
      </c>
      <c r="AK101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12" t="str">
        <f>IF(HR_Cleaned[[#This Row],[MonthlyIncome]]&lt;3000,"Below 3000",IF(HR_Cleaned[[#This Row],[MonthlyIncome]]&lt;5000,"3000-4999",IF(HR_Cleaned[[#This Row],[MonthlyIncome]]&lt;8000,"5000-7999","8000+")))</f>
        <v>8000+</v>
      </c>
      <c r="AM1012">
        <f>IF(HR_Cleaned[[#This Row],[Attrition]]="Yes",1,0)</f>
        <v>0</v>
      </c>
    </row>
    <row r="1013" spans="1:39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>
        <f>IF(HR_Cleaned[[#This Row],[Age]]&lt;25,"18-24",IF(HR_Cleaned[[#This Row],[Age]]&lt;35,"25-34",IF(HR_Cleaned[[#This Row],[Age]]&lt;45,"35-44",IF(HR_Cleaned[[#This Row],[Age]]&lt;55,"45-54","55+"))))</f>
        <v>35-44</v>
      </c>
      <c r="AK101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13" t="str">
        <f>IF(HR_Cleaned[[#This Row],[MonthlyIncome]]&lt;3000,"Below 3000",IF(HR_Cleaned[[#This Row],[MonthlyIncome]]&lt;5000,"3000-4999",IF(HR_Cleaned[[#This Row],[MonthlyIncome]]&lt;8000,"5000-7999","8000+")))</f>
        <v>8000+</v>
      </c>
      <c r="AM1013">
        <f>IF(HR_Cleaned[[#This Row],[Attrition]]="Yes",1,0)</f>
        <v>0</v>
      </c>
    </row>
    <row r="1014" spans="1:39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>
        <f>IF(HR_Cleaned[[#This Row],[Age]]&lt;25,"18-24",IF(HR_Cleaned[[#This Row],[Age]]&lt;35,"25-34",IF(HR_Cleaned[[#This Row],[Age]]&lt;45,"35-44",IF(HR_Cleaned[[#This Row],[Age]]&lt;55,"45-54","55+"))))</f>
        <v>25-34</v>
      </c>
      <c r="AK101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014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14">
        <f>IF(HR_Cleaned[[#This Row],[Attrition]]="Yes",1,0)</f>
        <v>1</v>
      </c>
    </row>
    <row r="1015" spans="1:39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>
        <f>IF(HR_Cleaned[[#This Row],[Age]]&lt;25,"18-24",IF(HR_Cleaned[[#This Row],[Age]]&lt;35,"25-34",IF(HR_Cleaned[[#This Row],[Age]]&lt;45,"35-44",IF(HR_Cleaned[[#This Row],[Age]]&lt;55,"45-54","55+"))))</f>
        <v>25-34</v>
      </c>
      <c r="AK101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15" t="str">
        <f>IF(HR_Cleaned[[#This Row],[MonthlyIncome]]&lt;3000,"Below 3000",IF(HR_Cleaned[[#This Row],[MonthlyIncome]]&lt;5000,"3000-4999",IF(HR_Cleaned[[#This Row],[MonthlyIncome]]&lt;8000,"5000-7999","8000+")))</f>
        <v>3000-4999</v>
      </c>
      <c r="AM1015">
        <f>IF(HR_Cleaned[[#This Row],[Attrition]]="Yes",1,0)</f>
        <v>0</v>
      </c>
    </row>
    <row r="1016" spans="1:39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>
        <f>IF(HR_Cleaned[[#This Row],[Age]]&lt;25,"18-24",IF(HR_Cleaned[[#This Row],[Age]]&lt;35,"25-34",IF(HR_Cleaned[[#This Row],[Age]]&lt;45,"35-44",IF(HR_Cleaned[[#This Row],[Age]]&lt;55,"45-54","55+"))))</f>
        <v>25-34</v>
      </c>
      <c r="AK101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16" t="str">
        <f>IF(HR_Cleaned[[#This Row],[MonthlyIncome]]&lt;3000,"Below 3000",IF(HR_Cleaned[[#This Row],[MonthlyIncome]]&lt;5000,"3000-4999",IF(HR_Cleaned[[#This Row],[MonthlyIncome]]&lt;8000,"5000-7999","8000+")))</f>
        <v>8000+</v>
      </c>
      <c r="AM1016">
        <f>IF(HR_Cleaned[[#This Row],[Attrition]]="Yes",1,0)</f>
        <v>0</v>
      </c>
    </row>
    <row r="1017" spans="1:39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>
        <f>IF(HR_Cleaned[[#This Row],[Age]]&lt;25,"18-24",IF(HR_Cleaned[[#This Row],[Age]]&lt;35,"25-34",IF(HR_Cleaned[[#This Row],[Age]]&lt;45,"35-44",IF(HR_Cleaned[[#This Row],[Age]]&lt;55,"45-54","55+"))))</f>
        <v>25-34</v>
      </c>
      <c r="AK101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17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17">
        <f>IF(HR_Cleaned[[#This Row],[Attrition]]="Yes",1,0)</f>
        <v>0</v>
      </c>
    </row>
    <row r="1018" spans="1:39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>
        <f>IF(HR_Cleaned[[#This Row],[Age]]&lt;25,"18-24",IF(HR_Cleaned[[#This Row],[Age]]&lt;35,"25-34",IF(HR_Cleaned[[#This Row],[Age]]&lt;45,"35-44",IF(HR_Cleaned[[#This Row],[Age]]&lt;55,"45-54","55+"))))</f>
        <v>25-34</v>
      </c>
      <c r="AK101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018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18">
        <f>IF(HR_Cleaned[[#This Row],[Attrition]]="Yes",1,0)</f>
        <v>1</v>
      </c>
    </row>
    <row r="1019" spans="1:39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>
        <f>IF(HR_Cleaned[[#This Row],[Age]]&lt;25,"18-24",IF(HR_Cleaned[[#This Row],[Age]]&lt;35,"25-34",IF(HR_Cleaned[[#This Row],[Age]]&lt;45,"35-44",IF(HR_Cleaned[[#This Row],[Age]]&lt;55,"45-54","55+"))))</f>
        <v>25-34</v>
      </c>
      <c r="AK101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19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19">
        <f>IF(HR_Cleaned[[#This Row],[Attrition]]="Yes",1,0)</f>
        <v>0</v>
      </c>
    </row>
    <row r="1020" spans="1:39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>
        <f>IF(HR_Cleaned[[#This Row],[Age]]&lt;25,"18-24",IF(HR_Cleaned[[#This Row],[Age]]&lt;35,"25-34",IF(HR_Cleaned[[#This Row],[Age]]&lt;45,"35-44",IF(HR_Cleaned[[#This Row],[Age]]&lt;55,"45-54","55+"))))</f>
        <v>35-44</v>
      </c>
      <c r="AK102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20" t="str">
        <f>IF(HR_Cleaned[[#This Row],[MonthlyIncome]]&lt;3000,"Below 3000",IF(HR_Cleaned[[#This Row],[MonthlyIncome]]&lt;5000,"3000-4999",IF(HR_Cleaned[[#This Row],[MonthlyIncome]]&lt;8000,"5000-7999","8000+")))</f>
        <v>5000-7999</v>
      </c>
      <c r="AM1020">
        <f>IF(HR_Cleaned[[#This Row],[Attrition]]="Yes",1,0)</f>
        <v>0</v>
      </c>
    </row>
    <row r="1021" spans="1:39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>
        <f>IF(HR_Cleaned[[#This Row],[Age]]&lt;25,"18-24",IF(HR_Cleaned[[#This Row],[Age]]&lt;35,"25-34",IF(HR_Cleaned[[#This Row],[Age]]&lt;45,"35-44",IF(HR_Cleaned[[#This Row],[Age]]&lt;55,"45-54","55+"))))</f>
        <v>35-44</v>
      </c>
      <c r="AK102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21" t="str">
        <f>IF(HR_Cleaned[[#This Row],[MonthlyIncome]]&lt;3000,"Below 3000",IF(HR_Cleaned[[#This Row],[MonthlyIncome]]&lt;5000,"3000-4999",IF(HR_Cleaned[[#This Row],[MonthlyIncome]]&lt;8000,"5000-7999","8000+")))</f>
        <v>5000-7999</v>
      </c>
      <c r="AM1021">
        <f>IF(HR_Cleaned[[#This Row],[Attrition]]="Yes",1,0)</f>
        <v>0</v>
      </c>
    </row>
    <row r="1022" spans="1:39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>
        <f>IF(HR_Cleaned[[#This Row],[Age]]&lt;25,"18-24",IF(HR_Cleaned[[#This Row],[Age]]&lt;35,"25-34",IF(HR_Cleaned[[#This Row],[Age]]&lt;45,"35-44",IF(HR_Cleaned[[#This Row],[Age]]&lt;55,"45-54","55+"))))</f>
        <v>45-54</v>
      </c>
      <c r="AK102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22" t="str">
        <f>IF(HR_Cleaned[[#This Row],[MonthlyIncome]]&lt;3000,"Below 3000",IF(HR_Cleaned[[#This Row],[MonthlyIncome]]&lt;5000,"3000-4999",IF(HR_Cleaned[[#This Row],[MonthlyIncome]]&lt;8000,"5000-7999","8000+")))</f>
        <v>3000-4999</v>
      </c>
      <c r="AM1022">
        <f>IF(HR_Cleaned[[#This Row],[Attrition]]="Yes",1,0)</f>
        <v>0</v>
      </c>
    </row>
    <row r="1023" spans="1:39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>
        <f>IF(HR_Cleaned[[#This Row],[Age]]&lt;25,"18-24",IF(HR_Cleaned[[#This Row],[Age]]&lt;35,"25-34",IF(HR_Cleaned[[#This Row],[Age]]&lt;45,"35-44",IF(HR_Cleaned[[#This Row],[Age]]&lt;55,"45-54","55+"))))</f>
        <v>25-34</v>
      </c>
      <c r="AK102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23" t="str">
        <f>IF(HR_Cleaned[[#This Row],[MonthlyIncome]]&lt;3000,"Below 3000",IF(HR_Cleaned[[#This Row],[MonthlyIncome]]&lt;5000,"3000-4999",IF(HR_Cleaned[[#This Row],[MonthlyIncome]]&lt;8000,"5000-7999","8000+")))</f>
        <v>3000-4999</v>
      </c>
      <c r="AM1023">
        <f>IF(HR_Cleaned[[#This Row],[Attrition]]="Yes",1,0)</f>
        <v>1</v>
      </c>
    </row>
    <row r="1024" spans="1:39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>
        <f>IF(HR_Cleaned[[#This Row],[Age]]&lt;25,"18-24",IF(HR_Cleaned[[#This Row],[Age]]&lt;35,"25-34",IF(HR_Cleaned[[#This Row],[Age]]&lt;45,"35-44",IF(HR_Cleaned[[#This Row],[Age]]&lt;55,"45-54","55+"))))</f>
        <v>35-44</v>
      </c>
      <c r="AK102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24" t="str">
        <f>IF(HR_Cleaned[[#This Row],[MonthlyIncome]]&lt;3000,"Below 3000",IF(HR_Cleaned[[#This Row],[MonthlyIncome]]&lt;5000,"3000-4999",IF(HR_Cleaned[[#This Row],[MonthlyIncome]]&lt;8000,"5000-7999","8000+")))</f>
        <v>3000-4999</v>
      </c>
      <c r="AM1024">
        <f>IF(HR_Cleaned[[#This Row],[Attrition]]="Yes",1,0)</f>
        <v>0</v>
      </c>
    </row>
    <row r="1025" spans="1:39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>
        <f>IF(HR_Cleaned[[#This Row],[Age]]&lt;25,"18-24",IF(HR_Cleaned[[#This Row],[Age]]&lt;35,"25-34",IF(HR_Cleaned[[#This Row],[Age]]&lt;45,"35-44",IF(HR_Cleaned[[#This Row],[Age]]&lt;55,"45-54","55+"))))</f>
        <v>55+</v>
      </c>
      <c r="AK102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25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25">
        <f>IF(HR_Cleaned[[#This Row],[Attrition]]="Yes",1,0)</f>
        <v>0</v>
      </c>
    </row>
    <row r="1026" spans="1:39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>
        <f>IF(HR_Cleaned[[#This Row],[Age]]&lt;25,"18-24",IF(HR_Cleaned[[#This Row],[Age]]&lt;35,"25-34",IF(HR_Cleaned[[#This Row],[Age]]&lt;45,"35-44",IF(HR_Cleaned[[#This Row],[Age]]&lt;55,"45-54","55+"))))</f>
        <v>45-54</v>
      </c>
      <c r="AK1026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026" t="str">
        <f>IF(HR_Cleaned[[#This Row],[MonthlyIncome]]&lt;3000,"Below 3000",IF(HR_Cleaned[[#This Row],[MonthlyIncome]]&lt;5000,"3000-4999",IF(HR_Cleaned[[#This Row],[MonthlyIncome]]&lt;8000,"5000-7999","8000+")))</f>
        <v>8000+</v>
      </c>
      <c r="AM1026">
        <f>IF(HR_Cleaned[[#This Row],[Attrition]]="Yes",1,0)</f>
        <v>0</v>
      </c>
    </row>
    <row r="1027" spans="1:39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>
        <f>IF(HR_Cleaned[[#This Row],[Age]]&lt;25,"18-24",IF(HR_Cleaned[[#This Row],[Age]]&lt;35,"25-34",IF(HR_Cleaned[[#This Row],[Age]]&lt;45,"35-44",IF(HR_Cleaned[[#This Row],[Age]]&lt;55,"45-54","55+"))))</f>
        <v>18-24</v>
      </c>
      <c r="AK102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27" t="str">
        <f>IF(HR_Cleaned[[#This Row],[MonthlyIncome]]&lt;3000,"Below 3000",IF(HR_Cleaned[[#This Row],[MonthlyIncome]]&lt;5000,"3000-4999",IF(HR_Cleaned[[#This Row],[MonthlyIncome]]&lt;8000,"5000-7999","8000+")))</f>
        <v>3000-4999</v>
      </c>
      <c r="AM1027">
        <f>IF(HR_Cleaned[[#This Row],[Attrition]]="Yes",1,0)</f>
        <v>0</v>
      </c>
    </row>
    <row r="1028" spans="1:39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>
        <f>IF(HR_Cleaned[[#This Row],[Age]]&lt;25,"18-24",IF(HR_Cleaned[[#This Row],[Age]]&lt;35,"25-34",IF(HR_Cleaned[[#This Row],[Age]]&lt;45,"35-44",IF(HR_Cleaned[[#This Row],[Age]]&lt;55,"45-54","55+"))))</f>
        <v>25-34</v>
      </c>
      <c r="AK102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28" t="str">
        <f>IF(HR_Cleaned[[#This Row],[MonthlyIncome]]&lt;3000,"Below 3000",IF(HR_Cleaned[[#This Row],[MonthlyIncome]]&lt;5000,"3000-4999",IF(HR_Cleaned[[#This Row],[MonthlyIncome]]&lt;8000,"5000-7999","8000+")))</f>
        <v>8000+</v>
      </c>
      <c r="AM1028">
        <f>IF(HR_Cleaned[[#This Row],[Attrition]]="Yes",1,0)</f>
        <v>0</v>
      </c>
    </row>
    <row r="1029" spans="1:39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>
        <f>IF(HR_Cleaned[[#This Row],[Age]]&lt;25,"18-24",IF(HR_Cleaned[[#This Row],[Age]]&lt;35,"25-34",IF(HR_Cleaned[[#This Row],[Age]]&lt;45,"35-44",IF(HR_Cleaned[[#This Row],[Age]]&lt;55,"45-54","55+"))))</f>
        <v>25-34</v>
      </c>
      <c r="AK102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29" t="str">
        <f>IF(HR_Cleaned[[#This Row],[MonthlyIncome]]&lt;3000,"Below 3000",IF(HR_Cleaned[[#This Row],[MonthlyIncome]]&lt;5000,"3000-4999",IF(HR_Cleaned[[#This Row],[MonthlyIncome]]&lt;8000,"5000-7999","8000+")))</f>
        <v>3000-4999</v>
      </c>
      <c r="AM1029">
        <f>IF(HR_Cleaned[[#This Row],[Attrition]]="Yes",1,0)</f>
        <v>0</v>
      </c>
    </row>
    <row r="1030" spans="1:39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>
        <f>IF(HR_Cleaned[[#This Row],[Age]]&lt;25,"18-24",IF(HR_Cleaned[[#This Row],[Age]]&lt;35,"25-34",IF(HR_Cleaned[[#This Row],[Age]]&lt;45,"35-44",IF(HR_Cleaned[[#This Row],[Age]]&lt;55,"45-54","55+"))))</f>
        <v>35-44</v>
      </c>
      <c r="AK103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30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30">
        <f>IF(HR_Cleaned[[#This Row],[Attrition]]="Yes",1,0)</f>
        <v>0</v>
      </c>
    </row>
    <row r="1031" spans="1:39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>
        <f>IF(HR_Cleaned[[#This Row],[Age]]&lt;25,"18-24",IF(HR_Cleaned[[#This Row],[Age]]&lt;35,"25-34",IF(HR_Cleaned[[#This Row],[Age]]&lt;45,"35-44",IF(HR_Cleaned[[#This Row],[Age]]&lt;55,"45-54","55+"))))</f>
        <v>35-44</v>
      </c>
      <c r="AK103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31" t="str">
        <f>IF(HR_Cleaned[[#This Row],[MonthlyIncome]]&lt;3000,"Below 3000",IF(HR_Cleaned[[#This Row],[MonthlyIncome]]&lt;5000,"3000-4999",IF(HR_Cleaned[[#This Row],[MonthlyIncome]]&lt;8000,"5000-7999","8000+")))</f>
        <v>3000-4999</v>
      </c>
      <c r="AM1031">
        <f>IF(HR_Cleaned[[#This Row],[Attrition]]="Yes",1,0)</f>
        <v>0</v>
      </c>
    </row>
    <row r="1032" spans="1:39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>
        <f>IF(HR_Cleaned[[#This Row],[Age]]&lt;25,"18-24",IF(HR_Cleaned[[#This Row],[Age]]&lt;35,"25-34",IF(HR_Cleaned[[#This Row],[Age]]&lt;45,"35-44",IF(HR_Cleaned[[#This Row],[Age]]&lt;55,"45-54","55+"))))</f>
        <v>25-34</v>
      </c>
      <c r="AK103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032" t="str">
        <f>IF(HR_Cleaned[[#This Row],[MonthlyIncome]]&lt;3000,"Below 3000",IF(HR_Cleaned[[#This Row],[MonthlyIncome]]&lt;5000,"3000-4999",IF(HR_Cleaned[[#This Row],[MonthlyIncome]]&lt;8000,"5000-7999","8000+")))</f>
        <v>8000+</v>
      </c>
      <c r="AM1032">
        <f>IF(HR_Cleaned[[#This Row],[Attrition]]="Yes",1,0)</f>
        <v>0</v>
      </c>
    </row>
    <row r="1033" spans="1:39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>
        <f>IF(HR_Cleaned[[#This Row],[Age]]&lt;25,"18-24",IF(HR_Cleaned[[#This Row],[Age]]&lt;35,"25-34",IF(HR_Cleaned[[#This Row],[Age]]&lt;45,"35-44",IF(HR_Cleaned[[#This Row],[Age]]&lt;55,"45-54","55+"))))</f>
        <v>45-54</v>
      </c>
      <c r="AK103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33" t="str">
        <f>IF(HR_Cleaned[[#This Row],[MonthlyIncome]]&lt;3000,"Below 3000",IF(HR_Cleaned[[#This Row],[MonthlyIncome]]&lt;5000,"3000-4999",IF(HR_Cleaned[[#This Row],[MonthlyIncome]]&lt;8000,"5000-7999","8000+")))</f>
        <v>8000+</v>
      </c>
      <c r="AM1033">
        <f>IF(HR_Cleaned[[#This Row],[Attrition]]="Yes",1,0)</f>
        <v>1</v>
      </c>
    </row>
    <row r="1034" spans="1:39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>
        <f>IF(HR_Cleaned[[#This Row],[Age]]&lt;25,"18-24",IF(HR_Cleaned[[#This Row],[Age]]&lt;35,"25-34",IF(HR_Cleaned[[#This Row],[Age]]&lt;45,"35-44",IF(HR_Cleaned[[#This Row],[Age]]&lt;55,"45-54","55+"))))</f>
        <v>35-44</v>
      </c>
      <c r="AK103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034" t="str">
        <f>IF(HR_Cleaned[[#This Row],[MonthlyIncome]]&lt;3000,"Below 3000",IF(HR_Cleaned[[#This Row],[MonthlyIncome]]&lt;5000,"3000-4999",IF(HR_Cleaned[[#This Row],[MonthlyIncome]]&lt;8000,"5000-7999","8000+")))</f>
        <v>3000-4999</v>
      </c>
      <c r="AM1034">
        <f>IF(HR_Cleaned[[#This Row],[Attrition]]="Yes",1,0)</f>
        <v>1</v>
      </c>
    </row>
    <row r="1035" spans="1:39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>
        <f>IF(HR_Cleaned[[#This Row],[Age]]&lt;25,"18-24",IF(HR_Cleaned[[#This Row],[Age]]&lt;35,"25-34",IF(HR_Cleaned[[#This Row],[Age]]&lt;45,"35-44",IF(HR_Cleaned[[#This Row],[Age]]&lt;55,"45-54","55+"))))</f>
        <v>25-34</v>
      </c>
      <c r="AK103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35" t="str">
        <f>IF(HR_Cleaned[[#This Row],[MonthlyIncome]]&lt;3000,"Below 3000",IF(HR_Cleaned[[#This Row],[MonthlyIncome]]&lt;5000,"3000-4999",IF(HR_Cleaned[[#This Row],[MonthlyIncome]]&lt;8000,"5000-7999","8000+")))</f>
        <v>5000-7999</v>
      </c>
      <c r="AM1035">
        <f>IF(HR_Cleaned[[#This Row],[Attrition]]="Yes",1,0)</f>
        <v>1</v>
      </c>
    </row>
    <row r="1036" spans="1:39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>
        <f>IF(HR_Cleaned[[#This Row],[Age]]&lt;25,"18-24",IF(HR_Cleaned[[#This Row],[Age]]&lt;35,"25-34",IF(HR_Cleaned[[#This Row],[Age]]&lt;45,"35-44",IF(HR_Cleaned[[#This Row],[Age]]&lt;55,"45-54","55+"))))</f>
        <v>45-54</v>
      </c>
      <c r="AK103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36" t="str">
        <f>IF(HR_Cleaned[[#This Row],[MonthlyIncome]]&lt;3000,"Below 3000",IF(HR_Cleaned[[#This Row],[MonthlyIncome]]&lt;5000,"3000-4999",IF(HR_Cleaned[[#This Row],[MonthlyIncome]]&lt;8000,"5000-7999","8000+")))</f>
        <v>8000+</v>
      </c>
      <c r="AM1036">
        <f>IF(HR_Cleaned[[#This Row],[Attrition]]="Yes",1,0)</f>
        <v>0</v>
      </c>
    </row>
    <row r="1037" spans="1:39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>
        <f>IF(HR_Cleaned[[#This Row],[Age]]&lt;25,"18-24",IF(HR_Cleaned[[#This Row],[Age]]&lt;35,"25-34",IF(HR_Cleaned[[#This Row],[Age]]&lt;45,"35-44",IF(HR_Cleaned[[#This Row],[Age]]&lt;55,"45-54","55+"))))</f>
        <v>25-34</v>
      </c>
      <c r="AK103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37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37">
        <f>IF(HR_Cleaned[[#This Row],[Attrition]]="Yes",1,0)</f>
        <v>0</v>
      </c>
    </row>
    <row r="1038" spans="1:39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>
        <f>IF(HR_Cleaned[[#This Row],[Age]]&lt;25,"18-24",IF(HR_Cleaned[[#This Row],[Age]]&lt;35,"25-34",IF(HR_Cleaned[[#This Row],[Age]]&lt;45,"35-44",IF(HR_Cleaned[[#This Row],[Age]]&lt;55,"45-54","55+"))))</f>
        <v>25-34</v>
      </c>
      <c r="AK103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038" t="str">
        <f>IF(HR_Cleaned[[#This Row],[MonthlyIncome]]&lt;3000,"Below 3000",IF(HR_Cleaned[[#This Row],[MonthlyIncome]]&lt;5000,"3000-4999",IF(HR_Cleaned[[#This Row],[MonthlyIncome]]&lt;8000,"5000-7999","8000+")))</f>
        <v>3000-4999</v>
      </c>
      <c r="AM1038">
        <f>IF(HR_Cleaned[[#This Row],[Attrition]]="Yes",1,0)</f>
        <v>1</v>
      </c>
    </row>
    <row r="1039" spans="1:39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>
        <f>IF(HR_Cleaned[[#This Row],[Age]]&lt;25,"18-24",IF(HR_Cleaned[[#This Row],[Age]]&lt;35,"25-34",IF(HR_Cleaned[[#This Row],[Age]]&lt;45,"35-44",IF(HR_Cleaned[[#This Row],[Age]]&lt;55,"45-54","55+"))))</f>
        <v>45-54</v>
      </c>
      <c r="AK103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39" t="str">
        <f>IF(HR_Cleaned[[#This Row],[MonthlyIncome]]&lt;3000,"Below 3000",IF(HR_Cleaned[[#This Row],[MonthlyIncome]]&lt;5000,"3000-4999",IF(HR_Cleaned[[#This Row],[MonthlyIncome]]&lt;8000,"5000-7999","8000+")))</f>
        <v>8000+</v>
      </c>
      <c r="AM1039">
        <f>IF(HR_Cleaned[[#This Row],[Attrition]]="Yes",1,0)</f>
        <v>0</v>
      </c>
    </row>
    <row r="1040" spans="1:39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>
        <f>IF(HR_Cleaned[[#This Row],[Age]]&lt;25,"18-24",IF(HR_Cleaned[[#This Row],[Age]]&lt;35,"25-34",IF(HR_Cleaned[[#This Row],[Age]]&lt;45,"35-44",IF(HR_Cleaned[[#This Row],[Age]]&lt;55,"45-54","55+"))))</f>
        <v>45-54</v>
      </c>
      <c r="AK104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040" t="str">
        <f>IF(HR_Cleaned[[#This Row],[MonthlyIncome]]&lt;3000,"Below 3000",IF(HR_Cleaned[[#This Row],[MonthlyIncome]]&lt;5000,"3000-4999",IF(HR_Cleaned[[#This Row],[MonthlyIncome]]&lt;8000,"5000-7999","8000+")))</f>
        <v>5000-7999</v>
      </c>
      <c r="AM1040">
        <f>IF(HR_Cleaned[[#This Row],[Attrition]]="Yes",1,0)</f>
        <v>0</v>
      </c>
    </row>
    <row r="1041" spans="1:39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>
        <f>IF(HR_Cleaned[[#This Row],[Age]]&lt;25,"18-24",IF(HR_Cleaned[[#This Row],[Age]]&lt;35,"25-34",IF(HR_Cleaned[[#This Row],[Age]]&lt;45,"35-44",IF(HR_Cleaned[[#This Row],[Age]]&lt;55,"45-54","55+"))))</f>
        <v>25-34</v>
      </c>
      <c r="AK104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041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41">
        <f>IF(HR_Cleaned[[#This Row],[Attrition]]="Yes",1,0)</f>
        <v>1</v>
      </c>
    </row>
    <row r="1042" spans="1:39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>
        <f>IF(HR_Cleaned[[#This Row],[Age]]&lt;25,"18-24",IF(HR_Cleaned[[#This Row],[Age]]&lt;35,"25-34",IF(HR_Cleaned[[#This Row],[Age]]&lt;45,"35-44",IF(HR_Cleaned[[#This Row],[Age]]&lt;55,"45-54","55+"))))</f>
        <v>35-44</v>
      </c>
      <c r="AK104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42" t="str">
        <f>IF(HR_Cleaned[[#This Row],[MonthlyIncome]]&lt;3000,"Below 3000",IF(HR_Cleaned[[#This Row],[MonthlyIncome]]&lt;5000,"3000-4999",IF(HR_Cleaned[[#This Row],[MonthlyIncome]]&lt;8000,"5000-7999","8000+")))</f>
        <v>8000+</v>
      </c>
      <c r="AM1042">
        <f>IF(HR_Cleaned[[#This Row],[Attrition]]="Yes",1,0)</f>
        <v>0</v>
      </c>
    </row>
    <row r="1043" spans="1:39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>
        <f>IF(HR_Cleaned[[#This Row],[Age]]&lt;25,"18-24",IF(HR_Cleaned[[#This Row],[Age]]&lt;35,"25-34",IF(HR_Cleaned[[#This Row],[Age]]&lt;45,"35-44",IF(HR_Cleaned[[#This Row],[Age]]&lt;55,"45-54","55+"))))</f>
        <v>25-34</v>
      </c>
      <c r="AK104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43" t="str">
        <f>IF(HR_Cleaned[[#This Row],[MonthlyIncome]]&lt;3000,"Below 3000",IF(HR_Cleaned[[#This Row],[MonthlyIncome]]&lt;5000,"3000-4999",IF(HR_Cleaned[[#This Row],[MonthlyIncome]]&lt;8000,"5000-7999","8000+")))</f>
        <v>8000+</v>
      </c>
      <c r="AM1043">
        <f>IF(HR_Cleaned[[#This Row],[Attrition]]="Yes",1,0)</f>
        <v>0</v>
      </c>
    </row>
    <row r="1044" spans="1:39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>
        <f>IF(HR_Cleaned[[#This Row],[Age]]&lt;25,"18-24",IF(HR_Cleaned[[#This Row],[Age]]&lt;35,"25-34",IF(HR_Cleaned[[#This Row],[Age]]&lt;45,"35-44",IF(HR_Cleaned[[#This Row],[Age]]&lt;55,"45-54","55+"))))</f>
        <v>35-44</v>
      </c>
      <c r="AK104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44" t="str">
        <f>IF(HR_Cleaned[[#This Row],[MonthlyIncome]]&lt;3000,"Below 3000",IF(HR_Cleaned[[#This Row],[MonthlyIncome]]&lt;5000,"3000-4999",IF(HR_Cleaned[[#This Row],[MonthlyIncome]]&lt;8000,"5000-7999","8000+")))</f>
        <v>3000-4999</v>
      </c>
      <c r="AM1044">
        <f>IF(HR_Cleaned[[#This Row],[Attrition]]="Yes",1,0)</f>
        <v>0</v>
      </c>
    </row>
    <row r="1045" spans="1:39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>
        <f>IF(HR_Cleaned[[#This Row],[Age]]&lt;25,"18-24",IF(HR_Cleaned[[#This Row],[Age]]&lt;35,"25-34",IF(HR_Cleaned[[#This Row],[Age]]&lt;45,"35-44",IF(HR_Cleaned[[#This Row],[Age]]&lt;55,"45-54","55+"))))</f>
        <v>45-54</v>
      </c>
      <c r="AK104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45" t="str">
        <f>IF(HR_Cleaned[[#This Row],[MonthlyIncome]]&lt;3000,"Below 3000",IF(HR_Cleaned[[#This Row],[MonthlyIncome]]&lt;5000,"3000-4999",IF(HR_Cleaned[[#This Row],[MonthlyIncome]]&lt;8000,"5000-7999","8000+")))</f>
        <v>8000+</v>
      </c>
      <c r="AM1045">
        <f>IF(HR_Cleaned[[#This Row],[Attrition]]="Yes",1,0)</f>
        <v>0</v>
      </c>
    </row>
    <row r="1046" spans="1:39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>
        <f>IF(HR_Cleaned[[#This Row],[Age]]&lt;25,"18-24",IF(HR_Cleaned[[#This Row],[Age]]&lt;35,"25-34",IF(HR_Cleaned[[#This Row],[Age]]&lt;45,"35-44",IF(HR_Cleaned[[#This Row],[Age]]&lt;55,"45-54","55+"))))</f>
        <v>45-54</v>
      </c>
      <c r="AK104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46" t="str">
        <f>IF(HR_Cleaned[[#This Row],[MonthlyIncome]]&lt;3000,"Below 3000",IF(HR_Cleaned[[#This Row],[MonthlyIncome]]&lt;5000,"3000-4999",IF(HR_Cleaned[[#This Row],[MonthlyIncome]]&lt;8000,"5000-7999","8000+")))</f>
        <v>5000-7999</v>
      </c>
      <c r="AM1046">
        <f>IF(HR_Cleaned[[#This Row],[Attrition]]="Yes",1,0)</f>
        <v>0</v>
      </c>
    </row>
    <row r="1047" spans="1:39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>
        <f>IF(HR_Cleaned[[#This Row],[Age]]&lt;25,"18-24",IF(HR_Cleaned[[#This Row],[Age]]&lt;35,"25-34",IF(HR_Cleaned[[#This Row],[Age]]&lt;45,"35-44",IF(HR_Cleaned[[#This Row],[Age]]&lt;55,"45-54","55+"))))</f>
        <v>35-44</v>
      </c>
      <c r="AK104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47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47">
        <f>IF(HR_Cleaned[[#This Row],[Attrition]]="Yes",1,0)</f>
        <v>0</v>
      </c>
    </row>
    <row r="1048" spans="1:39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>
        <f>IF(HR_Cleaned[[#This Row],[Age]]&lt;25,"18-24",IF(HR_Cleaned[[#This Row],[Age]]&lt;35,"25-34",IF(HR_Cleaned[[#This Row],[Age]]&lt;45,"35-44",IF(HR_Cleaned[[#This Row],[Age]]&lt;55,"45-54","55+"))))</f>
        <v>35-44</v>
      </c>
      <c r="AK104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48" t="str">
        <f>IF(HR_Cleaned[[#This Row],[MonthlyIncome]]&lt;3000,"Below 3000",IF(HR_Cleaned[[#This Row],[MonthlyIncome]]&lt;5000,"3000-4999",IF(HR_Cleaned[[#This Row],[MonthlyIncome]]&lt;8000,"5000-7999","8000+")))</f>
        <v>3000-4999</v>
      </c>
      <c r="AM1048">
        <f>IF(HR_Cleaned[[#This Row],[Attrition]]="Yes",1,0)</f>
        <v>0</v>
      </c>
    </row>
    <row r="1049" spans="1:39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>
        <f>IF(HR_Cleaned[[#This Row],[Age]]&lt;25,"18-24",IF(HR_Cleaned[[#This Row],[Age]]&lt;35,"25-34",IF(HR_Cleaned[[#This Row],[Age]]&lt;45,"35-44",IF(HR_Cleaned[[#This Row],[Age]]&lt;55,"45-54","55+"))))</f>
        <v>25-34</v>
      </c>
      <c r="AK104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49" t="str">
        <f>IF(HR_Cleaned[[#This Row],[MonthlyIncome]]&lt;3000,"Below 3000",IF(HR_Cleaned[[#This Row],[MonthlyIncome]]&lt;5000,"3000-4999",IF(HR_Cleaned[[#This Row],[MonthlyIncome]]&lt;8000,"5000-7999","8000+")))</f>
        <v>3000-4999</v>
      </c>
      <c r="AM1049">
        <f>IF(HR_Cleaned[[#This Row],[Attrition]]="Yes",1,0)</f>
        <v>0</v>
      </c>
    </row>
    <row r="1050" spans="1:39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>
        <f>IF(HR_Cleaned[[#This Row],[Age]]&lt;25,"18-24",IF(HR_Cleaned[[#This Row],[Age]]&lt;35,"25-34",IF(HR_Cleaned[[#This Row],[Age]]&lt;45,"35-44",IF(HR_Cleaned[[#This Row],[Age]]&lt;55,"45-54","55+"))))</f>
        <v>25-34</v>
      </c>
      <c r="AK105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050" t="str">
        <f>IF(HR_Cleaned[[#This Row],[MonthlyIncome]]&lt;3000,"Below 3000",IF(HR_Cleaned[[#This Row],[MonthlyIncome]]&lt;5000,"3000-4999",IF(HR_Cleaned[[#This Row],[MonthlyIncome]]&lt;8000,"5000-7999","8000+")))</f>
        <v>3000-4999</v>
      </c>
      <c r="AM1050">
        <f>IF(HR_Cleaned[[#This Row],[Attrition]]="Yes",1,0)</f>
        <v>0</v>
      </c>
    </row>
    <row r="1051" spans="1:39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>
        <f>IF(HR_Cleaned[[#This Row],[Age]]&lt;25,"18-24",IF(HR_Cleaned[[#This Row],[Age]]&lt;35,"25-34",IF(HR_Cleaned[[#This Row],[Age]]&lt;45,"35-44",IF(HR_Cleaned[[#This Row],[Age]]&lt;55,"45-54","55+"))))</f>
        <v>25-34</v>
      </c>
      <c r="AK105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051" t="str">
        <f>IF(HR_Cleaned[[#This Row],[MonthlyIncome]]&lt;3000,"Below 3000",IF(HR_Cleaned[[#This Row],[MonthlyIncome]]&lt;5000,"3000-4999",IF(HR_Cleaned[[#This Row],[MonthlyIncome]]&lt;8000,"5000-7999","8000+")))</f>
        <v>5000-7999</v>
      </c>
      <c r="AM1051">
        <f>IF(HR_Cleaned[[#This Row],[Attrition]]="Yes",1,0)</f>
        <v>0</v>
      </c>
    </row>
    <row r="1052" spans="1:39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>
        <f>IF(HR_Cleaned[[#This Row],[Age]]&lt;25,"18-24",IF(HR_Cleaned[[#This Row],[Age]]&lt;35,"25-34",IF(HR_Cleaned[[#This Row],[Age]]&lt;45,"35-44",IF(HR_Cleaned[[#This Row],[Age]]&lt;55,"45-54","55+"))))</f>
        <v>35-44</v>
      </c>
      <c r="AK105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052" t="str">
        <f>IF(HR_Cleaned[[#This Row],[MonthlyIncome]]&lt;3000,"Below 3000",IF(HR_Cleaned[[#This Row],[MonthlyIncome]]&lt;5000,"3000-4999",IF(HR_Cleaned[[#This Row],[MonthlyIncome]]&lt;8000,"5000-7999","8000+")))</f>
        <v>3000-4999</v>
      </c>
      <c r="AM1052">
        <f>IF(HR_Cleaned[[#This Row],[Attrition]]="Yes",1,0)</f>
        <v>0</v>
      </c>
    </row>
    <row r="1053" spans="1:39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>
        <f>IF(HR_Cleaned[[#This Row],[Age]]&lt;25,"18-24",IF(HR_Cleaned[[#This Row],[Age]]&lt;35,"25-34",IF(HR_Cleaned[[#This Row],[Age]]&lt;45,"35-44",IF(HR_Cleaned[[#This Row],[Age]]&lt;55,"45-54","55+"))))</f>
        <v>35-44</v>
      </c>
      <c r="AK105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053" t="str">
        <f>IF(HR_Cleaned[[#This Row],[MonthlyIncome]]&lt;3000,"Below 3000",IF(HR_Cleaned[[#This Row],[MonthlyIncome]]&lt;5000,"3000-4999",IF(HR_Cleaned[[#This Row],[MonthlyIncome]]&lt;8000,"5000-7999","8000+")))</f>
        <v>3000-4999</v>
      </c>
      <c r="AM1053">
        <f>IF(HR_Cleaned[[#This Row],[Attrition]]="Yes",1,0)</f>
        <v>0</v>
      </c>
    </row>
    <row r="1054" spans="1:39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>
        <f>IF(HR_Cleaned[[#This Row],[Age]]&lt;25,"18-24",IF(HR_Cleaned[[#This Row],[Age]]&lt;35,"25-34",IF(HR_Cleaned[[#This Row],[Age]]&lt;45,"35-44",IF(HR_Cleaned[[#This Row],[Age]]&lt;55,"45-54","55+"))))</f>
        <v>25-34</v>
      </c>
      <c r="AK105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054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54">
        <f>IF(HR_Cleaned[[#This Row],[Attrition]]="Yes",1,0)</f>
        <v>0</v>
      </c>
    </row>
    <row r="1055" spans="1:39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>
        <f>IF(HR_Cleaned[[#This Row],[Age]]&lt;25,"18-24",IF(HR_Cleaned[[#This Row],[Age]]&lt;35,"25-34",IF(HR_Cleaned[[#This Row],[Age]]&lt;45,"35-44",IF(HR_Cleaned[[#This Row],[Age]]&lt;55,"45-54","55+"))))</f>
        <v>55+</v>
      </c>
      <c r="AK105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055" t="str">
        <f>IF(HR_Cleaned[[#This Row],[MonthlyIncome]]&lt;3000,"Below 3000",IF(HR_Cleaned[[#This Row],[MonthlyIncome]]&lt;5000,"3000-4999",IF(HR_Cleaned[[#This Row],[MonthlyIncome]]&lt;8000,"5000-7999","8000+")))</f>
        <v>3000-4999</v>
      </c>
      <c r="AM1055">
        <f>IF(HR_Cleaned[[#This Row],[Attrition]]="Yes",1,0)</f>
        <v>0</v>
      </c>
    </row>
    <row r="1056" spans="1:39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>
        <f>IF(HR_Cleaned[[#This Row],[Age]]&lt;25,"18-24",IF(HR_Cleaned[[#This Row],[Age]]&lt;35,"25-34",IF(HR_Cleaned[[#This Row],[Age]]&lt;45,"35-44",IF(HR_Cleaned[[#This Row],[Age]]&lt;55,"45-54","55+"))))</f>
        <v>45-54</v>
      </c>
      <c r="AK105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56" t="str">
        <f>IF(HR_Cleaned[[#This Row],[MonthlyIncome]]&lt;3000,"Below 3000",IF(HR_Cleaned[[#This Row],[MonthlyIncome]]&lt;5000,"3000-4999",IF(HR_Cleaned[[#This Row],[MonthlyIncome]]&lt;8000,"5000-7999","8000+")))</f>
        <v>8000+</v>
      </c>
      <c r="AM1056">
        <f>IF(HR_Cleaned[[#This Row],[Attrition]]="Yes",1,0)</f>
        <v>0</v>
      </c>
    </row>
    <row r="1057" spans="1:39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>
        <f>IF(HR_Cleaned[[#This Row],[Age]]&lt;25,"18-24",IF(HR_Cleaned[[#This Row],[Age]]&lt;35,"25-34",IF(HR_Cleaned[[#This Row],[Age]]&lt;45,"35-44",IF(HR_Cleaned[[#This Row],[Age]]&lt;55,"45-54","55+"))))</f>
        <v>25-34</v>
      </c>
      <c r="AK105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057" t="str">
        <f>IF(HR_Cleaned[[#This Row],[MonthlyIncome]]&lt;3000,"Below 3000",IF(HR_Cleaned[[#This Row],[MonthlyIncome]]&lt;5000,"3000-4999",IF(HR_Cleaned[[#This Row],[MonthlyIncome]]&lt;8000,"5000-7999","8000+")))</f>
        <v>8000+</v>
      </c>
      <c r="AM1057">
        <f>IF(HR_Cleaned[[#This Row],[Attrition]]="Yes",1,0)</f>
        <v>0</v>
      </c>
    </row>
    <row r="1058" spans="1:39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>
        <f>IF(HR_Cleaned[[#This Row],[Age]]&lt;25,"18-24",IF(HR_Cleaned[[#This Row],[Age]]&lt;35,"25-34",IF(HR_Cleaned[[#This Row],[Age]]&lt;45,"35-44",IF(HR_Cleaned[[#This Row],[Age]]&lt;55,"45-54","55+"))))</f>
        <v>25-34</v>
      </c>
      <c r="AK105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58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58">
        <f>IF(HR_Cleaned[[#This Row],[Attrition]]="Yes",1,0)</f>
        <v>1</v>
      </c>
    </row>
    <row r="1059" spans="1:39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>
        <f>IF(HR_Cleaned[[#This Row],[Age]]&lt;25,"18-24",IF(HR_Cleaned[[#This Row],[Age]]&lt;35,"25-34",IF(HR_Cleaned[[#This Row],[Age]]&lt;45,"35-44",IF(HR_Cleaned[[#This Row],[Age]]&lt;55,"45-54","55+"))))</f>
        <v>25-34</v>
      </c>
      <c r="AK105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59" t="str">
        <f>IF(HR_Cleaned[[#This Row],[MonthlyIncome]]&lt;3000,"Below 3000",IF(HR_Cleaned[[#This Row],[MonthlyIncome]]&lt;5000,"3000-4999",IF(HR_Cleaned[[#This Row],[MonthlyIncome]]&lt;8000,"5000-7999","8000+")))</f>
        <v>5000-7999</v>
      </c>
      <c r="AM1059">
        <f>IF(HR_Cleaned[[#This Row],[Attrition]]="Yes",1,0)</f>
        <v>1</v>
      </c>
    </row>
    <row r="1060" spans="1:39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>
        <f>IF(HR_Cleaned[[#This Row],[Age]]&lt;25,"18-24",IF(HR_Cleaned[[#This Row],[Age]]&lt;35,"25-34",IF(HR_Cleaned[[#This Row],[Age]]&lt;45,"35-44",IF(HR_Cleaned[[#This Row],[Age]]&lt;55,"45-54","55+"))))</f>
        <v>25-34</v>
      </c>
      <c r="AK106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060" t="str">
        <f>IF(HR_Cleaned[[#This Row],[MonthlyIncome]]&lt;3000,"Below 3000",IF(HR_Cleaned[[#This Row],[MonthlyIncome]]&lt;5000,"3000-4999",IF(HR_Cleaned[[#This Row],[MonthlyIncome]]&lt;8000,"5000-7999","8000+")))</f>
        <v>3000-4999</v>
      </c>
      <c r="AM1060">
        <f>IF(HR_Cleaned[[#This Row],[Attrition]]="Yes",1,0)</f>
        <v>1</v>
      </c>
    </row>
    <row r="1061" spans="1:39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>
        <f>IF(HR_Cleaned[[#This Row],[Age]]&lt;25,"18-24",IF(HR_Cleaned[[#This Row],[Age]]&lt;35,"25-34",IF(HR_Cleaned[[#This Row],[Age]]&lt;45,"35-44",IF(HR_Cleaned[[#This Row],[Age]]&lt;55,"45-54","55+"))))</f>
        <v>35-44</v>
      </c>
      <c r="AK106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061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61">
        <f>IF(HR_Cleaned[[#This Row],[Attrition]]="Yes",1,0)</f>
        <v>0</v>
      </c>
    </row>
    <row r="1062" spans="1:39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>
        <f>IF(HR_Cleaned[[#This Row],[Age]]&lt;25,"18-24",IF(HR_Cleaned[[#This Row],[Age]]&lt;35,"25-34",IF(HR_Cleaned[[#This Row],[Age]]&lt;45,"35-44",IF(HR_Cleaned[[#This Row],[Age]]&lt;55,"45-54","55+"))))</f>
        <v>18-24</v>
      </c>
      <c r="AK106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062" t="str">
        <f>IF(HR_Cleaned[[#This Row],[MonthlyIncome]]&lt;3000,"Below 3000",IF(HR_Cleaned[[#This Row],[MonthlyIncome]]&lt;5000,"3000-4999",IF(HR_Cleaned[[#This Row],[MonthlyIncome]]&lt;8000,"5000-7999","8000+")))</f>
        <v>3000-4999</v>
      </c>
      <c r="AM1062">
        <f>IF(HR_Cleaned[[#This Row],[Attrition]]="Yes",1,0)</f>
        <v>1</v>
      </c>
    </row>
    <row r="1063" spans="1:39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>
        <f>IF(HR_Cleaned[[#This Row],[Age]]&lt;25,"18-24",IF(HR_Cleaned[[#This Row],[Age]]&lt;35,"25-34",IF(HR_Cleaned[[#This Row],[Age]]&lt;45,"35-44",IF(HR_Cleaned[[#This Row],[Age]]&lt;55,"45-54","55+"))))</f>
        <v>18-24</v>
      </c>
      <c r="AK106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063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63">
        <f>IF(HR_Cleaned[[#This Row],[Attrition]]="Yes",1,0)</f>
        <v>0</v>
      </c>
    </row>
    <row r="1064" spans="1:39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>
        <f>IF(HR_Cleaned[[#This Row],[Age]]&lt;25,"18-24",IF(HR_Cleaned[[#This Row],[Age]]&lt;35,"25-34",IF(HR_Cleaned[[#This Row],[Age]]&lt;45,"35-44",IF(HR_Cleaned[[#This Row],[Age]]&lt;55,"45-54","55+"))))</f>
        <v>35-44</v>
      </c>
      <c r="AK106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064" t="str">
        <f>IF(HR_Cleaned[[#This Row],[MonthlyIncome]]&lt;3000,"Below 3000",IF(HR_Cleaned[[#This Row],[MonthlyIncome]]&lt;5000,"3000-4999",IF(HR_Cleaned[[#This Row],[MonthlyIncome]]&lt;8000,"5000-7999","8000+")))</f>
        <v>8000+</v>
      </c>
      <c r="AM1064">
        <f>IF(HR_Cleaned[[#This Row],[Attrition]]="Yes",1,0)</f>
        <v>0</v>
      </c>
    </row>
    <row r="1065" spans="1:39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>
        <f>IF(HR_Cleaned[[#This Row],[Age]]&lt;25,"18-24",IF(HR_Cleaned[[#This Row],[Age]]&lt;35,"25-34",IF(HR_Cleaned[[#This Row],[Age]]&lt;45,"35-44",IF(HR_Cleaned[[#This Row],[Age]]&lt;55,"45-54","55+"))))</f>
        <v>25-34</v>
      </c>
      <c r="AK106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65" t="str">
        <f>IF(HR_Cleaned[[#This Row],[MonthlyIncome]]&lt;3000,"Below 3000",IF(HR_Cleaned[[#This Row],[MonthlyIncome]]&lt;5000,"3000-4999",IF(HR_Cleaned[[#This Row],[MonthlyIncome]]&lt;8000,"5000-7999","8000+")))</f>
        <v>8000+</v>
      </c>
      <c r="AM1065">
        <f>IF(HR_Cleaned[[#This Row],[Attrition]]="Yes",1,0)</f>
        <v>0</v>
      </c>
    </row>
    <row r="1066" spans="1:39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>
        <f>IF(HR_Cleaned[[#This Row],[Age]]&lt;25,"18-24",IF(HR_Cleaned[[#This Row],[Age]]&lt;35,"25-34",IF(HR_Cleaned[[#This Row],[Age]]&lt;45,"35-44",IF(HR_Cleaned[[#This Row],[Age]]&lt;55,"45-54","55+"))))</f>
        <v>25-34</v>
      </c>
      <c r="AK106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66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66">
        <f>IF(HR_Cleaned[[#This Row],[Attrition]]="Yes",1,0)</f>
        <v>0</v>
      </c>
    </row>
    <row r="1067" spans="1:39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>
        <f>IF(HR_Cleaned[[#This Row],[Age]]&lt;25,"18-24",IF(HR_Cleaned[[#This Row],[Age]]&lt;35,"25-34",IF(HR_Cleaned[[#This Row],[Age]]&lt;45,"35-44",IF(HR_Cleaned[[#This Row],[Age]]&lt;55,"45-54","55+"))))</f>
        <v>55+</v>
      </c>
      <c r="AK106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67" t="str">
        <f>IF(HR_Cleaned[[#This Row],[MonthlyIncome]]&lt;3000,"Below 3000",IF(HR_Cleaned[[#This Row],[MonthlyIncome]]&lt;5000,"3000-4999",IF(HR_Cleaned[[#This Row],[MonthlyIncome]]&lt;8000,"5000-7999","8000+")))</f>
        <v>3000-4999</v>
      </c>
      <c r="AM1067">
        <f>IF(HR_Cleaned[[#This Row],[Attrition]]="Yes",1,0)</f>
        <v>0</v>
      </c>
    </row>
    <row r="1068" spans="1:39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>
        <f>IF(HR_Cleaned[[#This Row],[Age]]&lt;25,"18-24",IF(HR_Cleaned[[#This Row],[Age]]&lt;35,"25-34",IF(HR_Cleaned[[#This Row],[Age]]&lt;45,"35-44",IF(HR_Cleaned[[#This Row],[Age]]&lt;55,"45-54","55+"))))</f>
        <v>25-34</v>
      </c>
      <c r="AK106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68" t="str">
        <f>IF(HR_Cleaned[[#This Row],[MonthlyIncome]]&lt;3000,"Below 3000",IF(HR_Cleaned[[#This Row],[MonthlyIncome]]&lt;5000,"3000-4999",IF(HR_Cleaned[[#This Row],[MonthlyIncome]]&lt;8000,"5000-7999","8000+")))</f>
        <v>3000-4999</v>
      </c>
      <c r="AM1068">
        <f>IF(HR_Cleaned[[#This Row],[Attrition]]="Yes",1,0)</f>
        <v>0</v>
      </c>
    </row>
    <row r="1069" spans="1:39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>
        <f>IF(HR_Cleaned[[#This Row],[Age]]&lt;25,"18-24",IF(HR_Cleaned[[#This Row],[Age]]&lt;35,"25-34",IF(HR_Cleaned[[#This Row],[Age]]&lt;45,"35-44",IF(HR_Cleaned[[#This Row],[Age]]&lt;55,"45-54","55+"))))</f>
        <v>45-54</v>
      </c>
      <c r="AK106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69" t="str">
        <f>IF(HR_Cleaned[[#This Row],[MonthlyIncome]]&lt;3000,"Below 3000",IF(HR_Cleaned[[#This Row],[MonthlyIncome]]&lt;5000,"3000-4999",IF(HR_Cleaned[[#This Row],[MonthlyIncome]]&lt;8000,"5000-7999","8000+")))</f>
        <v>3000-4999</v>
      </c>
      <c r="AM1069">
        <f>IF(HR_Cleaned[[#This Row],[Attrition]]="Yes",1,0)</f>
        <v>0</v>
      </c>
    </row>
    <row r="1070" spans="1:39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>
        <f>IF(HR_Cleaned[[#This Row],[Age]]&lt;25,"18-24",IF(HR_Cleaned[[#This Row],[Age]]&lt;35,"25-34",IF(HR_Cleaned[[#This Row],[Age]]&lt;45,"35-44",IF(HR_Cleaned[[#This Row],[Age]]&lt;55,"45-54","55+"))))</f>
        <v>25-34</v>
      </c>
      <c r="AK107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070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70">
        <f>IF(HR_Cleaned[[#This Row],[Attrition]]="Yes",1,0)</f>
        <v>1</v>
      </c>
    </row>
    <row r="1071" spans="1:39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>
        <f>IF(HR_Cleaned[[#This Row],[Age]]&lt;25,"18-24",IF(HR_Cleaned[[#This Row],[Age]]&lt;35,"25-34",IF(HR_Cleaned[[#This Row],[Age]]&lt;45,"35-44",IF(HR_Cleaned[[#This Row],[Age]]&lt;55,"45-54","55+"))))</f>
        <v>25-34</v>
      </c>
      <c r="AK107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071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71">
        <f>IF(HR_Cleaned[[#This Row],[Attrition]]="Yes",1,0)</f>
        <v>0</v>
      </c>
    </row>
    <row r="1072" spans="1:39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>
        <f>IF(HR_Cleaned[[#This Row],[Age]]&lt;25,"18-24",IF(HR_Cleaned[[#This Row],[Age]]&lt;35,"25-34",IF(HR_Cleaned[[#This Row],[Age]]&lt;45,"35-44",IF(HR_Cleaned[[#This Row],[Age]]&lt;55,"45-54","55+"))))</f>
        <v>25-34</v>
      </c>
      <c r="AK107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72" t="str">
        <f>IF(HR_Cleaned[[#This Row],[MonthlyIncome]]&lt;3000,"Below 3000",IF(HR_Cleaned[[#This Row],[MonthlyIncome]]&lt;5000,"3000-4999",IF(HR_Cleaned[[#This Row],[MonthlyIncome]]&lt;8000,"5000-7999","8000+")))</f>
        <v>3000-4999</v>
      </c>
      <c r="AM1072">
        <f>IF(HR_Cleaned[[#This Row],[Attrition]]="Yes",1,0)</f>
        <v>0</v>
      </c>
    </row>
    <row r="1073" spans="1:39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>
        <f>IF(HR_Cleaned[[#This Row],[Age]]&lt;25,"18-24",IF(HR_Cleaned[[#This Row],[Age]]&lt;35,"25-34",IF(HR_Cleaned[[#This Row],[Age]]&lt;45,"35-44",IF(HR_Cleaned[[#This Row],[Age]]&lt;55,"45-54","55+"))))</f>
        <v>45-54</v>
      </c>
      <c r="AK107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73" t="str">
        <f>IF(HR_Cleaned[[#This Row],[MonthlyIncome]]&lt;3000,"Below 3000",IF(HR_Cleaned[[#This Row],[MonthlyIncome]]&lt;5000,"3000-4999",IF(HR_Cleaned[[#This Row],[MonthlyIncome]]&lt;8000,"5000-7999","8000+")))</f>
        <v>3000-4999</v>
      </c>
      <c r="AM1073">
        <f>IF(HR_Cleaned[[#This Row],[Attrition]]="Yes",1,0)</f>
        <v>0</v>
      </c>
    </row>
    <row r="1074" spans="1:39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>
        <f>IF(HR_Cleaned[[#This Row],[Age]]&lt;25,"18-24",IF(HR_Cleaned[[#This Row],[Age]]&lt;35,"25-34",IF(HR_Cleaned[[#This Row],[Age]]&lt;45,"35-44",IF(HR_Cleaned[[#This Row],[Age]]&lt;55,"45-54","55+"))))</f>
        <v>25-34</v>
      </c>
      <c r="AK107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74" t="str">
        <f>IF(HR_Cleaned[[#This Row],[MonthlyIncome]]&lt;3000,"Below 3000",IF(HR_Cleaned[[#This Row],[MonthlyIncome]]&lt;5000,"3000-4999",IF(HR_Cleaned[[#This Row],[MonthlyIncome]]&lt;8000,"5000-7999","8000+")))</f>
        <v>3000-4999</v>
      </c>
      <c r="AM1074">
        <f>IF(HR_Cleaned[[#This Row],[Attrition]]="Yes",1,0)</f>
        <v>0</v>
      </c>
    </row>
    <row r="1075" spans="1:39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>
        <f>IF(HR_Cleaned[[#This Row],[Age]]&lt;25,"18-24",IF(HR_Cleaned[[#This Row],[Age]]&lt;35,"25-34",IF(HR_Cleaned[[#This Row],[Age]]&lt;45,"35-44",IF(HR_Cleaned[[#This Row],[Age]]&lt;55,"45-54","55+"))))</f>
        <v>25-34</v>
      </c>
      <c r="AK107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75" t="str">
        <f>IF(HR_Cleaned[[#This Row],[MonthlyIncome]]&lt;3000,"Below 3000",IF(HR_Cleaned[[#This Row],[MonthlyIncome]]&lt;5000,"3000-4999",IF(HR_Cleaned[[#This Row],[MonthlyIncome]]&lt;8000,"5000-7999","8000+")))</f>
        <v>5000-7999</v>
      </c>
      <c r="AM1075">
        <f>IF(HR_Cleaned[[#This Row],[Attrition]]="Yes",1,0)</f>
        <v>0</v>
      </c>
    </row>
    <row r="1076" spans="1:39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>
        <f>IF(HR_Cleaned[[#This Row],[Age]]&lt;25,"18-24",IF(HR_Cleaned[[#This Row],[Age]]&lt;35,"25-34",IF(HR_Cleaned[[#This Row],[Age]]&lt;45,"35-44",IF(HR_Cleaned[[#This Row],[Age]]&lt;55,"45-54","55+"))))</f>
        <v>25-34</v>
      </c>
      <c r="AK107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076" t="str">
        <f>IF(HR_Cleaned[[#This Row],[MonthlyIncome]]&lt;3000,"Below 3000",IF(HR_Cleaned[[#This Row],[MonthlyIncome]]&lt;5000,"3000-4999",IF(HR_Cleaned[[#This Row],[MonthlyIncome]]&lt;8000,"5000-7999","8000+")))</f>
        <v>5000-7999</v>
      </c>
      <c r="AM1076">
        <f>IF(HR_Cleaned[[#This Row],[Attrition]]="Yes",1,0)</f>
        <v>0</v>
      </c>
    </row>
    <row r="1077" spans="1:39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>
        <f>IF(HR_Cleaned[[#This Row],[Age]]&lt;25,"18-24",IF(HR_Cleaned[[#This Row],[Age]]&lt;35,"25-34",IF(HR_Cleaned[[#This Row],[Age]]&lt;45,"35-44",IF(HR_Cleaned[[#This Row],[Age]]&lt;55,"45-54","55+"))))</f>
        <v>25-34</v>
      </c>
      <c r="AK107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77" t="str">
        <f>IF(HR_Cleaned[[#This Row],[MonthlyIncome]]&lt;3000,"Below 3000",IF(HR_Cleaned[[#This Row],[MonthlyIncome]]&lt;5000,"3000-4999",IF(HR_Cleaned[[#This Row],[MonthlyIncome]]&lt;8000,"5000-7999","8000+")))</f>
        <v>8000+</v>
      </c>
      <c r="AM1077">
        <f>IF(HR_Cleaned[[#This Row],[Attrition]]="Yes",1,0)</f>
        <v>0</v>
      </c>
    </row>
    <row r="1078" spans="1:39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>
        <f>IF(HR_Cleaned[[#This Row],[Age]]&lt;25,"18-24",IF(HR_Cleaned[[#This Row],[Age]]&lt;35,"25-34",IF(HR_Cleaned[[#This Row],[Age]]&lt;45,"35-44",IF(HR_Cleaned[[#This Row],[Age]]&lt;55,"45-54","55+"))))</f>
        <v>45-54</v>
      </c>
      <c r="AK107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078" t="str">
        <f>IF(HR_Cleaned[[#This Row],[MonthlyIncome]]&lt;3000,"Below 3000",IF(HR_Cleaned[[#This Row],[MonthlyIncome]]&lt;5000,"3000-4999",IF(HR_Cleaned[[#This Row],[MonthlyIncome]]&lt;8000,"5000-7999","8000+")))</f>
        <v>8000+</v>
      </c>
      <c r="AM1078">
        <f>IF(HR_Cleaned[[#This Row],[Attrition]]="Yes",1,0)</f>
        <v>0</v>
      </c>
    </row>
    <row r="1079" spans="1:39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>
        <f>IF(HR_Cleaned[[#This Row],[Age]]&lt;25,"18-24",IF(HR_Cleaned[[#This Row],[Age]]&lt;35,"25-34",IF(HR_Cleaned[[#This Row],[Age]]&lt;45,"35-44",IF(HR_Cleaned[[#This Row],[Age]]&lt;55,"45-54","55+"))))</f>
        <v>25-34</v>
      </c>
      <c r="AK107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79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79">
        <f>IF(HR_Cleaned[[#This Row],[Attrition]]="Yes",1,0)</f>
        <v>1</v>
      </c>
    </row>
    <row r="1080" spans="1:39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>
        <f>IF(HR_Cleaned[[#This Row],[Age]]&lt;25,"18-24",IF(HR_Cleaned[[#This Row],[Age]]&lt;35,"25-34",IF(HR_Cleaned[[#This Row],[Age]]&lt;45,"35-44",IF(HR_Cleaned[[#This Row],[Age]]&lt;55,"45-54","55+"))))</f>
        <v>35-44</v>
      </c>
      <c r="AK108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080" t="str">
        <f>IF(HR_Cleaned[[#This Row],[MonthlyIncome]]&lt;3000,"Below 3000",IF(HR_Cleaned[[#This Row],[MonthlyIncome]]&lt;5000,"3000-4999",IF(HR_Cleaned[[#This Row],[MonthlyIncome]]&lt;8000,"5000-7999","8000+")))</f>
        <v>8000+</v>
      </c>
      <c r="AM1080">
        <f>IF(HR_Cleaned[[#This Row],[Attrition]]="Yes",1,0)</f>
        <v>0</v>
      </c>
    </row>
    <row r="1081" spans="1:39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>
        <f>IF(HR_Cleaned[[#This Row],[Age]]&lt;25,"18-24",IF(HR_Cleaned[[#This Row],[Age]]&lt;35,"25-34",IF(HR_Cleaned[[#This Row],[Age]]&lt;45,"35-44",IF(HR_Cleaned[[#This Row],[Age]]&lt;55,"45-54","55+"))))</f>
        <v>35-44</v>
      </c>
      <c r="AK108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081" t="str">
        <f>IF(HR_Cleaned[[#This Row],[MonthlyIncome]]&lt;3000,"Below 3000",IF(HR_Cleaned[[#This Row],[MonthlyIncome]]&lt;5000,"3000-4999",IF(HR_Cleaned[[#This Row],[MonthlyIncome]]&lt;8000,"5000-7999","8000+")))</f>
        <v>8000+</v>
      </c>
      <c r="AM1081">
        <f>IF(HR_Cleaned[[#This Row],[Attrition]]="Yes",1,0)</f>
        <v>0</v>
      </c>
    </row>
    <row r="1082" spans="1:39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>
        <f>IF(HR_Cleaned[[#This Row],[Age]]&lt;25,"18-24",IF(HR_Cleaned[[#This Row],[Age]]&lt;35,"25-34",IF(HR_Cleaned[[#This Row],[Age]]&lt;45,"35-44",IF(HR_Cleaned[[#This Row],[Age]]&lt;55,"45-54","55+"))))</f>
        <v>45-54</v>
      </c>
      <c r="AK108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082" t="str">
        <f>IF(HR_Cleaned[[#This Row],[MonthlyIncome]]&lt;3000,"Below 3000",IF(HR_Cleaned[[#This Row],[MonthlyIncome]]&lt;5000,"3000-4999",IF(HR_Cleaned[[#This Row],[MonthlyIncome]]&lt;8000,"5000-7999","8000+")))</f>
        <v>8000+</v>
      </c>
      <c r="AM1082">
        <f>IF(HR_Cleaned[[#This Row],[Attrition]]="Yes",1,0)</f>
        <v>0</v>
      </c>
    </row>
    <row r="1083" spans="1:39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>
        <f>IF(HR_Cleaned[[#This Row],[Age]]&lt;25,"18-24",IF(HR_Cleaned[[#This Row],[Age]]&lt;35,"25-34",IF(HR_Cleaned[[#This Row],[Age]]&lt;45,"35-44",IF(HR_Cleaned[[#This Row],[Age]]&lt;55,"45-54","55+"))))</f>
        <v>35-44</v>
      </c>
      <c r="AK108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083" t="str">
        <f>IF(HR_Cleaned[[#This Row],[MonthlyIncome]]&lt;3000,"Below 3000",IF(HR_Cleaned[[#This Row],[MonthlyIncome]]&lt;5000,"3000-4999",IF(HR_Cleaned[[#This Row],[MonthlyIncome]]&lt;8000,"5000-7999","8000+")))</f>
        <v>8000+</v>
      </c>
      <c r="AM1083">
        <f>IF(HR_Cleaned[[#This Row],[Attrition]]="Yes",1,0)</f>
        <v>0</v>
      </c>
    </row>
    <row r="1084" spans="1:39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>
        <f>IF(HR_Cleaned[[#This Row],[Age]]&lt;25,"18-24",IF(HR_Cleaned[[#This Row],[Age]]&lt;35,"25-34",IF(HR_Cleaned[[#This Row],[Age]]&lt;45,"35-44",IF(HR_Cleaned[[#This Row],[Age]]&lt;55,"45-54","55+"))))</f>
        <v>18-24</v>
      </c>
      <c r="AK108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84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84">
        <f>IF(HR_Cleaned[[#This Row],[Attrition]]="Yes",1,0)</f>
        <v>0</v>
      </c>
    </row>
    <row r="1085" spans="1:39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>
        <f>IF(HR_Cleaned[[#This Row],[Age]]&lt;25,"18-24",IF(HR_Cleaned[[#This Row],[Age]]&lt;35,"25-34",IF(HR_Cleaned[[#This Row],[Age]]&lt;45,"35-44",IF(HR_Cleaned[[#This Row],[Age]]&lt;55,"45-54","55+"))))</f>
        <v>35-44</v>
      </c>
      <c r="AK108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85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85">
        <f>IF(HR_Cleaned[[#This Row],[Attrition]]="Yes",1,0)</f>
        <v>1</v>
      </c>
    </row>
    <row r="1086" spans="1:39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>
        <f>IF(HR_Cleaned[[#This Row],[Age]]&lt;25,"18-24",IF(HR_Cleaned[[#This Row],[Age]]&lt;35,"25-34",IF(HR_Cleaned[[#This Row],[Age]]&lt;45,"35-44",IF(HR_Cleaned[[#This Row],[Age]]&lt;55,"45-54","55+"))))</f>
        <v>25-34</v>
      </c>
      <c r="AK108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86" t="str">
        <f>IF(HR_Cleaned[[#This Row],[MonthlyIncome]]&lt;3000,"Below 3000",IF(HR_Cleaned[[#This Row],[MonthlyIncome]]&lt;5000,"3000-4999",IF(HR_Cleaned[[#This Row],[MonthlyIncome]]&lt;8000,"5000-7999","8000+")))</f>
        <v>5000-7999</v>
      </c>
      <c r="AM1086">
        <f>IF(HR_Cleaned[[#This Row],[Attrition]]="Yes",1,0)</f>
        <v>0</v>
      </c>
    </row>
    <row r="1087" spans="1:39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>
        <f>IF(HR_Cleaned[[#This Row],[Age]]&lt;25,"18-24",IF(HR_Cleaned[[#This Row],[Age]]&lt;35,"25-34",IF(HR_Cleaned[[#This Row],[Age]]&lt;45,"35-44",IF(HR_Cleaned[[#This Row],[Age]]&lt;55,"45-54","55+"))))</f>
        <v>25-34</v>
      </c>
      <c r="AK108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87" t="str">
        <f>IF(HR_Cleaned[[#This Row],[MonthlyIncome]]&lt;3000,"Below 3000",IF(HR_Cleaned[[#This Row],[MonthlyIncome]]&lt;5000,"3000-4999",IF(HR_Cleaned[[#This Row],[MonthlyIncome]]&lt;8000,"5000-7999","8000+")))</f>
        <v>3000-4999</v>
      </c>
      <c r="AM1087">
        <f>IF(HR_Cleaned[[#This Row],[Attrition]]="Yes",1,0)</f>
        <v>1</v>
      </c>
    </row>
    <row r="1088" spans="1:39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>
        <f>IF(HR_Cleaned[[#This Row],[Age]]&lt;25,"18-24",IF(HR_Cleaned[[#This Row],[Age]]&lt;35,"25-34",IF(HR_Cleaned[[#This Row],[Age]]&lt;45,"35-44",IF(HR_Cleaned[[#This Row],[Age]]&lt;55,"45-54","55+"))))</f>
        <v>45-54</v>
      </c>
      <c r="AK108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088" t="str">
        <f>IF(HR_Cleaned[[#This Row],[MonthlyIncome]]&lt;3000,"Below 3000",IF(HR_Cleaned[[#This Row],[MonthlyIncome]]&lt;5000,"3000-4999",IF(HR_Cleaned[[#This Row],[MonthlyIncome]]&lt;8000,"5000-7999","8000+")))</f>
        <v>8000+</v>
      </c>
      <c r="AM1088">
        <f>IF(HR_Cleaned[[#This Row],[Attrition]]="Yes",1,0)</f>
        <v>0</v>
      </c>
    </row>
    <row r="1089" spans="1:39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>
        <f>IF(HR_Cleaned[[#This Row],[Age]]&lt;25,"18-24",IF(HR_Cleaned[[#This Row],[Age]]&lt;35,"25-34",IF(HR_Cleaned[[#This Row],[Age]]&lt;45,"35-44",IF(HR_Cleaned[[#This Row],[Age]]&lt;55,"45-54","55+"))))</f>
        <v>25-34</v>
      </c>
      <c r="AK108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089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89">
        <f>IF(HR_Cleaned[[#This Row],[Attrition]]="Yes",1,0)</f>
        <v>0</v>
      </c>
    </row>
    <row r="1090" spans="1:39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>
        <f>IF(HR_Cleaned[[#This Row],[Age]]&lt;25,"18-24",IF(HR_Cleaned[[#This Row],[Age]]&lt;35,"25-34",IF(HR_Cleaned[[#This Row],[Age]]&lt;45,"35-44",IF(HR_Cleaned[[#This Row],[Age]]&lt;55,"45-54","55+"))))</f>
        <v>35-44</v>
      </c>
      <c r="AK109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090" t="str">
        <f>IF(HR_Cleaned[[#This Row],[MonthlyIncome]]&lt;3000,"Below 3000",IF(HR_Cleaned[[#This Row],[MonthlyIncome]]&lt;5000,"3000-4999",IF(HR_Cleaned[[#This Row],[MonthlyIncome]]&lt;8000,"5000-7999","8000+")))</f>
        <v>3000-4999</v>
      </c>
      <c r="AM1090">
        <f>IF(HR_Cleaned[[#This Row],[Attrition]]="Yes",1,0)</f>
        <v>0</v>
      </c>
    </row>
    <row r="1091" spans="1:39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>
        <f>IF(HR_Cleaned[[#This Row],[Age]]&lt;25,"18-24",IF(HR_Cleaned[[#This Row],[Age]]&lt;35,"25-34",IF(HR_Cleaned[[#This Row],[Age]]&lt;45,"35-44",IF(HR_Cleaned[[#This Row],[Age]]&lt;55,"45-54","55+"))))</f>
        <v>35-44</v>
      </c>
      <c r="AK109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91" t="str">
        <f>IF(HR_Cleaned[[#This Row],[MonthlyIncome]]&lt;3000,"Below 3000",IF(HR_Cleaned[[#This Row],[MonthlyIncome]]&lt;5000,"3000-4999",IF(HR_Cleaned[[#This Row],[MonthlyIncome]]&lt;8000,"5000-7999","8000+")))</f>
        <v>3000-4999</v>
      </c>
      <c r="AM1091">
        <f>IF(HR_Cleaned[[#This Row],[Attrition]]="Yes",1,0)</f>
        <v>0</v>
      </c>
    </row>
    <row r="1092" spans="1:39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>
        <f>IF(HR_Cleaned[[#This Row],[Age]]&lt;25,"18-24",IF(HR_Cleaned[[#This Row],[Age]]&lt;35,"25-34",IF(HR_Cleaned[[#This Row],[Age]]&lt;45,"35-44",IF(HR_Cleaned[[#This Row],[Age]]&lt;55,"45-54","55+"))))</f>
        <v>25-34</v>
      </c>
      <c r="AK109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92" t="str">
        <f>IF(HR_Cleaned[[#This Row],[MonthlyIncome]]&lt;3000,"Below 3000",IF(HR_Cleaned[[#This Row],[MonthlyIncome]]&lt;5000,"3000-4999",IF(HR_Cleaned[[#This Row],[MonthlyIncome]]&lt;8000,"5000-7999","8000+")))</f>
        <v>8000+</v>
      </c>
      <c r="AM1092">
        <f>IF(HR_Cleaned[[#This Row],[Attrition]]="Yes",1,0)</f>
        <v>0</v>
      </c>
    </row>
    <row r="1093" spans="1:39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>
        <f>IF(HR_Cleaned[[#This Row],[Age]]&lt;25,"18-24",IF(HR_Cleaned[[#This Row],[Age]]&lt;35,"25-34",IF(HR_Cleaned[[#This Row],[Age]]&lt;45,"35-44",IF(HR_Cleaned[[#This Row],[Age]]&lt;55,"45-54","55+"))))</f>
        <v>25-34</v>
      </c>
      <c r="AK109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93" t="str">
        <f>IF(HR_Cleaned[[#This Row],[MonthlyIncome]]&lt;3000,"Below 3000",IF(HR_Cleaned[[#This Row],[MonthlyIncome]]&lt;5000,"3000-4999",IF(HR_Cleaned[[#This Row],[MonthlyIncome]]&lt;8000,"5000-7999","8000+")))</f>
        <v>3000-4999</v>
      </c>
      <c r="AM1093">
        <f>IF(HR_Cleaned[[#This Row],[Attrition]]="Yes",1,0)</f>
        <v>0</v>
      </c>
    </row>
    <row r="1094" spans="1:39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>
        <f>IF(HR_Cleaned[[#This Row],[Age]]&lt;25,"18-24",IF(HR_Cleaned[[#This Row],[Age]]&lt;35,"25-34",IF(HR_Cleaned[[#This Row],[Age]]&lt;45,"35-44",IF(HR_Cleaned[[#This Row],[Age]]&lt;55,"45-54","55+"))))</f>
        <v>45-54</v>
      </c>
      <c r="AK109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094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94">
        <f>IF(HR_Cleaned[[#This Row],[Attrition]]="Yes",1,0)</f>
        <v>0</v>
      </c>
    </row>
    <row r="1095" spans="1:39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>
        <f>IF(HR_Cleaned[[#This Row],[Age]]&lt;25,"18-24",IF(HR_Cleaned[[#This Row],[Age]]&lt;35,"25-34",IF(HR_Cleaned[[#This Row],[Age]]&lt;45,"35-44",IF(HR_Cleaned[[#This Row],[Age]]&lt;55,"45-54","55+"))))</f>
        <v>35-44</v>
      </c>
      <c r="AK109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095" t="str">
        <f>IF(HR_Cleaned[[#This Row],[MonthlyIncome]]&lt;3000,"Below 3000",IF(HR_Cleaned[[#This Row],[MonthlyIncome]]&lt;5000,"3000-4999",IF(HR_Cleaned[[#This Row],[MonthlyIncome]]&lt;8000,"5000-7999","8000+")))</f>
        <v>8000+</v>
      </c>
      <c r="AM1095">
        <f>IF(HR_Cleaned[[#This Row],[Attrition]]="Yes",1,0)</f>
        <v>0</v>
      </c>
    </row>
    <row r="1096" spans="1:39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>
        <f>IF(HR_Cleaned[[#This Row],[Age]]&lt;25,"18-24",IF(HR_Cleaned[[#This Row],[Age]]&lt;35,"25-34",IF(HR_Cleaned[[#This Row],[Age]]&lt;45,"35-44",IF(HR_Cleaned[[#This Row],[Age]]&lt;55,"45-54","55+"))))</f>
        <v>35-44</v>
      </c>
      <c r="AK109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096" t="str">
        <f>IF(HR_Cleaned[[#This Row],[MonthlyIncome]]&lt;3000,"Below 3000",IF(HR_Cleaned[[#This Row],[MonthlyIncome]]&lt;5000,"3000-4999",IF(HR_Cleaned[[#This Row],[MonthlyIncome]]&lt;8000,"5000-7999","8000+")))</f>
        <v>5000-7999</v>
      </c>
      <c r="AM1096">
        <f>IF(HR_Cleaned[[#This Row],[Attrition]]="Yes",1,0)</f>
        <v>0</v>
      </c>
    </row>
    <row r="1097" spans="1:39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>
        <f>IF(HR_Cleaned[[#This Row],[Age]]&lt;25,"18-24",IF(HR_Cleaned[[#This Row],[Age]]&lt;35,"25-34",IF(HR_Cleaned[[#This Row],[Age]]&lt;45,"35-44",IF(HR_Cleaned[[#This Row],[Age]]&lt;55,"45-54","55+"))))</f>
        <v>25-34</v>
      </c>
      <c r="AK109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097" t="str">
        <f>IF(HR_Cleaned[[#This Row],[MonthlyIncome]]&lt;3000,"Below 3000",IF(HR_Cleaned[[#This Row],[MonthlyIncome]]&lt;5000,"3000-4999",IF(HR_Cleaned[[#This Row],[MonthlyIncome]]&lt;8000,"5000-7999","8000+")))</f>
        <v>5000-7999</v>
      </c>
      <c r="AM1097">
        <f>IF(HR_Cleaned[[#This Row],[Attrition]]="Yes",1,0)</f>
        <v>0</v>
      </c>
    </row>
    <row r="1098" spans="1:39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>
        <f>IF(HR_Cleaned[[#This Row],[Age]]&lt;25,"18-24",IF(HR_Cleaned[[#This Row],[Age]]&lt;35,"25-34",IF(HR_Cleaned[[#This Row],[Age]]&lt;45,"35-44",IF(HR_Cleaned[[#This Row],[Age]]&lt;55,"45-54","55+"))))</f>
        <v>35-44</v>
      </c>
      <c r="AK109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098" t="str">
        <f>IF(HR_Cleaned[[#This Row],[MonthlyIncome]]&lt;3000,"Below 3000",IF(HR_Cleaned[[#This Row],[MonthlyIncome]]&lt;5000,"3000-4999",IF(HR_Cleaned[[#This Row],[MonthlyIncome]]&lt;8000,"5000-7999","8000+")))</f>
        <v>8000+</v>
      </c>
      <c r="AM1098">
        <f>IF(HR_Cleaned[[#This Row],[Attrition]]="Yes",1,0)</f>
        <v>0</v>
      </c>
    </row>
    <row r="1099" spans="1:39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>
        <f>IF(HR_Cleaned[[#This Row],[Age]]&lt;25,"18-24",IF(HR_Cleaned[[#This Row],[Age]]&lt;35,"25-34",IF(HR_Cleaned[[#This Row],[Age]]&lt;45,"35-44",IF(HR_Cleaned[[#This Row],[Age]]&lt;55,"45-54","55+"))))</f>
        <v>18-24</v>
      </c>
      <c r="AK109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099" t="str">
        <f>IF(HR_Cleaned[[#This Row],[MonthlyIncome]]&lt;3000,"Below 3000",IF(HR_Cleaned[[#This Row],[MonthlyIncome]]&lt;5000,"3000-4999",IF(HR_Cleaned[[#This Row],[MonthlyIncome]]&lt;8000,"5000-7999","8000+")))</f>
        <v>Below 3000</v>
      </c>
      <c r="AM1099">
        <f>IF(HR_Cleaned[[#This Row],[Attrition]]="Yes",1,0)</f>
        <v>0</v>
      </c>
    </row>
    <row r="1100" spans="1:39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>
        <f>IF(HR_Cleaned[[#This Row],[Age]]&lt;25,"18-24",IF(HR_Cleaned[[#This Row],[Age]]&lt;35,"25-34",IF(HR_Cleaned[[#This Row],[Age]]&lt;45,"35-44",IF(HR_Cleaned[[#This Row],[Age]]&lt;55,"45-54","55+"))))</f>
        <v>35-44</v>
      </c>
      <c r="AK110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100" t="str">
        <f>IF(HR_Cleaned[[#This Row],[MonthlyIncome]]&lt;3000,"Below 3000",IF(HR_Cleaned[[#This Row],[MonthlyIncome]]&lt;5000,"3000-4999",IF(HR_Cleaned[[#This Row],[MonthlyIncome]]&lt;8000,"5000-7999","8000+")))</f>
        <v>3000-4999</v>
      </c>
      <c r="AM1100">
        <f>IF(HR_Cleaned[[#This Row],[Attrition]]="Yes",1,0)</f>
        <v>0</v>
      </c>
    </row>
    <row r="1101" spans="1:39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>
        <f>IF(HR_Cleaned[[#This Row],[Age]]&lt;25,"18-24",IF(HR_Cleaned[[#This Row],[Age]]&lt;35,"25-34",IF(HR_Cleaned[[#This Row],[Age]]&lt;45,"35-44",IF(HR_Cleaned[[#This Row],[Age]]&lt;55,"45-54","55+"))))</f>
        <v>45-54</v>
      </c>
      <c r="AK110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01" t="str">
        <f>IF(HR_Cleaned[[#This Row],[MonthlyIncome]]&lt;3000,"Below 3000",IF(HR_Cleaned[[#This Row],[MonthlyIncome]]&lt;5000,"3000-4999",IF(HR_Cleaned[[#This Row],[MonthlyIncome]]&lt;8000,"5000-7999","8000+")))</f>
        <v>5000-7999</v>
      </c>
      <c r="AM1101">
        <f>IF(HR_Cleaned[[#This Row],[Attrition]]="Yes",1,0)</f>
        <v>0</v>
      </c>
    </row>
    <row r="1102" spans="1:39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>
        <f>IF(HR_Cleaned[[#This Row],[Age]]&lt;25,"18-24",IF(HR_Cleaned[[#This Row],[Age]]&lt;35,"25-34",IF(HR_Cleaned[[#This Row],[Age]]&lt;45,"35-44",IF(HR_Cleaned[[#This Row],[Age]]&lt;55,"45-54","55+"))))</f>
        <v>35-44</v>
      </c>
      <c r="AK110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02" t="str">
        <f>IF(HR_Cleaned[[#This Row],[MonthlyIncome]]&lt;3000,"Below 3000",IF(HR_Cleaned[[#This Row],[MonthlyIncome]]&lt;5000,"3000-4999",IF(HR_Cleaned[[#This Row],[MonthlyIncome]]&lt;8000,"5000-7999","8000+")))</f>
        <v>Below 3000</v>
      </c>
      <c r="AM1102">
        <f>IF(HR_Cleaned[[#This Row],[Attrition]]="Yes",1,0)</f>
        <v>0</v>
      </c>
    </row>
    <row r="1103" spans="1:39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>
        <f>IF(HR_Cleaned[[#This Row],[Age]]&lt;25,"18-24",IF(HR_Cleaned[[#This Row],[Age]]&lt;35,"25-34",IF(HR_Cleaned[[#This Row],[Age]]&lt;45,"35-44",IF(HR_Cleaned[[#This Row],[Age]]&lt;55,"45-54","55+"))))</f>
        <v>25-34</v>
      </c>
      <c r="AK110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03" t="str">
        <f>IF(HR_Cleaned[[#This Row],[MonthlyIncome]]&lt;3000,"Below 3000",IF(HR_Cleaned[[#This Row],[MonthlyIncome]]&lt;5000,"3000-4999",IF(HR_Cleaned[[#This Row],[MonthlyIncome]]&lt;8000,"5000-7999","8000+")))</f>
        <v>5000-7999</v>
      </c>
      <c r="AM1103">
        <f>IF(HR_Cleaned[[#This Row],[Attrition]]="Yes",1,0)</f>
        <v>0</v>
      </c>
    </row>
    <row r="1104" spans="1:39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>
        <f>IF(HR_Cleaned[[#This Row],[Age]]&lt;25,"18-24",IF(HR_Cleaned[[#This Row],[Age]]&lt;35,"25-34",IF(HR_Cleaned[[#This Row],[Age]]&lt;45,"35-44",IF(HR_Cleaned[[#This Row],[Age]]&lt;55,"45-54","55+"))))</f>
        <v>35-44</v>
      </c>
      <c r="AK110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04" t="str">
        <f>IF(HR_Cleaned[[#This Row],[MonthlyIncome]]&lt;3000,"Below 3000",IF(HR_Cleaned[[#This Row],[MonthlyIncome]]&lt;5000,"3000-4999",IF(HR_Cleaned[[#This Row],[MonthlyIncome]]&lt;8000,"5000-7999","8000+")))</f>
        <v>Below 3000</v>
      </c>
      <c r="AM1104">
        <f>IF(HR_Cleaned[[#This Row],[Attrition]]="Yes",1,0)</f>
        <v>0</v>
      </c>
    </row>
    <row r="1105" spans="1:39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>
        <f>IF(HR_Cleaned[[#This Row],[Age]]&lt;25,"18-24",IF(HR_Cleaned[[#This Row],[Age]]&lt;35,"25-34",IF(HR_Cleaned[[#This Row],[Age]]&lt;45,"35-44",IF(HR_Cleaned[[#This Row],[Age]]&lt;55,"45-54","55+"))))</f>
        <v>45-54</v>
      </c>
      <c r="AK110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05" t="str">
        <f>IF(HR_Cleaned[[#This Row],[MonthlyIncome]]&lt;3000,"Below 3000",IF(HR_Cleaned[[#This Row],[MonthlyIncome]]&lt;5000,"3000-4999",IF(HR_Cleaned[[#This Row],[MonthlyIncome]]&lt;8000,"5000-7999","8000+")))</f>
        <v>5000-7999</v>
      </c>
      <c r="AM1105">
        <f>IF(HR_Cleaned[[#This Row],[Attrition]]="Yes",1,0)</f>
        <v>0</v>
      </c>
    </row>
    <row r="1106" spans="1:39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>
        <f>IF(HR_Cleaned[[#This Row],[Age]]&lt;25,"18-24",IF(HR_Cleaned[[#This Row],[Age]]&lt;35,"25-34",IF(HR_Cleaned[[#This Row],[Age]]&lt;45,"35-44",IF(HR_Cleaned[[#This Row],[Age]]&lt;55,"45-54","55+"))))</f>
        <v>25-34</v>
      </c>
      <c r="AK110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106" t="str">
        <f>IF(HR_Cleaned[[#This Row],[MonthlyIncome]]&lt;3000,"Below 3000",IF(HR_Cleaned[[#This Row],[MonthlyIncome]]&lt;5000,"3000-4999",IF(HR_Cleaned[[#This Row],[MonthlyIncome]]&lt;8000,"5000-7999","8000+")))</f>
        <v>Below 3000</v>
      </c>
      <c r="AM1106">
        <f>IF(HR_Cleaned[[#This Row],[Attrition]]="Yes",1,0)</f>
        <v>0</v>
      </c>
    </row>
    <row r="1107" spans="1:39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>
        <f>IF(HR_Cleaned[[#This Row],[Age]]&lt;25,"18-24",IF(HR_Cleaned[[#This Row],[Age]]&lt;35,"25-34",IF(HR_Cleaned[[#This Row],[Age]]&lt;45,"35-44",IF(HR_Cleaned[[#This Row],[Age]]&lt;55,"45-54","55+"))))</f>
        <v>25-34</v>
      </c>
      <c r="AK110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107" t="str">
        <f>IF(HR_Cleaned[[#This Row],[MonthlyIncome]]&lt;3000,"Below 3000",IF(HR_Cleaned[[#This Row],[MonthlyIncome]]&lt;5000,"3000-4999",IF(HR_Cleaned[[#This Row],[MonthlyIncome]]&lt;8000,"5000-7999","8000+")))</f>
        <v>5000-7999</v>
      </c>
      <c r="AM1107">
        <f>IF(HR_Cleaned[[#This Row],[Attrition]]="Yes",1,0)</f>
        <v>0</v>
      </c>
    </row>
    <row r="1108" spans="1:39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>
        <f>IF(HR_Cleaned[[#This Row],[Age]]&lt;25,"18-24",IF(HR_Cleaned[[#This Row],[Age]]&lt;35,"25-34",IF(HR_Cleaned[[#This Row],[Age]]&lt;45,"35-44",IF(HR_Cleaned[[#This Row],[Age]]&lt;55,"45-54","55+"))))</f>
        <v>25-34</v>
      </c>
      <c r="AK110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08" t="str">
        <f>IF(HR_Cleaned[[#This Row],[MonthlyIncome]]&lt;3000,"Below 3000",IF(HR_Cleaned[[#This Row],[MonthlyIncome]]&lt;5000,"3000-4999",IF(HR_Cleaned[[#This Row],[MonthlyIncome]]&lt;8000,"5000-7999","8000+")))</f>
        <v>8000+</v>
      </c>
      <c r="AM1108">
        <f>IF(HR_Cleaned[[#This Row],[Attrition]]="Yes",1,0)</f>
        <v>1</v>
      </c>
    </row>
    <row r="1109" spans="1:39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>
        <f>IF(HR_Cleaned[[#This Row],[Age]]&lt;25,"18-24",IF(HR_Cleaned[[#This Row],[Age]]&lt;35,"25-34",IF(HR_Cleaned[[#This Row],[Age]]&lt;45,"35-44",IF(HR_Cleaned[[#This Row],[Age]]&lt;55,"45-54","55+"))))</f>
        <v>35-44</v>
      </c>
      <c r="AK110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09" t="str">
        <f>IF(HR_Cleaned[[#This Row],[MonthlyIncome]]&lt;3000,"Below 3000",IF(HR_Cleaned[[#This Row],[MonthlyIncome]]&lt;5000,"3000-4999",IF(HR_Cleaned[[#This Row],[MonthlyIncome]]&lt;8000,"5000-7999","8000+")))</f>
        <v>5000-7999</v>
      </c>
      <c r="AM1109">
        <f>IF(HR_Cleaned[[#This Row],[Attrition]]="Yes",1,0)</f>
        <v>0</v>
      </c>
    </row>
    <row r="1110" spans="1:39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>
        <f>IF(HR_Cleaned[[#This Row],[Age]]&lt;25,"18-24",IF(HR_Cleaned[[#This Row],[Age]]&lt;35,"25-34",IF(HR_Cleaned[[#This Row],[Age]]&lt;45,"35-44",IF(HR_Cleaned[[#This Row],[Age]]&lt;55,"45-54","55+"))))</f>
        <v>35-44</v>
      </c>
      <c r="AK111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10" t="str">
        <f>IF(HR_Cleaned[[#This Row],[MonthlyIncome]]&lt;3000,"Below 3000",IF(HR_Cleaned[[#This Row],[MonthlyIncome]]&lt;5000,"3000-4999",IF(HR_Cleaned[[#This Row],[MonthlyIncome]]&lt;8000,"5000-7999","8000+")))</f>
        <v>Below 3000</v>
      </c>
      <c r="AM1110">
        <f>IF(HR_Cleaned[[#This Row],[Attrition]]="Yes",1,0)</f>
        <v>0</v>
      </c>
    </row>
    <row r="1111" spans="1:39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>
        <f>IF(HR_Cleaned[[#This Row],[Age]]&lt;25,"18-24",IF(HR_Cleaned[[#This Row],[Age]]&lt;35,"25-34",IF(HR_Cleaned[[#This Row],[Age]]&lt;45,"35-44",IF(HR_Cleaned[[#This Row],[Age]]&lt;55,"45-54","55+"))))</f>
        <v>25-34</v>
      </c>
      <c r="AK111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11" t="str">
        <f>IF(HR_Cleaned[[#This Row],[MonthlyIncome]]&lt;3000,"Below 3000",IF(HR_Cleaned[[#This Row],[MonthlyIncome]]&lt;5000,"3000-4999",IF(HR_Cleaned[[#This Row],[MonthlyIncome]]&lt;8000,"5000-7999","8000+")))</f>
        <v>8000+</v>
      </c>
      <c r="AM1111">
        <f>IF(HR_Cleaned[[#This Row],[Attrition]]="Yes",1,0)</f>
        <v>0</v>
      </c>
    </row>
    <row r="1112" spans="1:39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>
        <f>IF(HR_Cleaned[[#This Row],[Age]]&lt;25,"18-24",IF(HR_Cleaned[[#This Row],[Age]]&lt;35,"25-34",IF(HR_Cleaned[[#This Row],[Age]]&lt;45,"35-44",IF(HR_Cleaned[[#This Row],[Age]]&lt;55,"45-54","55+"))))</f>
        <v>35-44</v>
      </c>
      <c r="AK111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112" t="str">
        <f>IF(HR_Cleaned[[#This Row],[MonthlyIncome]]&lt;3000,"Below 3000",IF(HR_Cleaned[[#This Row],[MonthlyIncome]]&lt;5000,"3000-4999",IF(HR_Cleaned[[#This Row],[MonthlyIncome]]&lt;8000,"5000-7999","8000+")))</f>
        <v>Below 3000</v>
      </c>
      <c r="AM1112">
        <f>IF(HR_Cleaned[[#This Row],[Attrition]]="Yes",1,0)</f>
        <v>1</v>
      </c>
    </row>
    <row r="1113" spans="1:39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>
        <f>IF(HR_Cleaned[[#This Row],[Age]]&lt;25,"18-24",IF(HR_Cleaned[[#This Row],[Age]]&lt;35,"25-34",IF(HR_Cleaned[[#This Row],[Age]]&lt;45,"35-44",IF(HR_Cleaned[[#This Row],[Age]]&lt;55,"45-54","55+"))))</f>
        <v>45-54</v>
      </c>
      <c r="AK111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113" t="str">
        <f>IF(HR_Cleaned[[#This Row],[MonthlyIncome]]&lt;3000,"Below 3000",IF(HR_Cleaned[[#This Row],[MonthlyIncome]]&lt;5000,"3000-4999",IF(HR_Cleaned[[#This Row],[MonthlyIncome]]&lt;8000,"5000-7999","8000+")))</f>
        <v>8000+</v>
      </c>
      <c r="AM1113">
        <f>IF(HR_Cleaned[[#This Row],[Attrition]]="Yes",1,0)</f>
        <v>1</v>
      </c>
    </row>
    <row r="1114" spans="1:39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>
        <f>IF(HR_Cleaned[[#This Row],[Age]]&lt;25,"18-24",IF(HR_Cleaned[[#This Row],[Age]]&lt;35,"25-34",IF(HR_Cleaned[[#This Row],[Age]]&lt;45,"35-44",IF(HR_Cleaned[[#This Row],[Age]]&lt;55,"45-54","55+"))))</f>
        <v>35-44</v>
      </c>
      <c r="AK111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14" t="str">
        <f>IF(HR_Cleaned[[#This Row],[MonthlyIncome]]&lt;3000,"Below 3000",IF(HR_Cleaned[[#This Row],[MonthlyIncome]]&lt;5000,"3000-4999",IF(HR_Cleaned[[#This Row],[MonthlyIncome]]&lt;8000,"5000-7999","8000+")))</f>
        <v>3000-4999</v>
      </c>
      <c r="AM1114">
        <f>IF(HR_Cleaned[[#This Row],[Attrition]]="Yes",1,0)</f>
        <v>1</v>
      </c>
    </row>
    <row r="1115" spans="1:39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>
        <f>IF(HR_Cleaned[[#This Row],[Age]]&lt;25,"18-24",IF(HR_Cleaned[[#This Row],[Age]]&lt;35,"25-34",IF(HR_Cleaned[[#This Row],[Age]]&lt;45,"35-44",IF(HR_Cleaned[[#This Row],[Age]]&lt;55,"45-54","55+"))))</f>
        <v>25-34</v>
      </c>
      <c r="AK111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15" t="str">
        <f>IF(HR_Cleaned[[#This Row],[MonthlyIncome]]&lt;3000,"Below 3000",IF(HR_Cleaned[[#This Row],[MonthlyIncome]]&lt;5000,"3000-4999",IF(HR_Cleaned[[#This Row],[MonthlyIncome]]&lt;8000,"5000-7999","8000+")))</f>
        <v>3000-4999</v>
      </c>
      <c r="AM1115">
        <f>IF(HR_Cleaned[[#This Row],[Attrition]]="Yes",1,0)</f>
        <v>0</v>
      </c>
    </row>
    <row r="1116" spans="1:39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>
        <f>IF(HR_Cleaned[[#This Row],[Age]]&lt;25,"18-24",IF(HR_Cleaned[[#This Row],[Age]]&lt;35,"25-34",IF(HR_Cleaned[[#This Row],[Age]]&lt;45,"35-44",IF(HR_Cleaned[[#This Row],[Age]]&lt;55,"45-54","55+"))))</f>
        <v>45-54</v>
      </c>
      <c r="AK111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16" t="str">
        <f>IF(HR_Cleaned[[#This Row],[MonthlyIncome]]&lt;3000,"Below 3000",IF(HR_Cleaned[[#This Row],[MonthlyIncome]]&lt;5000,"3000-4999",IF(HR_Cleaned[[#This Row],[MonthlyIncome]]&lt;8000,"5000-7999","8000+")))</f>
        <v>Below 3000</v>
      </c>
      <c r="AM1116">
        <f>IF(HR_Cleaned[[#This Row],[Attrition]]="Yes",1,0)</f>
        <v>0</v>
      </c>
    </row>
    <row r="1117" spans="1:39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>
        <f>IF(HR_Cleaned[[#This Row],[Age]]&lt;25,"18-24",IF(HR_Cleaned[[#This Row],[Age]]&lt;35,"25-34",IF(HR_Cleaned[[#This Row],[Age]]&lt;45,"35-44",IF(HR_Cleaned[[#This Row],[Age]]&lt;55,"45-54","55+"))))</f>
        <v>25-34</v>
      </c>
      <c r="AK111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117" t="str">
        <f>IF(HR_Cleaned[[#This Row],[MonthlyIncome]]&lt;3000,"Below 3000",IF(HR_Cleaned[[#This Row],[MonthlyIncome]]&lt;5000,"3000-4999",IF(HR_Cleaned[[#This Row],[MonthlyIncome]]&lt;8000,"5000-7999","8000+")))</f>
        <v>Below 3000</v>
      </c>
      <c r="AM1117">
        <f>IF(HR_Cleaned[[#This Row],[Attrition]]="Yes",1,0)</f>
        <v>0</v>
      </c>
    </row>
    <row r="1118" spans="1:39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>
        <f>IF(HR_Cleaned[[#This Row],[Age]]&lt;25,"18-24",IF(HR_Cleaned[[#This Row],[Age]]&lt;35,"25-34",IF(HR_Cleaned[[#This Row],[Age]]&lt;45,"35-44",IF(HR_Cleaned[[#This Row],[Age]]&lt;55,"45-54","55+"))))</f>
        <v>55+</v>
      </c>
      <c r="AK111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118" t="str">
        <f>IF(HR_Cleaned[[#This Row],[MonthlyIncome]]&lt;3000,"Below 3000",IF(HR_Cleaned[[#This Row],[MonthlyIncome]]&lt;5000,"3000-4999",IF(HR_Cleaned[[#This Row],[MonthlyIncome]]&lt;8000,"5000-7999","8000+")))</f>
        <v>8000+</v>
      </c>
      <c r="AM1118">
        <f>IF(HR_Cleaned[[#This Row],[Attrition]]="Yes",1,0)</f>
        <v>0</v>
      </c>
    </row>
    <row r="1119" spans="1:39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>
        <f>IF(HR_Cleaned[[#This Row],[Age]]&lt;25,"18-24",IF(HR_Cleaned[[#This Row],[Age]]&lt;35,"25-34",IF(HR_Cleaned[[#This Row],[Age]]&lt;45,"35-44",IF(HR_Cleaned[[#This Row],[Age]]&lt;55,"45-54","55+"))))</f>
        <v>25-34</v>
      </c>
      <c r="AK111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119" t="str">
        <f>IF(HR_Cleaned[[#This Row],[MonthlyIncome]]&lt;3000,"Below 3000",IF(HR_Cleaned[[#This Row],[MonthlyIncome]]&lt;5000,"3000-4999",IF(HR_Cleaned[[#This Row],[MonthlyIncome]]&lt;8000,"5000-7999","8000+")))</f>
        <v>5000-7999</v>
      </c>
      <c r="AM1119">
        <f>IF(HR_Cleaned[[#This Row],[Attrition]]="Yes",1,0)</f>
        <v>0</v>
      </c>
    </row>
    <row r="1120" spans="1:39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>
        <f>IF(HR_Cleaned[[#This Row],[Age]]&lt;25,"18-24",IF(HR_Cleaned[[#This Row],[Age]]&lt;35,"25-34",IF(HR_Cleaned[[#This Row],[Age]]&lt;45,"35-44",IF(HR_Cleaned[[#This Row],[Age]]&lt;55,"45-54","55+"))))</f>
        <v>25-34</v>
      </c>
      <c r="AK112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120" t="str">
        <f>IF(HR_Cleaned[[#This Row],[MonthlyIncome]]&lt;3000,"Below 3000",IF(HR_Cleaned[[#This Row],[MonthlyIncome]]&lt;5000,"3000-4999",IF(HR_Cleaned[[#This Row],[MonthlyIncome]]&lt;8000,"5000-7999","8000+")))</f>
        <v>Below 3000</v>
      </c>
      <c r="AM1120">
        <f>IF(HR_Cleaned[[#This Row],[Attrition]]="Yes",1,0)</f>
        <v>0</v>
      </c>
    </row>
    <row r="1121" spans="1:39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>
        <f>IF(HR_Cleaned[[#This Row],[Age]]&lt;25,"18-24",IF(HR_Cleaned[[#This Row],[Age]]&lt;35,"25-34",IF(HR_Cleaned[[#This Row],[Age]]&lt;45,"35-44",IF(HR_Cleaned[[#This Row],[Age]]&lt;55,"45-54","55+"))))</f>
        <v>35-44</v>
      </c>
      <c r="AK112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21" t="str">
        <f>IF(HR_Cleaned[[#This Row],[MonthlyIncome]]&lt;3000,"Below 3000",IF(HR_Cleaned[[#This Row],[MonthlyIncome]]&lt;5000,"3000-4999",IF(HR_Cleaned[[#This Row],[MonthlyIncome]]&lt;8000,"5000-7999","8000+")))</f>
        <v>8000+</v>
      </c>
      <c r="AM1121">
        <f>IF(HR_Cleaned[[#This Row],[Attrition]]="Yes",1,0)</f>
        <v>0</v>
      </c>
    </row>
    <row r="1122" spans="1:39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>
        <f>IF(HR_Cleaned[[#This Row],[Age]]&lt;25,"18-24",IF(HR_Cleaned[[#This Row],[Age]]&lt;35,"25-34",IF(HR_Cleaned[[#This Row],[Age]]&lt;45,"35-44",IF(HR_Cleaned[[#This Row],[Age]]&lt;55,"45-54","55+"))))</f>
        <v>35-44</v>
      </c>
      <c r="AK112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22" t="str">
        <f>IF(HR_Cleaned[[#This Row],[MonthlyIncome]]&lt;3000,"Below 3000",IF(HR_Cleaned[[#This Row],[MonthlyIncome]]&lt;5000,"3000-4999",IF(HR_Cleaned[[#This Row],[MonthlyIncome]]&lt;8000,"5000-7999","8000+")))</f>
        <v>3000-4999</v>
      </c>
      <c r="AM1122">
        <f>IF(HR_Cleaned[[#This Row],[Attrition]]="Yes",1,0)</f>
        <v>0</v>
      </c>
    </row>
    <row r="1123" spans="1:39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>
        <f>IF(HR_Cleaned[[#This Row],[Age]]&lt;25,"18-24",IF(HR_Cleaned[[#This Row],[Age]]&lt;35,"25-34",IF(HR_Cleaned[[#This Row],[Age]]&lt;45,"35-44",IF(HR_Cleaned[[#This Row],[Age]]&lt;55,"45-54","55+"))))</f>
        <v>35-44</v>
      </c>
      <c r="AK112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123" t="str">
        <f>IF(HR_Cleaned[[#This Row],[MonthlyIncome]]&lt;3000,"Below 3000",IF(HR_Cleaned[[#This Row],[MonthlyIncome]]&lt;5000,"3000-4999",IF(HR_Cleaned[[#This Row],[MonthlyIncome]]&lt;8000,"5000-7999","8000+")))</f>
        <v>5000-7999</v>
      </c>
      <c r="AM1123">
        <f>IF(HR_Cleaned[[#This Row],[Attrition]]="Yes",1,0)</f>
        <v>0</v>
      </c>
    </row>
    <row r="1124" spans="1:39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>
        <f>IF(HR_Cleaned[[#This Row],[Age]]&lt;25,"18-24",IF(HR_Cleaned[[#This Row],[Age]]&lt;35,"25-34",IF(HR_Cleaned[[#This Row],[Age]]&lt;45,"35-44",IF(HR_Cleaned[[#This Row],[Age]]&lt;55,"45-54","55+"))))</f>
        <v>25-34</v>
      </c>
      <c r="AK112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24" t="str">
        <f>IF(HR_Cleaned[[#This Row],[MonthlyIncome]]&lt;3000,"Below 3000",IF(HR_Cleaned[[#This Row],[MonthlyIncome]]&lt;5000,"3000-4999",IF(HR_Cleaned[[#This Row],[MonthlyIncome]]&lt;8000,"5000-7999","8000+")))</f>
        <v>3000-4999</v>
      </c>
      <c r="AM1124">
        <f>IF(HR_Cleaned[[#This Row],[Attrition]]="Yes",1,0)</f>
        <v>0</v>
      </c>
    </row>
    <row r="1125" spans="1:39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>
        <f>IF(HR_Cleaned[[#This Row],[Age]]&lt;25,"18-24",IF(HR_Cleaned[[#This Row],[Age]]&lt;35,"25-34",IF(HR_Cleaned[[#This Row],[Age]]&lt;45,"35-44",IF(HR_Cleaned[[#This Row],[Age]]&lt;55,"45-54","55+"))))</f>
        <v>35-44</v>
      </c>
      <c r="AK112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25" t="str">
        <f>IF(HR_Cleaned[[#This Row],[MonthlyIncome]]&lt;3000,"Below 3000",IF(HR_Cleaned[[#This Row],[MonthlyIncome]]&lt;5000,"3000-4999",IF(HR_Cleaned[[#This Row],[MonthlyIncome]]&lt;8000,"5000-7999","8000+")))</f>
        <v>5000-7999</v>
      </c>
      <c r="AM1125">
        <f>IF(HR_Cleaned[[#This Row],[Attrition]]="Yes",1,0)</f>
        <v>0</v>
      </c>
    </row>
    <row r="1126" spans="1:39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>
        <f>IF(HR_Cleaned[[#This Row],[Age]]&lt;25,"18-24",IF(HR_Cleaned[[#This Row],[Age]]&lt;35,"25-34",IF(HR_Cleaned[[#This Row],[Age]]&lt;45,"35-44",IF(HR_Cleaned[[#This Row],[Age]]&lt;55,"45-54","55+"))))</f>
        <v>35-44</v>
      </c>
      <c r="AK112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26" t="str">
        <f>IF(HR_Cleaned[[#This Row],[MonthlyIncome]]&lt;3000,"Below 3000",IF(HR_Cleaned[[#This Row],[MonthlyIncome]]&lt;5000,"3000-4999",IF(HR_Cleaned[[#This Row],[MonthlyIncome]]&lt;8000,"5000-7999","8000+")))</f>
        <v>8000+</v>
      </c>
      <c r="AM1126">
        <f>IF(HR_Cleaned[[#This Row],[Attrition]]="Yes",1,0)</f>
        <v>0</v>
      </c>
    </row>
    <row r="1127" spans="1:39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>
        <f>IF(HR_Cleaned[[#This Row],[Age]]&lt;25,"18-24",IF(HR_Cleaned[[#This Row],[Age]]&lt;35,"25-34",IF(HR_Cleaned[[#This Row],[Age]]&lt;45,"35-44",IF(HR_Cleaned[[#This Row],[Age]]&lt;55,"45-54","55+"))))</f>
        <v>25-34</v>
      </c>
      <c r="AK112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27" t="str">
        <f>IF(HR_Cleaned[[#This Row],[MonthlyIncome]]&lt;3000,"Below 3000",IF(HR_Cleaned[[#This Row],[MonthlyIncome]]&lt;5000,"3000-4999",IF(HR_Cleaned[[#This Row],[MonthlyIncome]]&lt;8000,"5000-7999","8000+")))</f>
        <v>8000+</v>
      </c>
      <c r="AM1127">
        <f>IF(HR_Cleaned[[#This Row],[Attrition]]="Yes",1,0)</f>
        <v>0</v>
      </c>
    </row>
    <row r="1128" spans="1:39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>
        <f>IF(HR_Cleaned[[#This Row],[Age]]&lt;25,"18-24",IF(HR_Cleaned[[#This Row],[Age]]&lt;35,"25-34",IF(HR_Cleaned[[#This Row],[Age]]&lt;45,"35-44",IF(HR_Cleaned[[#This Row],[Age]]&lt;55,"45-54","55+"))))</f>
        <v>45-54</v>
      </c>
      <c r="AK112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128" t="str">
        <f>IF(HR_Cleaned[[#This Row],[MonthlyIncome]]&lt;3000,"Below 3000",IF(HR_Cleaned[[#This Row],[MonthlyIncome]]&lt;5000,"3000-4999",IF(HR_Cleaned[[#This Row],[MonthlyIncome]]&lt;8000,"5000-7999","8000+")))</f>
        <v>8000+</v>
      </c>
      <c r="AM1128">
        <f>IF(HR_Cleaned[[#This Row],[Attrition]]="Yes",1,0)</f>
        <v>0</v>
      </c>
    </row>
    <row r="1129" spans="1:39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>
        <f>IF(HR_Cleaned[[#This Row],[Age]]&lt;25,"18-24",IF(HR_Cleaned[[#This Row],[Age]]&lt;35,"25-34",IF(HR_Cleaned[[#This Row],[Age]]&lt;45,"35-44",IF(HR_Cleaned[[#This Row],[Age]]&lt;55,"45-54","55+"))))</f>
        <v>18-24</v>
      </c>
      <c r="AK112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129" t="str">
        <f>IF(HR_Cleaned[[#This Row],[MonthlyIncome]]&lt;3000,"Below 3000",IF(HR_Cleaned[[#This Row],[MonthlyIncome]]&lt;5000,"3000-4999",IF(HR_Cleaned[[#This Row],[MonthlyIncome]]&lt;8000,"5000-7999","8000+")))</f>
        <v>Below 3000</v>
      </c>
      <c r="AM1129">
        <f>IF(HR_Cleaned[[#This Row],[Attrition]]="Yes",1,0)</f>
        <v>0</v>
      </c>
    </row>
    <row r="1130" spans="1:39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>
        <f>IF(HR_Cleaned[[#This Row],[Age]]&lt;25,"18-24",IF(HR_Cleaned[[#This Row],[Age]]&lt;35,"25-34",IF(HR_Cleaned[[#This Row],[Age]]&lt;45,"35-44",IF(HR_Cleaned[[#This Row],[Age]]&lt;55,"45-54","55+"))))</f>
        <v>35-44</v>
      </c>
      <c r="AK113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30" t="str">
        <f>IF(HR_Cleaned[[#This Row],[MonthlyIncome]]&lt;3000,"Below 3000",IF(HR_Cleaned[[#This Row],[MonthlyIncome]]&lt;5000,"3000-4999",IF(HR_Cleaned[[#This Row],[MonthlyIncome]]&lt;8000,"5000-7999","8000+")))</f>
        <v>5000-7999</v>
      </c>
      <c r="AM1130">
        <f>IF(HR_Cleaned[[#This Row],[Attrition]]="Yes",1,0)</f>
        <v>0</v>
      </c>
    </row>
    <row r="1131" spans="1:39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>
        <f>IF(HR_Cleaned[[#This Row],[Age]]&lt;25,"18-24",IF(HR_Cleaned[[#This Row],[Age]]&lt;35,"25-34",IF(HR_Cleaned[[#This Row],[Age]]&lt;45,"35-44",IF(HR_Cleaned[[#This Row],[Age]]&lt;55,"45-54","55+"))))</f>
        <v>35-44</v>
      </c>
      <c r="AK113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131" t="str">
        <f>IF(HR_Cleaned[[#This Row],[MonthlyIncome]]&lt;3000,"Below 3000",IF(HR_Cleaned[[#This Row],[MonthlyIncome]]&lt;5000,"3000-4999",IF(HR_Cleaned[[#This Row],[MonthlyIncome]]&lt;8000,"5000-7999","8000+")))</f>
        <v>8000+</v>
      </c>
      <c r="AM1131">
        <f>IF(HR_Cleaned[[#This Row],[Attrition]]="Yes",1,0)</f>
        <v>0</v>
      </c>
    </row>
    <row r="1132" spans="1:39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>
        <f>IF(HR_Cleaned[[#This Row],[Age]]&lt;25,"18-24",IF(HR_Cleaned[[#This Row],[Age]]&lt;35,"25-34",IF(HR_Cleaned[[#This Row],[Age]]&lt;45,"35-44",IF(HR_Cleaned[[#This Row],[Age]]&lt;55,"45-54","55+"))))</f>
        <v>35-44</v>
      </c>
      <c r="AK113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32" t="str">
        <f>IF(HR_Cleaned[[#This Row],[MonthlyIncome]]&lt;3000,"Below 3000",IF(HR_Cleaned[[#This Row],[MonthlyIncome]]&lt;5000,"3000-4999",IF(HR_Cleaned[[#This Row],[MonthlyIncome]]&lt;8000,"5000-7999","8000+")))</f>
        <v>3000-4999</v>
      </c>
      <c r="AM1132">
        <f>IF(HR_Cleaned[[#This Row],[Attrition]]="Yes",1,0)</f>
        <v>0</v>
      </c>
    </row>
    <row r="1133" spans="1:39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>
        <f>IF(HR_Cleaned[[#This Row],[Age]]&lt;25,"18-24",IF(HR_Cleaned[[#This Row],[Age]]&lt;35,"25-34",IF(HR_Cleaned[[#This Row],[Age]]&lt;45,"35-44",IF(HR_Cleaned[[#This Row],[Age]]&lt;55,"45-54","55+"))))</f>
        <v>25-34</v>
      </c>
      <c r="AK113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33" t="str">
        <f>IF(HR_Cleaned[[#This Row],[MonthlyIncome]]&lt;3000,"Below 3000",IF(HR_Cleaned[[#This Row],[MonthlyIncome]]&lt;5000,"3000-4999",IF(HR_Cleaned[[#This Row],[MonthlyIncome]]&lt;8000,"5000-7999","8000+")))</f>
        <v>5000-7999</v>
      </c>
      <c r="AM1133">
        <f>IF(HR_Cleaned[[#This Row],[Attrition]]="Yes",1,0)</f>
        <v>0</v>
      </c>
    </row>
    <row r="1134" spans="1:39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>
        <f>IF(HR_Cleaned[[#This Row],[Age]]&lt;25,"18-24",IF(HR_Cleaned[[#This Row],[Age]]&lt;35,"25-34",IF(HR_Cleaned[[#This Row],[Age]]&lt;45,"35-44",IF(HR_Cleaned[[#This Row],[Age]]&lt;55,"45-54","55+"))))</f>
        <v>35-44</v>
      </c>
      <c r="AK113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34" t="str">
        <f>IF(HR_Cleaned[[#This Row],[MonthlyIncome]]&lt;3000,"Below 3000",IF(HR_Cleaned[[#This Row],[MonthlyIncome]]&lt;5000,"3000-4999",IF(HR_Cleaned[[#This Row],[MonthlyIncome]]&lt;8000,"5000-7999","8000+")))</f>
        <v>3000-4999</v>
      </c>
      <c r="AM1134">
        <f>IF(HR_Cleaned[[#This Row],[Attrition]]="Yes",1,0)</f>
        <v>0</v>
      </c>
    </row>
    <row r="1135" spans="1:39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>
        <f>IF(HR_Cleaned[[#This Row],[Age]]&lt;25,"18-24",IF(HR_Cleaned[[#This Row],[Age]]&lt;35,"25-34",IF(HR_Cleaned[[#This Row],[Age]]&lt;45,"35-44",IF(HR_Cleaned[[#This Row],[Age]]&lt;55,"45-54","55+"))))</f>
        <v>35-44</v>
      </c>
      <c r="AK113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35" t="str">
        <f>IF(HR_Cleaned[[#This Row],[MonthlyIncome]]&lt;3000,"Below 3000",IF(HR_Cleaned[[#This Row],[MonthlyIncome]]&lt;5000,"3000-4999",IF(HR_Cleaned[[#This Row],[MonthlyIncome]]&lt;8000,"5000-7999","8000+")))</f>
        <v>3000-4999</v>
      </c>
      <c r="AM1135">
        <f>IF(HR_Cleaned[[#This Row],[Attrition]]="Yes",1,0)</f>
        <v>0</v>
      </c>
    </row>
    <row r="1136" spans="1:39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>
        <f>IF(HR_Cleaned[[#This Row],[Age]]&lt;25,"18-24",IF(HR_Cleaned[[#This Row],[Age]]&lt;35,"25-34",IF(HR_Cleaned[[#This Row],[Age]]&lt;45,"35-44",IF(HR_Cleaned[[#This Row],[Age]]&lt;55,"45-54","55+"))))</f>
        <v>35-44</v>
      </c>
      <c r="AK113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136" t="str">
        <f>IF(HR_Cleaned[[#This Row],[MonthlyIncome]]&lt;3000,"Below 3000",IF(HR_Cleaned[[#This Row],[MonthlyIncome]]&lt;5000,"3000-4999",IF(HR_Cleaned[[#This Row],[MonthlyIncome]]&lt;8000,"5000-7999","8000+")))</f>
        <v>Below 3000</v>
      </c>
      <c r="AM1136">
        <f>IF(HR_Cleaned[[#This Row],[Attrition]]="Yes",1,0)</f>
        <v>0</v>
      </c>
    </row>
    <row r="1137" spans="1:39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>
        <f>IF(HR_Cleaned[[#This Row],[Age]]&lt;25,"18-24",IF(HR_Cleaned[[#This Row],[Age]]&lt;35,"25-34",IF(HR_Cleaned[[#This Row],[Age]]&lt;45,"35-44",IF(HR_Cleaned[[#This Row],[Age]]&lt;55,"45-54","55+"))))</f>
        <v>45-54</v>
      </c>
      <c r="AK113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137" t="str">
        <f>IF(HR_Cleaned[[#This Row],[MonthlyIncome]]&lt;3000,"Below 3000",IF(HR_Cleaned[[#This Row],[MonthlyIncome]]&lt;5000,"3000-4999",IF(HR_Cleaned[[#This Row],[MonthlyIncome]]&lt;8000,"5000-7999","8000+")))</f>
        <v>8000+</v>
      </c>
      <c r="AM1137">
        <f>IF(HR_Cleaned[[#This Row],[Attrition]]="Yes",1,0)</f>
        <v>0</v>
      </c>
    </row>
    <row r="1138" spans="1:39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>
        <f>IF(HR_Cleaned[[#This Row],[Age]]&lt;25,"18-24",IF(HR_Cleaned[[#This Row],[Age]]&lt;35,"25-34",IF(HR_Cleaned[[#This Row],[Age]]&lt;45,"35-44",IF(HR_Cleaned[[#This Row],[Age]]&lt;55,"45-54","55+"))))</f>
        <v>25-34</v>
      </c>
      <c r="AK113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138" t="str">
        <f>IF(HR_Cleaned[[#This Row],[MonthlyIncome]]&lt;3000,"Below 3000",IF(HR_Cleaned[[#This Row],[MonthlyIncome]]&lt;5000,"3000-4999",IF(HR_Cleaned[[#This Row],[MonthlyIncome]]&lt;8000,"5000-7999","8000+")))</f>
        <v>Below 3000</v>
      </c>
      <c r="AM1138">
        <f>IF(HR_Cleaned[[#This Row],[Attrition]]="Yes",1,0)</f>
        <v>1</v>
      </c>
    </row>
    <row r="1139" spans="1:39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>
        <f>IF(HR_Cleaned[[#This Row],[Age]]&lt;25,"18-24",IF(HR_Cleaned[[#This Row],[Age]]&lt;35,"25-34",IF(HR_Cleaned[[#This Row],[Age]]&lt;45,"35-44",IF(HR_Cleaned[[#This Row],[Age]]&lt;55,"45-54","55+"))))</f>
        <v>18-24</v>
      </c>
      <c r="AK113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39" t="str">
        <f>IF(HR_Cleaned[[#This Row],[MonthlyIncome]]&lt;3000,"Below 3000",IF(HR_Cleaned[[#This Row],[MonthlyIncome]]&lt;5000,"3000-4999",IF(HR_Cleaned[[#This Row],[MonthlyIncome]]&lt;8000,"5000-7999","8000+")))</f>
        <v>Below 3000</v>
      </c>
      <c r="AM1139">
        <f>IF(HR_Cleaned[[#This Row],[Attrition]]="Yes",1,0)</f>
        <v>0</v>
      </c>
    </row>
    <row r="1140" spans="1:39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>
        <f>IF(HR_Cleaned[[#This Row],[Age]]&lt;25,"18-24",IF(HR_Cleaned[[#This Row],[Age]]&lt;35,"25-34",IF(HR_Cleaned[[#This Row],[Age]]&lt;45,"35-44",IF(HR_Cleaned[[#This Row],[Age]]&lt;55,"45-54","55+"))))</f>
        <v>45-54</v>
      </c>
      <c r="AK114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140" t="str">
        <f>IF(HR_Cleaned[[#This Row],[MonthlyIncome]]&lt;3000,"Below 3000",IF(HR_Cleaned[[#This Row],[MonthlyIncome]]&lt;5000,"3000-4999",IF(HR_Cleaned[[#This Row],[MonthlyIncome]]&lt;8000,"5000-7999","8000+")))</f>
        <v>8000+</v>
      </c>
      <c r="AM1140">
        <f>IF(HR_Cleaned[[#This Row],[Attrition]]="Yes",1,0)</f>
        <v>0</v>
      </c>
    </row>
    <row r="1141" spans="1:39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>
        <f>IF(HR_Cleaned[[#This Row],[Age]]&lt;25,"18-24",IF(HR_Cleaned[[#This Row],[Age]]&lt;35,"25-34",IF(HR_Cleaned[[#This Row],[Age]]&lt;45,"35-44",IF(HR_Cleaned[[#This Row],[Age]]&lt;55,"45-54","55+"))))</f>
        <v>25-34</v>
      </c>
      <c r="AK114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41" t="str">
        <f>IF(HR_Cleaned[[#This Row],[MonthlyIncome]]&lt;3000,"Below 3000",IF(HR_Cleaned[[#This Row],[MonthlyIncome]]&lt;5000,"3000-4999",IF(HR_Cleaned[[#This Row],[MonthlyIncome]]&lt;8000,"5000-7999","8000+")))</f>
        <v>3000-4999</v>
      </c>
      <c r="AM1141">
        <f>IF(HR_Cleaned[[#This Row],[Attrition]]="Yes",1,0)</f>
        <v>0</v>
      </c>
    </row>
    <row r="1142" spans="1:39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>
        <f>IF(HR_Cleaned[[#This Row],[Age]]&lt;25,"18-24",IF(HR_Cleaned[[#This Row],[Age]]&lt;35,"25-34",IF(HR_Cleaned[[#This Row],[Age]]&lt;45,"35-44",IF(HR_Cleaned[[#This Row],[Age]]&lt;55,"45-54","55+"))))</f>
        <v>35-44</v>
      </c>
      <c r="AK114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142" t="str">
        <f>IF(HR_Cleaned[[#This Row],[MonthlyIncome]]&lt;3000,"Below 3000",IF(HR_Cleaned[[#This Row],[MonthlyIncome]]&lt;5000,"3000-4999",IF(HR_Cleaned[[#This Row],[MonthlyIncome]]&lt;8000,"5000-7999","8000+")))</f>
        <v>8000+</v>
      </c>
      <c r="AM1142">
        <f>IF(HR_Cleaned[[#This Row],[Attrition]]="Yes",1,0)</f>
        <v>0</v>
      </c>
    </row>
    <row r="1143" spans="1:39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>
        <f>IF(HR_Cleaned[[#This Row],[Age]]&lt;25,"18-24",IF(HR_Cleaned[[#This Row],[Age]]&lt;35,"25-34",IF(HR_Cleaned[[#This Row],[Age]]&lt;45,"35-44",IF(HR_Cleaned[[#This Row],[Age]]&lt;55,"45-54","55+"))))</f>
        <v>25-34</v>
      </c>
      <c r="AK114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43" t="str">
        <f>IF(HR_Cleaned[[#This Row],[MonthlyIncome]]&lt;3000,"Below 3000",IF(HR_Cleaned[[#This Row],[MonthlyIncome]]&lt;5000,"3000-4999",IF(HR_Cleaned[[#This Row],[MonthlyIncome]]&lt;8000,"5000-7999","8000+")))</f>
        <v>Below 3000</v>
      </c>
      <c r="AM1143">
        <f>IF(HR_Cleaned[[#This Row],[Attrition]]="Yes",1,0)</f>
        <v>0</v>
      </c>
    </row>
    <row r="1144" spans="1:39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>
        <f>IF(HR_Cleaned[[#This Row],[Age]]&lt;25,"18-24",IF(HR_Cleaned[[#This Row],[Age]]&lt;35,"25-34",IF(HR_Cleaned[[#This Row],[Age]]&lt;45,"35-44",IF(HR_Cleaned[[#This Row],[Age]]&lt;55,"45-54","55+"))))</f>
        <v>45-54</v>
      </c>
      <c r="AK114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44" t="str">
        <f>IF(HR_Cleaned[[#This Row],[MonthlyIncome]]&lt;3000,"Below 3000",IF(HR_Cleaned[[#This Row],[MonthlyIncome]]&lt;5000,"3000-4999",IF(HR_Cleaned[[#This Row],[MonthlyIncome]]&lt;8000,"5000-7999","8000+")))</f>
        <v>5000-7999</v>
      </c>
      <c r="AM1144">
        <f>IF(HR_Cleaned[[#This Row],[Attrition]]="Yes",1,0)</f>
        <v>0</v>
      </c>
    </row>
    <row r="1145" spans="1:39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>
        <f>IF(HR_Cleaned[[#This Row],[Age]]&lt;25,"18-24",IF(HR_Cleaned[[#This Row],[Age]]&lt;35,"25-34",IF(HR_Cleaned[[#This Row],[Age]]&lt;45,"35-44",IF(HR_Cleaned[[#This Row],[Age]]&lt;55,"45-54","55+"))))</f>
        <v>45-54</v>
      </c>
      <c r="AK114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45" t="str">
        <f>IF(HR_Cleaned[[#This Row],[MonthlyIncome]]&lt;3000,"Below 3000",IF(HR_Cleaned[[#This Row],[MonthlyIncome]]&lt;5000,"3000-4999",IF(HR_Cleaned[[#This Row],[MonthlyIncome]]&lt;8000,"5000-7999","8000+")))</f>
        <v>3000-4999</v>
      </c>
      <c r="AM1145">
        <f>IF(HR_Cleaned[[#This Row],[Attrition]]="Yes",1,0)</f>
        <v>0</v>
      </c>
    </row>
    <row r="1146" spans="1:39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>
        <f>IF(HR_Cleaned[[#This Row],[Age]]&lt;25,"18-24",IF(HR_Cleaned[[#This Row],[Age]]&lt;35,"25-34",IF(HR_Cleaned[[#This Row],[Age]]&lt;45,"35-44",IF(HR_Cleaned[[#This Row],[Age]]&lt;55,"45-54","55+"))))</f>
        <v>25-34</v>
      </c>
      <c r="AK114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46" t="str">
        <f>IF(HR_Cleaned[[#This Row],[MonthlyIncome]]&lt;3000,"Below 3000",IF(HR_Cleaned[[#This Row],[MonthlyIncome]]&lt;5000,"3000-4999",IF(HR_Cleaned[[#This Row],[MonthlyIncome]]&lt;8000,"5000-7999","8000+")))</f>
        <v>5000-7999</v>
      </c>
      <c r="AM1146">
        <f>IF(HR_Cleaned[[#This Row],[Attrition]]="Yes",1,0)</f>
        <v>0</v>
      </c>
    </row>
    <row r="1147" spans="1:39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>
        <f>IF(HR_Cleaned[[#This Row],[Age]]&lt;25,"18-24",IF(HR_Cleaned[[#This Row],[Age]]&lt;35,"25-34",IF(HR_Cleaned[[#This Row],[Age]]&lt;45,"35-44",IF(HR_Cleaned[[#This Row],[Age]]&lt;55,"45-54","55+"))))</f>
        <v>35-44</v>
      </c>
      <c r="AK114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47" t="str">
        <f>IF(HR_Cleaned[[#This Row],[MonthlyIncome]]&lt;3000,"Below 3000",IF(HR_Cleaned[[#This Row],[MonthlyIncome]]&lt;5000,"3000-4999",IF(HR_Cleaned[[#This Row],[MonthlyIncome]]&lt;8000,"5000-7999","8000+")))</f>
        <v>3000-4999</v>
      </c>
      <c r="AM1147">
        <f>IF(HR_Cleaned[[#This Row],[Attrition]]="Yes",1,0)</f>
        <v>0</v>
      </c>
    </row>
    <row r="1148" spans="1:39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>
        <f>IF(HR_Cleaned[[#This Row],[Age]]&lt;25,"18-24",IF(HR_Cleaned[[#This Row],[Age]]&lt;35,"25-34",IF(HR_Cleaned[[#This Row],[Age]]&lt;45,"35-44",IF(HR_Cleaned[[#This Row],[Age]]&lt;55,"45-54","55+"))))</f>
        <v>25-34</v>
      </c>
      <c r="AK114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48" t="str">
        <f>IF(HR_Cleaned[[#This Row],[MonthlyIncome]]&lt;3000,"Below 3000",IF(HR_Cleaned[[#This Row],[MonthlyIncome]]&lt;5000,"3000-4999",IF(HR_Cleaned[[#This Row],[MonthlyIncome]]&lt;8000,"5000-7999","8000+")))</f>
        <v>3000-4999</v>
      </c>
      <c r="AM1148">
        <f>IF(HR_Cleaned[[#This Row],[Attrition]]="Yes",1,0)</f>
        <v>0</v>
      </c>
    </row>
    <row r="1149" spans="1:39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>
        <f>IF(HR_Cleaned[[#This Row],[Age]]&lt;25,"18-24",IF(HR_Cleaned[[#This Row],[Age]]&lt;35,"25-34",IF(HR_Cleaned[[#This Row],[Age]]&lt;45,"35-44",IF(HR_Cleaned[[#This Row],[Age]]&lt;55,"45-54","55+"))))</f>
        <v>45-54</v>
      </c>
      <c r="AK114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49" t="str">
        <f>IF(HR_Cleaned[[#This Row],[MonthlyIncome]]&lt;3000,"Below 3000",IF(HR_Cleaned[[#This Row],[MonthlyIncome]]&lt;5000,"3000-4999",IF(HR_Cleaned[[#This Row],[MonthlyIncome]]&lt;8000,"5000-7999","8000+")))</f>
        <v>3000-4999</v>
      </c>
      <c r="AM1149">
        <f>IF(HR_Cleaned[[#This Row],[Attrition]]="Yes",1,0)</f>
        <v>0</v>
      </c>
    </row>
    <row r="1150" spans="1:39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>
        <f>IF(HR_Cleaned[[#This Row],[Age]]&lt;25,"18-24",IF(HR_Cleaned[[#This Row],[Age]]&lt;35,"25-34",IF(HR_Cleaned[[#This Row],[Age]]&lt;45,"35-44",IF(HR_Cleaned[[#This Row],[Age]]&lt;55,"45-54","55+"))))</f>
        <v>35-44</v>
      </c>
      <c r="AK115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50" t="str">
        <f>IF(HR_Cleaned[[#This Row],[MonthlyIncome]]&lt;3000,"Below 3000",IF(HR_Cleaned[[#This Row],[MonthlyIncome]]&lt;5000,"3000-4999",IF(HR_Cleaned[[#This Row],[MonthlyIncome]]&lt;8000,"5000-7999","8000+")))</f>
        <v>5000-7999</v>
      </c>
      <c r="AM1150">
        <f>IF(HR_Cleaned[[#This Row],[Attrition]]="Yes",1,0)</f>
        <v>0</v>
      </c>
    </row>
    <row r="1151" spans="1:39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>
        <f>IF(HR_Cleaned[[#This Row],[Age]]&lt;25,"18-24",IF(HR_Cleaned[[#This Row],[Age]]&lt;35,"25-34",IF(HR_Cleaned[[#This Row],[Age]]&lt;45,"35-44",IF(HR_Cleaned[[#This Row],[Age]]&lt;55,"45-54","55+"))))</f>
        <v>25-34</v>
      </c>
      <c r="AK115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51" t="str">
        <f>IF(HR_Cleaned[[#This Row],[MonthlyIncome]]&lt;3000,"Below 3000",IF(HR_Cleaned[[#This Row],[MonthlyIncome]]&lt;5000,"3000-4999",IF(HR_Cleaned[[#This Row],[MonthlyIncome]]&lt;8000,"5000-7999","8000+")))</f>
        <v>3000-4999</v>
      </c>
      <c r="AM1151">
        <f>IF(HR_Cleaned[[#This Row],[Attrition]]="Yes",1,0)</f>
        <v>0</v>
      </c>
    </row>
    <row r="1152" spans="1:39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>
        <f>IF(HR_Cleaned[[#This Row],[Age]]&lt;25,"18-24",IF(HR_Cleaned[[#This Row],[Age]]&lt;35,"25-34",IF(HR_Cleaned[[#This Row],[Age]]&lt;45,"35-44",IF(HR_Cleaned[[#This Row],[Age]]&lt;55,"45-54","55+"))))</f>
        <v>35-44</v>
      </c>
      <c r="AK115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152" t="str">
        <f>IF(HR_Cleaned[[#This Row],[MonthlyIncome]]&lt;3000,"Below 3000",IF(HR_Cleaned[[#This Row],[MonthlyIncome]]&lt;5000,"3000-4999",IF(HR_Cleaned[[#This Row],[MonthlyIncome]]&lt;8000,"5000-7999","8000+")))</f>
        <v>5000-7999</v>
      </c>
      <c r="AM1152">
        <f>IF(HR_Cleaned[[#This Row],[Attrition]]="Yes",1,0)</f>
        <v>0</v>
      </c>
    </row>
    <row r="1153" spans="1:39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>
        <f>IF(HR_Cleaned[[#This Row],[Age]]&lt;25,"18-24",IF(HR_Cleaned[[#This Row],[Age]]&lt;35,"25-34",IF(HR_Cleaned[[#This Row],[Age]]&lt;45,"35-44",IF(HR_Cleaned[[#This Row],[Age]]&lt;55,"45-54","55+"))))</f>
        <v>25-34</v>
      </c>
      <c r="AK115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53" t="str">
        <f>IF(HR_Cleaned[[#This Row],[MonthlyIncome]]&lt;3000,"Below 3000",IF(HR_Cleaned[[#This Row],[MonthlyIncome]]&lt;5000,"3000-4999",IF(HR_Cleaned[[#This Row],[MonthlyIncome]]&lt;8000,"5000-7999","8000+")))</f>
        <v>3000-4999</v>
      </c>
      <c r="AM1153">
        <f>IF(HR_Cleaned[[#This Row],[Attrition]]="Yes",1,0)</f>
        <v>0</v>
      </c>
    </row>
    <row r="1154" spans="1:39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>
        <f>IF(HR_Cleaned[[#This Row],[Age]]&lt;25,"18-24",IF(HR_Cleaned[[#This Row],[Age]]&lt;35,"25-34",IF(HR_Cleaned[[#This Row],[Age]]&lt;45,"35-44",IF(HR_Cleaned[[#This Row],[Age]]&lt;55,"45-54","55+"))))</f>
        <v>18-24</v>
      </c>
      <c r="AK115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154" t="str">
        <f>IF(HR_Cleaned[[#This Row],[MonthlyIncome]]&lt;3000,"Below 3000",IF(HR_Cleaned[[#This Row],[MonthlyIncome]]&lt;5000,"3000-4999",IF(HR_Cleaned[[#This Row],[MonthlyIncome]]&lt;8000,"5000-7999","8000+")))</f>
        <v>3000-4999</v>
      </c>
      <c r="AM1154">
        <f>IF(HR_Cleaned[[#This Row],[Attrition]]="Yes",1,0)</f>
        <v>0</v>
      </c>
    </row>
    <row r="1155" spans="1:39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>
        <f>IF(HR_Cleaned[[#This Row],[Age]]&lt;25,"18-24",IF(HR_Cleaned[[#This Row],[Age]]&lt;35,"25-34",IF(HR_Cleaned[[#This Row],[Age]]&lt;45,"35-44",IF(HR_Cleaned[[#This Row],[Age]]&lt;55,"45-54","55+"))))</f>
        <v>18-24</v>
      </c>
      <c r="AK1155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155" t="str">
        <f>IF(HR_Cleaned[[#This Row],[MonthlyIncome]]&lt;3000,"Below 3000",IF(HR_Cleaned[[#This Row],[MonthlyIncome]]&lt;5000,"3000-4999",IF(HR_Cleaned[[#This Row],[MonthlyIncome]]&lt;8000,"5000-7999","8000+")))</f>
        <v>Below 3000</v>
      </c>
      <c r="AM1155">
        <f>IF(HR_Cleaned[[#This Row],[Attrition]]="Yes",1,0)</f>
        <v>1</v>
      </c>
    </row>
    <row r="1156" spans="1:39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>
        <f>IF(HR_Cleaned[[#This Row],[Age]]&lt;25,"18-24",IF(HR_Cleaned[[#This Row],[Age]]&lt;35,"25-34",IF(HR_Cleaned[[#This Row],[Age]]&lt;45,"35-44",IF(HR_Cleaned[[#This Row],[Age]]&lt;55,"45-54","55+"))))</f>
        <v>45-54</v>
      </c>
      <c r="AK115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56" t="str">
        <f>IF(HR_Cleaned[[#This Row],[MonthlyIncome]]&lt;3000,"Below 3000",IF(HR_Cleaned[[#This Row],[MonthlyIncome]]&lt;5000,"3000-4999",IF(HR_Cleaned[[#This Row],[MonthlyIncome]]&lt;8000,"5000-7999","8000+")))</f>
        <v>8000+</v>
      </c>
      <c r="AM1156">
        <f>IF(HR_Cleaned[[#This Row],[Attrition]]="Yes",1,0)</f>
        <v>0</v>
      </c>
    </row>
    <row r="1157" spans="1:39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>
        <f>IF(HR_Cleaned[[#This Row],[Age]]&lt;25,"18-24",IF(HR_Cleaned[[#This Row],[Age]]&lt;35,"25-34",IF(HR_Cleaned[[#This Row],[Age]]&lt;45,"35-44",IF(HR_Cleaned[[#This Row],[Age]]&lt;55,"45-54","55+"))))</f>
        <v>35-44</v>
      </c>
      <c r="AK115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57" t="str">
        <f>IF(HR_Cleaned[[#This Row],[MonthlyIncome]]&lt;3000,"Below 3000",IF(HR_Cleaned[[#This Row],[MonthlyIncome]]&lt;5000,"3000-4999",IF(HR_Cleaned[[#This Row],[MonthlyIncome]]&lt;8000,"5000-7999","8000+")))</f>
        <v>3000-4999</v>
      </c>
      <c r="AM1157">
        <f>IF(HR_Cleaned[[#This Row],[Attrition]]="Yes",1,0)</f>
        <v>0</v>
      </c>
    </row>
    <row r="1158" spans="1:39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>
        <f>IF(HR_Cleaned[[#This Row],[Age]]&lt;25,"18-24",IF(HR_Cleaned[[#This Row],[Age]]&lt;35,"25-34",IF(HR_Cleaned[[#This Row],[Age]]&lt;45,"35-44",IF(HR_Cleaned[[#This Row],[Age]]&lt;55,"45-54","55+"))))</f>
        <v>35-44</v>
      </c>
      <c r="AK115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158" t="str">
        <f>IF(HR_Cleaned[[#This Row],[MonthlyIncome]]&lt;3000,"Below 3000",IF(HR_Cleaned[[#This Row],[MonthlyIncome]]&lt;5000,"3000-4999",IF(HR_Cleaned[[#This Row],[MonthlyIncome]]&lt;8000,"5000-7999","8000+")))</f>
        <v>8000+</v>
      </c>
      <c r="AM1158">
        <f>IF(HR_Cleaned[[#This Row],[Attrition]]="Yes",1,0)</f>
        <v>0</v>
      </c>
    </row>
    <row r="1159" spans="1:39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>
        <f>IF(HR_Cleaned[[#This Row],[Age]]&lt;25,"18-24",IF(HR_Cleaned[[#This Row],[Age]]&lt;35,"25-34",IF(HR_Cleaned[[#This Row],[Age]]&lt;45,"35-44",IF(HR_Cleaned[[#This Row],[Age]]&lt;55,"45-54","55+"))))</f>
        <v>35-44</v>
      </c>
      <c r="AK115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159" t="str">
        <f>IF(HR_Cleaned[[#This Row],[MonthlyIncome]]&lt;3000,"Below 3000",IF(HR_Cleaned[[#This Row],[MonthlyIncome]]&lt;5000,"3000-4999",IF(HR_Cleaned[[#This Row],[MonthlyIncome]]&lt;8000,"5000-7999","8000+")))</f>
        <v>3000-4999</v>
      </c>
      <c r="AM1159">
        <f>IF(HR_Cleaned[[#This Row],[Attrition]]="Yes",1,0)</f>
        <v>0</v>
      </c>
    </row>
    <row r="1160" spans="1:39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>
        <f>IF(HR_Cleaned[[#This Row],[Age]]&lt;25,"18-24",IF(HR_Cleaned[[#This Row],[Age]]&lt;35,"25-34",IF(HR_Cleaned[[#This Row],[Age]]&lt;45,"35-44",IF(HR_Cleaned[[#This Row],[Age]]&lt;55,"45-54","55+"))))</f>
        <v>35-44</v>
      </c>
      <c r="AK116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60" t="str">
        <f>IF(HR_Cleaned[[#This Row],[MonthlyIncome]]&lt;3000,"Below 3000",IF(HR_Cleaned[[#This Row],[MonthlyIncome]]&lt;5000,"3000-4999",IF(HR_Cleaned[[#This Row],[MonthlyIncome]]&lt;8000,"5000-7999","8000+")))</f>
        <v>5000-7999</v>
      </c>
      <c r="AM1160">
        <f>IF(HR_Cleaned[[#This Row],[Attrition]]="Yes",1,0)</f>
        <v>0</v>
      </c>
    </row>
    <row r="1161" spans="1:39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>
        <f>IF(HR_Cleaned[[#This Row],[Age]]&lt;25,"18-24",IF(HR_Cleaned[[#This Row],[Age]]&lt;35,"25-34",IF(HR_Cleaned[[#This Row],[Age]]&lt;45,"35-44",IF(HR_Cleaned[[#This Row],[Age]]&lt;55,"45-54","55+"))))</f>
        <v>35-44</v>
      </c>
      <c r="AK116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61" t="str">
        <f>IF(HR_Cleaned[[#This Row],[MonthlyIncome]]&lt;3000,"Below 3000",IF(HR_Cleaned[[#This Row],[MonthlyIncome]]&lt;5000,"3000-4999",IF(HR_Cleaned[[#This Row],[MonthlyIncome]]&lt;8000,"5000-7999","8000+")))</f>
        <v>5000-7999</v>
      </c>
      <c r="AM1161">
        <f>IF(HR_Cleaned[[#This Row],[Attrition]]="Yes",1,0)</f>
        <v>0</v>
      </c>
    </row>
    <row r="1162" spans="1:39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>
        <f>IF(HR_Cleaned[[#This Row],[Age]]&lt;25,"18-24",IF(HR_Cleaned[[#This Row],[Age]]&lt;35,"25-34",IF(HR_Cleaned[[#This Row],[Age]]&lt;45,"35-44",IF(HR_Cleaned[[#This Row],[Age]]&lt;55,"45-54","55+"))))</f>
        <v>45-54</v>
      </c>
      <c r="AK116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62" t="str">
        <f>IF(HR_Cleaned[[#This Row],[MonthlyIncome]]&lt;3000,"Below 3000",IF(HR_Cleaned[[#This Row],[MonthlyIncome]]&lt;5000,"3000-4999",IF(HR_Cleaned[[#This Row],[MonthlyIncome]]&lt;8000,"5000-7999","8000+")))</f>
        <v>5000-7999</v>
      </c>
      <c r="AM1162">
        <f>IF(HR_Cleaned[[#This Row],[Attrition]]="Yes",1,0)</f>
        <v>0</v>
      </c>
    </row>
    <row r="1163" spans="1:39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>
        <f>IF(HR_Cleaned[[#This Row],[Age]]&lt;25,"18-24",IF(HR_Cleaned[[#This Row],[Age]]&lt;35,"25-34",IF(HR_Cleaned[[#This Row],[Age]]&lt;45,"35-44",IF(HR_Cleaned[[#This Row],[Age]]&lt;55,"45-54","55+"))))</f>
        <v>35-44</v>
      </c>
      <c r="AK116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63" t="str">
        <f>IF(HR_Cleaned[[#This Row],[MonthlyIncome]]&lt;3000,"Below 3000",IF(HR_Cleaned[[#This Row],[MonthlyIncome]]&lt;5000,"3000-4999",IF(HR_Cleaned[[#This Row],[MonthlyIncome]]&lt;8000,"5000-7999","8000+")))</f>
        <v>5000-7999</v>
      </c>
      <c r="AM1163">
        <f>IF(HR_Cleaned[[#This Row],[Attrition]]="Yes",1,0)</f>
        <v>0</v>
      </c>
    </row>
    <row r="1164" spans="1:39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>
        <f>IF(HR_Cleaned[[#This Row],[Age]]&lt;25,"18-24",IF(HR_Cleaned[[#This Row],[Age]]&lt;35,"25-34",IF(HR_Cleaned[[#This Row],[Age]]&lt;45,"35-44",IF(HR_Cleaned[[#This Row],[Age]]&lt;55,"45-54","55+"))))</f>
        <v>35-44</v>
      </c>
      <c r="AK1164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164" t="str">
        <f>IF(HR_Cleaned[[#This Row],[MonthlyIncome]]&lt;3000,"Below 3000",IF(HR_Cleaned[[#This Row],[MonthlyIncome]]&lt;5000,"3000-4999",IF(HR_Cleaned[[#This Row],[MonthlyIncome]]&lt;8000,"5000-7999","8000+")))</f>
        <v>8000+</v>
      </c>
      <c r="AM1164">
        <f>IF(HR_Cleaned[[#This Row],[Attrition]]="Yes",1,0)</f>
        <v>1</v>
      </c>
    </row>
    <row r="1165" spans="1:39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>
        <f>IF(HR_Cleaned[[#This Row],[Age]]&lt;25,"18-24",IF(HR_Cleaned[[#This Row],[Age]]&lt;35,"25-34",IF(HR_Cleaned[[#This Row],[Age]]&lt;45,"35-44",IF(HR_Cleaned[[#This Row],[Age]]&lt;55,"45-54","55+"))))</f>
        <v>35-44</v>
      </c>
      <c r="AK116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65" t="str">
        <f>IF(HR_Cleaned[[#This Row],[MonthlyIncome]]&lt;3000,"Below 3000",IF(HR_Cleaned[[#This Row],[MonthlyIncome]]&lt;5000,"3000-4999",IF(HR_Cleaned[[#This Row],[MonthlyIncome]]&lt;8000,"5000-7999","8000+")))</f>
        <v>3000-4999</v>
      </c>
      <c r="AM1165">
        <f>IF(HR_Cleaned[[#This Row],[Attrition]]="Yes",1,0)</f>
        <v>0</v>
      </c>
    </row>
    <row r="1166" spans="1:39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>
        <f>IF(HR_Cleaned[[#This Row],[Age]]&lt;25,"18-24",IF(HR_Cleaned[[#This Row],[Age]]&lt;35,"25-34",IF(HR_Cleaned[[#This Row],[Age]]&lt;45,"35-44",IF(HR_Cleaned[[#This Row],[Age]]&lt;55,"45-54","55+"))))</f>
        <v>35-44</v>
      </c>
      <c r="AK116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66" t="str">
        <f>IF(HR_Cleaned[[#This Row],[MonthlyIncome]]&lt;3000,"Below 3000",IF(HR_Cleaned[[#This Row],[MonthlyIncome]]&lt;5000,"3000-4999",IF(HR_Cleaned[[#This Row],[MonthlyIncome]]&lt;8000,"5000-7999","8000+")))</f>
        <v>5000-7999</v>
      </c>
      <c r="AM1166">
        <f>IF(HR_Cleaned[[#This Row],[Attrition]]="Yes",1,0)</f>
        <v>0</v>
      </c>
    </row>
    <row r="1167" spans="1:39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>
        <f>IF(HR_Cleaned[[#This Row],[Age]]&lt;25,"18-24",IF(HR_Cleaned[[#This Row],[Age]]&lt;35,"25-34",IF(HR_Cleaned[[#This Row],[Age]]&lt;45,"35-44",IF(HR_Cleaned[[#This Row],[Age]]&lt;55,"45-54","55+"))))</f>
        <v>35-44</v>
      </c>
      <c r="AK116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67" t="str">
        <f>IF(HR_Cleaned[[#This Row],[MonthlyIncome]]&lt;3000,"Below 3000",IF(HR_Cleaned[[#This Row],[MonthlyIncome]]&lt;5000,"3000-4999",IF(HR_Cleaned[[#This Row],[MonthlyIncome]]&lt;8000,"5000-7999","8000+")))</f>
        <v>5000-7999</v>
      </c>
      <c r="AM1167">
        <f>IF(HR_Cleaned[[#This Row],[Attrition]]="Yes",1,0)</f>
        <v>0</v>
      </c>
    </row>
    <row r="1168" spans="1:39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>
        <f>IF(HR_Cleaned[[#This Row],[Age]]&lt;25,"18-24",IF(HR_Cleaned[[#This Row],[Age]]&lt;35,"25-34",IF(HR_Cleaned[[#This Row],[Age]]&lt;45,"35-44",IF(HR_Cleaned[[#This Row],[Age]]&lt;55,"45-54","55+"))))</f>
        <v>45-54</v>
      </c>
      <c r="AK116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168" t="str">
        <f>IF(HR_Cleaned[[#This Row],[MonthlyIncome]]&lt;3000,"Below 3000",IF(HR_Cleaned[[#This Row],[MonthlyIncome]]&lt;5000,"3000-4999",IF(HR_Cleaned[[#This Row],[MonthlyIncome]]&lt;8000,"5000-7999","8000+")))</f>
        <v>8000+</v>
      </c>
      <c r="AM1168">
        <f>IF(HR_Cleaned[[#This Row],[Attrition]]="Yes",1,0)</f>
        <v>0</v>
      </c>
    </row>
    <row r="1169" spans="1:39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>
        <f>IF(HR_Cleaned[[#This Row],[Age]]&lt;25,"18-24",IF(HR_Cleaned[[#This Row],[Age]]&lt;35,"25-34",IF(HR_Cleaned[[#This Row],[Age]]&lt;45,"35-44",IF(HR_Cleaned[[#This Row],[Age]]&lt;55,"45-54","55+"))))</f>
        <v>35-44</v>
      </c>
      <c r="AK116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169" t="str">
        <f>IF(HR_Cleaned[[#This Row],[MonthlyIncome]]&lt;3000,"Below 3000",IF(HR_Cleaned[[#This Row],[MonthlyIncome]]&lt;5000,"3000-4999",IF(HR_Cleaned[[#This Row],[MonthlyIncome]]&lt;8000,"5000-7999","8000+")))</f>
        <v>5000-7999</v>
      </c>
      <c r="AM1169">
        <f>IF(HR_Cleaned[[#This Row],[Attrition]]="Yes",1,0)</f>
        <v>1</v>
      </c>
    </row>
    <row r="1170" spans="1:39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>
        <f>IF(HR_Cleaned[[#This Row],[Age]]&lt;25,"18-24",IF(HR_Cleaned[[#This Row],[Age]]&lt;35,"25-34",IF(HR_Cleaned[[#This Row],[Age]]&lt;45,"35-44",IF(HR_Cleaned[[#This Row],[Age]]&lt;55,"45-54","55+"))))</f>
        <v>18-24</v>
      </c>
      <c r="AK117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70" t="str">
        <f>IF(HR_Cleaned[[#This Row],[MonthlyIncome]]&lt;3000,"Below 3000",IF(HR_Cleaned[[#This Row],[MonthlyIncome]]&lt;5000,"3000-4999",IF(HR_Cleaned[[#This Row],[MonthlyIncome]]&lt;8000,"5000-7999","8000+")))</f>
        <v>3000-4999</v>
      </c>
      <c r="AM1170">
        <f>IF(HR_Cleaned[[#This Row],[Attrition]]="Yes",1,0)</f>
        <v>0</v>
      </c>
    </row>
    <row r="1171" spans="1:39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>
        <f>IF(HR_Cleaned[[#This Row],[Age]]&lt;25,"18-24",IF(HR_Cleaned[[#This Row],[Age]]&lt;35,"25-34",IF(HR_Cleaned[[#This Row],[Age]]&lt;45,"35-44",IF(HR_Cleaned[[#This Row],[Age]]&lt;55,"45-54","55+"))))</f>
        <v>25-34</v>
      </c>
      <c r="AK117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71" t="str">
        <f>IF(HR_Cleaned[[#This Row],[MonthlyIncome]]&lt;3000,"Below 3000",IF(HR_Cleaned[[#This Row],[MonthlyIncome]]&lt;5000,"3000-4999",IF(HR_Cleaned[[#This Row],[MonthlyIncome]]&lt;8000,"5000-7999","8000+")))</f>
        <v>3000-4999</v>
      </c>
      <c r="AM1171">
        <f>IF(HR_Cleaned[[#This Row],[Attrition]]="Yes",1,0)</f>
        <v>0</v>
      </c>
    </row>
    <row r="1172" spans="1:39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>
        <f>IF(HR_Cleaned[[#This Row],[Age]]&lt;25,"18-24",IF(HR_Cleaned[[#This Row],[Age]]&lt;35,"25-34",IF(HR_Cleaned[[#This Row],[Age]]&lt;45,"35-44",IF(HR_Cleaned[[#This Row],[Age]]&lt;55,"45-54","55+"))))</f>
        <v>25-34</v>
      </c>
      <c r="AK117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72" t="str">
        <f>IF(HR_Cleaned[[#This Row],[MonthlyIncome]]&lt;3000,"Below 3000",IF(HR_Cleaned[[#This Row],[MonthlyIncome]]&lt;5000,"3000-4999",IF(HR_Cleaned[[#This Row],[MonthlyIncome]]&lt;8000,"5000-7999","8000+")))</f>
        <v>Below 3000</v>
      </c>
      <c r="AM1172">
        <f>IF(HR_Cleaned[[#This Row],[Attrition]]="Yes",1,0)</f>
        <v>0</v>
      </c>
    </row>
    <row r="1173" spans="1:39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>
        <f>IF(HR_Cleaned[[#This Row],[Age]]&lt;25,"18-24",IF(HR_Cleaned[[#This Row],[Age]]&lt;35,"25-34",IF(HR_Cleaned[[#This Row],[Age]]&lt;45,"35-44",IF(HR_Cleaned[[#This Row],[Age]]&lt;55,"45-54","55+"))))</f>
        <v>35-44</v>
      </c>
      <c r="AK117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73" t="str">
        <f>IF(HR_Cleaned[[#This Row],[MonthlyIncome]]&lt;3000,"Below 3000",IF(HR_Cleaned[[#This Row],[MonthlyIncome]]&lt;5000,"3000-4999",IF(HR_Cleaned[[#This Row],[MonthlyIncome]]&lt;8000,"5000-7999","8000+")))</f>
        <v>Below 3000</v>
      </c>
      <c r="AM1173">
        <f>IF(HR_Cleaned[[#This Row],[Attrition]]="Yes",1,0)</f>
        <v>1</v>
      </c>
    </row>
    <row r="1174" spans="1:39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>
        <f>IF(HR_Cleaned[[#This Row],[Age]]&lt;25,"18-24",IF(HR_Cleaned[[#This Row],[Age]]&lt;35,"25-34",IF(HR_Cleaned[[#This Row],[Age]]&lt;45,"35-44",IF(HR_Cleaned[[#This Row],[Age]]&lt;55,"45-54","55+"))))</f>
        <v>25-34</v>
      </c>
      <c r="AK117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74" t="str">
        <f>IF(HR_Cleaned[[#This Row],[MonthlyIncome]]&lt;3000,"Below 3000",IF(HR_Cleaned[[#This Row],[MonthlyIncome]]&lt;5000,"3000-4999",IF(HR_Cleaned[[#This Row],[MonthlyIncome]]&lt;8000,"5000-7999","8000+")))</f>
        <v>5000-7999</v>
      </c>
      <c r="AM1174">
        <f>IF(HR_Cleaned[[#This Row],[Attrition]]="Yes",1,0)</f>
        <v>0</v>
      </c>
    </row>
    <row r="1175" spans="1:39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>
        <f>IF(HR_Cleaned[[#This Row],[Age]]&lt;25,"18-24",IF(HR_Cleaned[[#This Row],[Age]]&lt;35,"25-34",IF(HR_Cleaned[[#This Row],[Age]]&lt;45,"35-44",IF(HR_Cleaned[[#This Row],[Age]]&lt;55,"45-54","55+"))))</f>
        <v>35-44</v>
      </c>
      <c r="AK117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75" t="str">
        <f>IF(HR_Cleaned[[#This Row],[MonthlyIncome]]&lt;3000,"Below 3000",IF(HR_Cleaned[[#This Row],[MonthlyIncome]]&lt;5000,"3000-4999",IF(HR_Cleaned[[#This Row],[MonthlyIncome]]&lt;8000,"5000-7999","8000+")))</f>
        <v>8000+</v>
      </c>
      <c r="AM1175">
        <f>IF(HR_Cleaned[[#This Row],[Attrition]]="Yes",1,0)</f>
        <v>0</v>
      </c>
    </row>
    <row r="1176" spans="1:39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>
        <f>IF(HR_Cleaned[[#This Row],[Age]]&lt;25,"18-24",IF(HR_Cleaned[[#This Row],[Age]]&lt;35,"25-34",IF(HR_Cleaned[[#This Row],[Age]]&lt;45,"35-44",IF(HR_Cleaned[[#This Row],[Age]]&lt;55,"45-54","55+"))))</f>
        <v>25-34</v>
      </c>
      <c r="AK117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76" t="str">
        <f>IF(HR_Cleaned[[#This Row],[MonthlyIncome]]&lt;3000,"Below 3000",IF(HR_Cleaned[[#This Row],[MonthlyIncome]]&lt;5000,"3000-4999",IF(HR_Cleaned[[#This Row],[MonthlyIncome]]&lt;8000,"5000-7999","8000+")))</f>
        <v>5000-7999</v>
      </c>
      <c r="AM1176">
        <f>IF(HR_Cleaned[[#This Row],[Attrition]]="Yes",1,0)</f>
        <v>0</v>
      </c>
    </row>
    <row r="1177" spans="1:39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>
        <f>IF(HR_Cleaned[[#This Row],[Age]]&lt;25,"18-24",IF(HR_Cleaned[[#This Row],[Age]]&lt;35,"25-34",IF(HR_Cleaned[[#This Row],[Age]]&lt;45,"35-44",IF(HR_Cleaned[[#This Row],[Age]]&lt;55,"45-54","55+"))))</f>
        <v>35-44</v>
      </c>
      <c r="AK117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77" t="str">
        <f>IF(HR_Cleaned[[#This Row],[MonthlyIncome]]&lt;3000,"Below 3000",IF(HR_Cleaned[[#This Row],[MonthlyIncome]]&lt;5000,"3000-4999",IF(HR_Cleaned[[#This Row],[MonthlyIncome]]&lt;8000,"5000-7999","8000+")))</f>
        <v>5000-7999</v>
      </c>
      <c r="AM1177">
        <f>IF(HR_Cleaned[[#This Row],[Attrition]]="Yes",1,0)</f>
        <v>0</v>
      </c>
    </row>
    <row r="1178" spans="1:39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>
        <f>IF(HR_Cleaned[[#This Row],[Age]]&lt;25,"18-24",IF(HR_Cleaned[[#This Row],[Age]]&lt;35,"25-34",IF(HR_Cleaned[[#This Row],[Age]]&lt;45,"35-44",IF(HR_Cleaned[[#This Row],[Age]]&lt;55,"45-54","55+"))))</f>
        <v>45-54</v>
      </c>
      <c r="AK117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78" t="str">
        <f>IF(HR_Cleaned[[#This Row],[MonthlyIncome]]&lt;3000,"Below 3000",IF(HR_Cleaned[[#This Row],[MonthlyIncome]]&lt;5000,"3000-4999",IF(HR_Cleaned[[#This Row],[MonthlyIncome]]&lt;8000,"5000-7999","8000+")))</f>
        <v>8000+</v>
      </c>
      <c r="AM1178">
        <f>IF(HR_Cleaned[[#This Row],[Attrition]]="Yes",1,0)</f>
        <v>0</v>
      </c>
    </row>
    <row r="1179" spans="1:39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>
        <f>IF(HR_Cleaned[[#This Row],[Age]]&lt;25,"18-24",IF(HR_Cleaned[[#This Row],[Age]]&lt;35,"25-34",IF(HR_Cleaned[[#This Row],[Age]]&lt;45,"35-44",IF(HR_Cleaned[[#This Row],[Age]]&lt;55,"45-54","55+"))))</f>
        <v>45-54</v>
      </c>
      <c r="AK117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179" t="str">
        <f>IF(HR_Cleaned[[#This Row],[MonthlyIncome]]&lt;3000,"Below 3000",IF(HR_Cleaned[[#This Row],[MonthlyIncome]]&lt;5000,"3000-4999",IF(HR_Cleaned[[#This Row],[MonthlyIncome]]&lt;8000,"5000-7999","8000+")))</f>
        <v>8000+</v>
      </c>
      <c r="AM1179">
        <f>IF(HR_Cleaned[[#This Row],[Attrition]]="Yes",1,0)</f>
        <v>0</v>
      </c>
    </row>
    <row r="1180" spans="1:39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>
        <f>IF(HR_Cleaned[[#This Row],[Age]]&lt;25,"18-24",IF(HR_Cleaned[[#This Row],[Age]]&lt;35,"25-34",IF(HR_Cleaned[[#This Row],[Age]]&lt;45,"35-44",IF(HR_Cleaned[[#This Row],[Age]]&lt;55,"45-54","55+"))))</f>
        <v>18-24</v>
      </c>
      <c r="AK118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180" t="str">
        <f>IF(HR_Cleaned[[#This Row],[MonthlyIncome]]&lt;3000,"Below 3000",IF(HR_Cleaned[[#This Row],[MonthlyIncome]]&lt;5000,"3000-4999",IF(HR_Cleaned[[#This Row],[MonthlyIncome]]&lt;8000,"5000-7999","8000+")))</f>
        <v>Below 3000</v>
      </c>
      <c r="AM1180">
        <f>IF(HR_Cleaned[[#This Row],[Attrition]]="Yes",1,0)</f>
        <v>0</v>
      </c>
    </row>
    <row r="1181" spans="1:39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>
        <f>IF(HR_Cleaned[[#This Row],[Age]]&lt;25,"18-24",IF(HR_Cleaned[[#This Row],[Age]]&lt;35,"25-34",IF(HR_Cleaned[[#This Row],[Age]]&lt;45,"35-44",IF(HR_Cleaned[[#This Row],[Age]]&lt;55,"45-54","55+"))))</f>
        <v>25-34</v>
      </c>
      <c r="AK1181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181" t="str">
        <f>IF(HR_Cleaned[[#This Row],[MonthlyIncome]]&lt;3000,"Below 3000",IF(HR_Cleaned[[#This Row],[MonthlyIncome]]&lt;5000,"3000-4999",IF(HR_Cleaned[[#This Row],[MonthlyIncome]]&lt;8000,"5000-7999","8000+")))</f>
        <v>5000-7999</v>
      </c>
      <c r="AM1181">
        <f>IF(HR_Cleaned[[#This Row],[Attrition]]="Yes",1,0)</f>
        <v>0</v>
      </c>
    </row>
    <row r="1182" spans="1:39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>
        <f>IF(HR_Cleaned[[#This Row],[Age]]&lt;25,"18-24",IF(HR_Cleaned[[#This Row],[Age]]&lt;35,"25-34",IF(HR_Cleaned[[#This Row],[Age]]&lt;45,"35-44",IF(HR_Cleaned[[#This Row],[Age]]&lt;55,"45-54","55+"))))</f>
        <v>35-44</v>
      </c>
      <c r="AK118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82" t="str">
        <f>IF(HR_Cleaned[[#This Row],[MonthlyIncome]]&lt;3000,"Below 3000",IF(HR_Cleaned[[#This Row],[MonthlyIncome]]&lt;5000,"3000-4999",IF(HR_Cleaned[[#This Row],[MonthlyIncome]]&lt;8000,"5000-7999","8000+")))</f>
        <v>Below 3000</v>
      </c>
      <c r="AM1182">
        <f>IF(HR_Cleaned[[#This Row],[Attrition]]="Yes",1,0)</f>
        <v>0</v>
      </c>
    </row>
    <row r="1183" spans="1:39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>
        <f>IF(HR_Cleaned[[#This Row],[Age]]&lt;25,"18-24",IF(HR_Cleaned[[#This Row],[Age]]&lt;35,"25-34",IF(HR_Cleaned[[#This Row],[Age]]&lt;45,"35-44",IF(HR_Cleaned[[#This Row],[Age]]&lt;55,"45-54","55+"))))</f>
        <v>45-54</v>
      </c>
      <c r="AK118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183" t="str">
        <f>IF(HR_Cleaned[[#This Row],[MonthlyIncome]]&lt;3000,"Below 3000",IF(HR_Cleaned[[#This Row],[MonthlyIncome]]&lt;5000,"3000-4999",IF(HR_Cleaned[[#This Row],[MonthlyIncome]]&lt;8000,"5000-7999","8000+")))</f>
        <v>8000+</v>
      </c>
      <c r="AM1183">
        <f>IF(HR_Cleaned[[#This Row],[Attrition]]="Yes",1,0)</f>
        <v>0</v>
      </c>
    </row>
    <row r="1184" spans="1:39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>
        <f>IF(HR_Cleaned[[#This Row],[Age]]&lt;25,"18-24",IF(HR_Cleaned[[#This Row],[Age]]&lt;35,"25-34",IF(HR_Cleaned[[#This Row],[Age]]&lt;45,"35-44",IF(HR_Cleaned[[#This Row],[Age]]&lt;55,"45-54","55+"))))</f>
        <v>35-44</v>
      </c>
      <c r="AK118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84" t="str">
        <f>IF(HR_Cleaned[[#This Row],[MonthlyIncome]]&lt;3000,"Below 3000",IF(HR_Cleaned[[#This Row],[MonthlyIncome]]&lt;5000,"3000-4999",IF(HR_Cleaned[[#This Row],[MonthlyIncome]]&lt;8000,"5000-7999","8000+")))</f>
        <v>3000-4999</v>
      </c>
      <c r="AM1184">
        <f>IF(HR_Cleaned[[#This Row],[Attrition]]="Yes",1,0)</f>
        <v>0</v>
      </c>
    </row>
    <row r="1185" spans="1:39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>
        <f>IF(HR_Cleaned[[#This Row],[Age]]&lt;25,"18-24",IF(HR_Cleaned[[#This Row],[Age]]&lt;35,"25-34",IF(HR_Cleaned[[#This Row],[Age]]&lt;45,"35-44",IF(HR_Cleaned[[#This Row],[Age]]&lt;55,"45-54","55+"))))</f>
        <v>35-44</v>
      </c>
      <c r="AK118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85" t="str">
        <f>IF(HR_Cleaned[[#This Row],[MonthlyIncome]]&lt;3000,"Below 3000",IF(HR_Cleaned[[#This Row],[MonthlyIncome]]&lt;5000,"3000-4999",IF(HR_Cleaned[[#This Row],[MonthlyIncome]]&lt;8000,"5000-7999","8000+")))</f>
        <v>5000-7999</v>
      </c>
      <c r="AM1185">
        <f>IF(HR_Cleaned[[#This Row],[Attrition]]="Yes",1,0)</f>
        <v>0</v>
      </c>
    </row>
    <row r="1186" spans="1:39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>
        <f>IF(HR_Cleaned[[#This Row],[Age]]&lt;25,"18-24",IF(HR_Cleaned[[#This Row],[Age]]&lt;35,"25-34",IF(HR_Cleaned[[#This Row],[Age]]&lt;45,"35-44",IF(HR_Cleaned[[#This Row],[Age]]&lt;55,"45-54","55+"))))</f>
        <v>45-54</v>
      </c>
      <c r="AK118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86" t="str">
        <f>IF(HR_Cleaned[[#This Row],[MonthlyIncome]]&lt;3000,"Below 3000",IF(HR_Cleaned[[#This Row],[MonthlyIncome]]&lt;5000,"3000-4999",IF(HR_Cleaned[[#This Row],[MonthlyIncome]]&lt;8000,"5000-7999","8000+")))</f>
        <v>8000+</v>
      </c>
      <c r="AM1186">
        <f>IF(HR_Cleaned[[#This Row],[Attrition]]="Yes",1,0)</f>
        <v>0</v>
      </c>
    </row>
    <row r="1187" spans="1:39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>
        <f>IF(HR_Cleaned[[#This Row],[Age]]&lt;25,"18-24",IF(HR_Cleaned[[#This Row],[Age]]&lt;35,"25-34",IF(HR_Cleaned[[#This Row],[Age]]&lt;45,"35-44",IF(HR_Cleaned[[#This Row],[Age]]&lt;55,"45-54","55+"))))</f>
        <v>35-44</v>
      </c>
      <c r="AK118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187" t="str">
        <f>IF(HR_Cleaned[[#This Row],[MonthlyIncome]]&lt;3000,"Below 3000",IF(HR_Cleaned[[#This Row],[MonthlyIncome]]&lt;5000,"3000-4999",IF(HR_Cleaned[[#This Row],[MonthlyIncome]]&lt;8000,"5000-7999","8000+")))</f>
        <v>8000+</v>
      </c>
      <c r="AM1187">
        <f>IF(HR_Cleaned[[#This Row],[Attrition]]="Yes",1,0)</f>
        <v>0</v>
      </c>
    </row>
    <row r="1188" spans="1:39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>
        <f>IF(HR_Cleaned[[#This Row],[Age]]&lt;25,"18-24",IF(HR_Cleaned[[#This Row],[Age]]&lt;35,"25-34",IF(HR_Cleaned[[#This Row],[Age]]&lt;45,"35-44",IF(HR_Cleaned[[#This Row],[Age]]&lt;55,"45-54","55+"))))</f>
        <v>35-44</v>
      </c>
      <c r="AK118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188" t="str">
        <f>IF(HR_Cleaned[[#This Row],[MonthlyIncome]]&lt;3000,"Below 3000",IF(HR_Cleaned[[#This Row],[MonthlyIncome]]&lt;5000,"3000-4999",IF(HR_Cleaned[[#This Row],[MonthlyIncome]]&lt;8000,"5000-7999","8000+")))</f>
        <v>3000-4999</v>
      </c>
      <c r="AM1188">
        <f>IF(HR_Cleaned[[#This Row],[Attrition]]="Yes",1,0)</f>
        <v>1</v>
      </c>
    </row>
    <row r="1189" spans="1:39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>
        <f>IF(HR_Cleaned[[#This Row],[Age]]&lt;25,"18-24",IF(HR_Cleaned[[#This Row],[Age]]&lt;35,"25-34",IF(HR_Cleaned[[#This Row],[Age]]&lt;45,"35-44",IF(HR_Cleaned[[#This Row],[Age]]&lt;55,"45-54","55+"))))</f>
        <v>35-44</v>
      </c>
      <c r="AK118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189" t="str">
        <f>IF(HR_Cleaned[[#This Row],[MonthlyIncome]]&lt;3000,"Below 3000",IF(HR_Cleaned[[#This Row],[MonthlyIncome]]&lt;5000,"3000-4999",IF(HR_Cleaned[[#This Row],[MonthlyIncome]]&lt;8000,"5000-7999","8000+")))</f>
        <v>3000-4999</v>
      </c>
      <c r="AM1189">
        <f>IF(HR_Cleaned[[#This Row],[Attrition]]="Yes",1,0)</f>
        <v>0</v>
      </c>
    </row>
    <row r="1190" spans="1:39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>
        <f>IF(HR_Cleaned[[#This Row],[Age]]&lt;25,"18-24",IF(HR_Cleaned[[#This Row],[Age]]&lt;35,"25-34",IF(HR_Cleaned[[#This Row],[Age]]&lt;45,"35-44",IF(HR_Cleaned[[#This Row],[Age]]&lt;55,"45-54","55+"))))</f>
        <v>25-34</v>
      </c>
      <c r="AK119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90" t="str">
        <f>IF(HR_Cleaned[[#This Row],[MonthlyIncome]]&lt;3000,"Below 3000",IF(HR_Cleaned[[#This Row],[MonthlyIncome]]&lt;5000,"3000-4999",IF(HR_Cleaned[[#This Row],[MonthlyIncome]]&lt;8000,"5000-7999","8000+")))</f>
        <v>3000-4999</v>
      </c>
      <c r="AM1190">
        <f>IF(HR_Cleaned[[#This Row],[Attrition]]="Yes",1,0)</f>
        <v>0</v>
      </c>
    </row>
    <row r="1191" spans="1:39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>
        <f>IF(HR_Cleaned[[#This Row],[Age]]&lt;25,"18-24",IF(HR_Cleaned[[#This Row],[Age]]&lt;35,"25-34",IF(HR_Cleaned[[#This Row],[Age]]&lt;45,"35-44",IF(HR_Cleaned[[#This Row],[Age]]&lt;55,"45-54","55+"))))</f>
        <v>25-34</v>
      </c>
      <c r="AK119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91" t="str">
        <f>IF(HR_Cleaned[[#This Row],[MonthlyIncome]]&lt;3000,"Below 3000",IF(HR_Cleaned[[#This Row],[MonthlyIncome]]&lt;5000,"3000-4999",IF(HR_Cleaned[[#This Row],[MonthlyIncome]]&lt;8000,"5000-7999","8000+")))</f>
        <v>5000-7999</v>
      </c>
      <c r="AM1191">
        <f>IF(HR_Cleaned[[#This Row],[Attrition]]="Yes",1,0)</f>
        <v>0</v>
      </c>
    </row>
    <row r="1192" spans="1:39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>
        <f>IF(HR_Cleaned[[#This Row],[Age]]&lt;25,"18-24",IF(HR_Cleaned[[#This Row],[Age]]&lt;35,"25-34",IF(HR_Cleaned[[#This Row],[Age]]&lt;45,"35-44",IF(HR_Cleaned[[#This Row],[Age]]&lt;55,"45-54","55+"))))</f>
        <v>25-34</v>
      </c>
      <c r="AK119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92" t="str">
        <f>IF(HR_Cleaned[[#This Row],[MonthlyIncome]]&lt;3000,"Below 3000",IF(HR_Cleaned[[#This Row],[MonthlyIncome]]&lt;5000,"3000-4999",IF(HR_Cleaned[[#This Row],[MonthlyIncome]]&lt;8000,"5000-7999","8000+")))</f>
        <v>5000-7999</v>
      </c>
      <c r="AM1192">
        <f>IF(HR_Cleaned[[#This Row],[Attrition]]="Yes",1,0)</f>
        <v>0</v>
      </c>
    </row>
    <row r="1193" spans="1:39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>
        <f>IF(HR_Cleaned[[#This Row],[Age]]&lt;25,"18-24",IF(HR_Cleaned[[#This Row],[Age]]&lt;35,"25-34",IF(HR_Cleaned[[#This Row],[Age]]&lt;45,"35-44",IF(HR_Cleaned[[#This Row],[Age]]&lt;55,"45-54","55+"))))</f>
        <v>25-34</v>
      </c>
      <c r="AK119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93" t="str">
        <f>IF(HR_Cleaned[[#This Row],[MonthlyIncome]]&lt;3000,"Below 3000",IF(HR_Cleaned[[#This Row],[MonthlyIncome]]&lt;5000,"3000-4999",IF(HR_Cleaned[[#This Row],[MonthlyIncome]]&lt;8000,"5000-7999","8000+")))</f>
        <v>5000-7999</v>
      </c>
      <c r="AM1193">
        <f>IF(HR_Cleaned[[#This Row],[Attrition]]="Yes",1,0)</f>
        <v>0</v>
      </c>
    </row>
    <row r="1194" spans="1:39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>
        <f>IF(HR_Cleaned[[#This Row],[Age]]&lt;25,"18-24",IF(HR_Cleaned[[#This Row],[Age]]&lt;35,"25-34",IF(HR_Cleaned[[#This Row],[Age]]&lt;45,"35-44",IF(HR_Cleaned[[#This Row],[Age]]&lt;55,"45-54","55+"))))</f>
        <v>45-54</v>
      </c>
      <c r="AK119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194" t="str">
        <f>IF(HR_Cleaned[[#This Row],[MonthlyIncome]]&lt;3000,"Below 3000",IF(HR_Cleaned[[#This Row],[MonthlyIncome]]&lt;5000,"3000-4999",IF(HR_Cleaned[[#This Row],[MonthlyIncome]]&lt;8000,"5000-7999","8000+")))</f>
        <v>Below 3000</v>
      </c>
      <c r="AM1194">
        <f>IF(HR_Cleaned[[#This Row],[Attrition]]="Yes",1,0)</f>
        <v>0</v>
      </c>
    </row>
    <row r="1195" spans="1:39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>
        <f>IF(HR_Cleaned[[#This Row],[Age]]&lt;25,"18-24",IF(HR_Cleaned[[#This Row],[Age]]&lt;35,"25-34",IF(HR_Cleaned[[#This Row],[Age]]&lt;45,"35-44",IF(HR_Cleaned[[#This Row],[Age]]&lt;55,"45-54","55+"))))</f>
        <v>35-44</v>
      </c>
      <c r="AK119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95" t="str">
        <f>IF(HR_Cleaned[[#This Row],[MonthlyIncome]]&lt;3000,"Below 3000",IF(HR_Cleaned[[#This Row],[MonthlyIncome]]&lt;5000,"3000-4999",IF(HR_Cleaned[[#This Row],[MonthlyIncome]]&lt;8000,"5000-7999","8000+")))</f>
        <v>Below 3000</v>
      </c>
      <c r="AM1195">
        <f>IF(HR_Cleaned[[#This Row],[Attrition]]="Yes",1,0)</f>
        <v>0</v>
      </c>
    </row>
    <row r="1196" spans="1:39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>
        <f>IF(HR_Cleaned[[#This Row],[Age]]&lt;25,"18-24",IF(HR_Cleaned[[#This Row],[Age]]&lt;35,"25-34",IF(HR_Cleaned[[#This Row],[Age]]&lt;45,"35-44",IF(HR_Cleaned[[#This Row],[Age]]&lt;55,"45-54","55+"))))</f>
        <v>45-54</v>
      </c>
      <c r="AK119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196" t="str">
        <f>IF(HR_Cleaned[[#This Row],[MonthlyIncome]]&lt;3000,"Below 3000",IF(HR_Cleaned[[#This Row],[MonthlyIncome]]&lt;5000,"3000-4999",IF(HR_Cleaned[[#This Row],[MonthlyIncome]]&lt;8000,"5000-7999","8000+")))</f>
        <v>8000+</v>
      </c>
      <c r="AM1196">
        <f>IF(HR_Cleaned[[#This Row],[Attrition]]="Yes",1,0)</f>
        <v>0</v>
      </c>
    </row>
    <row r="1197" spans="1:39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>
        <f>IF(HR_Cleaned[[#This Row],[Age]]&lt;25,"18-24",IF(HR_Cleaned[[#This Row],[Age]]&lt;35,"25-34",IF(HR_Cleaned[[#This Row],[Age]]&lt;45,"35-44",IF(HR_Cleaned[[#This Row],[Age]]&lt;55,"45-54","55+"))))</f>
        <v>45-54</v>
      </c>
      <c r="AK119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197" t="str">
        <f>IF(HR_Cleaned[[#This Row],[MonthlyIncome]]&lt;3000,"Below 3000",IF(HR_Cleaned[[#This Row],[MonthlyIncome]]&lt;5000,"3000-4999",IF(HR_Cleaned[[#This Row],[MonthlyIncome]]&lt;8000,"5000-7999","8000+")))</f>
        <v>8000+</v>
      </c>
      <c r="AM1197">
        <f>IF(HR_Cleaned[[#This Row],[Attrition]]="Yes",1,0)</f>
        <v>0</v>
      </c>
    </row>
    <row r="1198" spans="1:39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>
        <f>IF(HR_Cleaned[[#This Row],[Age]]&lt;25,"18-24",IF(HR_Cleaned[[#This Row],[Age]]&lt;35,"25-34",IF(HR_Cleaned[[#This Row],[Age]]&lt;45,"35-44",IF(HR_Cleaned[[#This Row],[Age]]&lt;55,"45-54","55+"))))</f>
        <v>35-44</v>
      </c>
      <c r="AK119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198" t="str">
        <f>IF(HR_Cleaned[[#This Row],[MonthlyIncome]]&lt;3000,"Below 3000",IF(HR_Cleaned[[#This Row],[MonthlyIncome]]&lt;5000,"3000-4999",IF(HR_Cleaned[[#This Row],[MonthlyIncome]]&lt;8000,"5000-7999","8000+")))</f>
        <v>5000-7999</v>
      </c>
      <c r="AM1198">
        <f>IF(HR_Cleaned[[#This Row],[Attrition]]="Yes",1,0)</f>
        <v>0</v>
      </c>
    </row>
    <row r="1199" spans="1:39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>
        <f>IF(HR_Cleaned[[#This Row],[Age]]&lt;25,"18-24",IF(HR_Cleaned[[#This Row],[Age]]&lt;35,"25-34",IF(HR_Cleaned[[#This Row],[Age]]&lt;45,"35-44",IF(HR_Cleaned[[#This Row],[Age]]&lt;55,"45-54","55+"))))</f>
        <v>18-24</v>
      </c>
      <c r="AK119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199" t="str">
        <f>IF(HR_Cleaned[[#This Row],[MonthlyIncome]]&lt;3000,"Below 3000",IF(HR_Cleaned[[#This Row],[MonthlyIncome]]&lt;5000,"3000-4999",IF(HR_Cleaned[[#This Row],[MonthlyIncome]]&lt;8000,"5000-7999","8000+")))</f>
        <v>Below 3000</v>
      </c>
      <c r="AM1199">
        <f>IF(HR_Cleaned[[#This Row],[Attrition]]="Yes",1,0)</f>
        <v>0</v>
      </c>
    </row>
    <row r="1200" spans="1:39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>
        <f>IF(HR_Cleaned[[#This Row],[Age]]&lt;25,"18-24",IF(HR_Cleaned[[#This Row],[Age]]&lt;35,"25-34",IF(HR_Cleaned[[#This Row],[Age]]&lt;45,"35-44",IF(HR_Cleaned[[#This Row],[Age]]&lt;55,"45-54","55+"))))</f>
        <v>25-34</v>
      </c>
      <c r="AK120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00" t="str">
        <f>IF(HR_Cleaned[[#This Row],[MonthlyIncome]]&lt;3000,"Below 3000",IF(HR_Cleaned[[#This Row],[MonthlyIncome]]&lt;5000,"3000-4999",IF(HR_Cleaned[[#This Row],[MonthlyIncome]]&lt;8000,"5000-7999","8000+")))</f>
        <v>5000-7999</v>
      </c>
      <c r="AM1200">
        <f>IF(HR_Cleaned[[#This Row],[Attrition]]="Yes",1,0)</f>
        <v>0</v>
      </c>
    </row>
    <row r="1201" spans="1:39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>
        <f>IF(HR_Cleaned[[#This Row],[Age]]&lt;25,"18-24",IF(HR_Cleaned[[#This Row],[Age]]&lt;35,"25-34",IF(HR_Cleaned[[#This Row],[Age]]&lt;45,"35-44",IF(HR_Cleaned[[#This Row],[Age]]&lt;55,"45-54","55+"))))</f>
        <v>35-44</v>
      </c>
      <c r="AK120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01" t="str">
        <f>IF(HR_Cleaned[[#This Row],[MonthlyIncome]]&lt;3000,"Below 3000",IF(HR_Cleaned[[#This Row],[MonthlyIncome]]&lt;5000,"3000-4999",IF(HR_Cleaned[[#This Row],[MonthlyIncome]]&lt;8000,"5000-7999","8000+")))</f>
        <v>5000-7999</v>
      </c>
      <c r="AM1201">
        <f>IF(HR_Cleaned[[#This Row],[Attrition]]="Yes",1,0)</f>
        <v>0</v>
      </c>
    </row>
    <row r="1202" spans="1:39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>
        <f>IF(HR_Cleaned[[#This Row],[Age]]&lt;25,"18-24",IF(HR_Cleaned[[#This Row],[Age]]&lt;35,"25-34",IF(HR_Cleaned[[#This Row],[Age]]&lt;45,"35-44",IF(HR_Cleaned[[#This Row],[Age]]&lt;55,"45-54","55+"))))</f>
        <v>35-44</v>
      </c>
      <c r="AK120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02" t="str">
        <f>IF(HR_Cleaned[[#This Row],[MonthlyIncome]]&lt;3000,"Below 3000",IF(HR_Cleaned[[#This Row],[MonthlyIncome]]&lt;5000,"3000-4999",IF(HR_Cleaned[[#This Row],[MonthlyIncome]]&lt;8000,"5000-7999","8000+")))</f>
        <v>3000-4999</v>
      </c>
      <c r="AM1202">
        <f>IF(HR_Cleaned[[#This Row],[Attrition]]="Yes",1,0)</f>
        <v>0</v>
      </c>
    </row>
    <row r="1203" spans="1:39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>
        <f>IF(HR_Cleaned[[#This Row],[Age]]&lt;25,"18-24",IF(HR_Cleaned[[#This Row],[Age]]&lt;35,"25-34",IF(HR_Cleaned[[#This Row],[Age]]&lt;45,"35-44",IF(HR_Cleaned[[#This Row],[Age]]&lt;55,"45-54","55+"))))</f>
        <v>18-24</v>
      </c>
      <c r="AK120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03" t="str">
        <f>IF(HR_Cleaned[[#This Row],[MonthlyIncome]]&lt;3000,"Below 3000",IF(HR_Cleaned[[#This Row],[MonthlyIncome]]&lt;5000,"3000-4999",IF(HR_Cleaned[[#This Row],[MonthlyIncome]]&lt;8000,"5000-7999","8000+")))</f>
        <v>3000-4999</v>
      </c>
      <c r="AM1203">
        <f>IF(HR_Cleaned[[#This Row],[Attrition]]="Yes",1,0)</f>
        <v>1</v>
      </c>
    </row>
    <row r="1204" spans="1:39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>
        <f>IF(HR_Cleaned[[#This Row],[Age]]&lt;25,"18-24",IF(HR_Cleaned[[#This Row],[Age]]&lt;35,"25-34",IF(HR_Cleaned[[#This Row],[Age]]&lt;45,"35-44",IF(HR_Cleaned[[#This Row],[Age]]&lt;55,"45-54","55+"))))</f>
        <v>35-44</v>
      </c>
      <c r="AK120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04" t="str">
        <f>IF(HR_Cleaned[[#This Row],[MonthlyIncome]]&lt;3000,"Below 3000",IF(HR_Cleaned[[#This Row],[MonthlyIncome]]&lt;5000,"3000-4999",IF(HR_Cleaned[[#This Row],[MonthlyIncome]]&lt;8000,"5000-7999","8000+")))</f>
        <v>3000-4999</v>
      </c>
      <c r="AM1204">
        <f>IF(HR_Cleaned[[#This Row],[Attrition]]="Yes",1,0)</f>
        <v>0</v>
      </c>
    </row>
    <row r="1205" spans="1:39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>
        <f>IF(HR_Cleaned[[#This Row],[Age]]&lt;25,"18-24",IF(HR_Cleaned[[#This Row],[Age]]&lt;35,"25-34",IF(HR_Cleaned[[#This Row],[Age]]&lt;45,"35-44",IF(HR_Cleaned[[#This Row],[Age]]&lt;55,"45-54","55+"))))</f>
        <v>45-54</v>
      </c>
      <c r="AK120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05" t="str">
        <f>IF(HR_Cleaned[[#This Row],[MonthlyIncome]]&lt;3000,"Below 3000",IF(HR_Cleaned[[#This Row],[MonthlyIncome]]&lt;5000,"3000-4999",IF(HR_Cleaned[[#This Row],[MonthlyIncome]]&lt;8000,"5000-7999","8000+")))</f>
        <v>5000-7999</v>
      </c>
      <c r="AM1205">
        <f>IF(HR_Cleaned[[#This Row],[Attrition]]="Yes",1,0)</f>
        <v>0</v>
      </c>
    </row>
    <row r="1206" spans="1:39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>
        <f>IF(HR_Cleaned[[#This Row],[Age]]&lt;25,"18-24",IF(HR_Cleaned[[#This Row],[Age]]&lt;35,"25-34",IF(HR_Cleaned[[#This Row],[Age]]&lt;45,"35-44",IF(HR_Cleaned[[#This Row],[Age]]&lt;55,"45-54","55+"))))</f>
        <v>45-54</v>
      </c>
      <c r="AK120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06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06">
        <f>IF(HR_Cleaned[[#This Row],[Attrition]]="Yes",1,0)</f>
        <v>1</v>
      </c>
    </row>
    <row r="1207" spans="1:39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>
        <f>IF(HR_Cleaned[[#This Row],[Age]]&lt;25,"18-24",IF(HR_Cleaned[[#This Row],[Age]]&lt;35,"25-34",IF(HR_Cleaned[[#This Row],[Age]]&lt;45,"35-44",IF(HR_Cleaned[[#This Row],[Age]]&lt;55,"45-54","55+"))))</f>
        <v>25-34</v>
      </c>
      <c r="AK120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07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07">
        <f>IF(HR_Cleaned[[#This Row],[Attrition]]="Yes",1,0)</f>
        <v>1</v>
      </c>
    </row>
    <row r="1208" spans="1:39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>
        <f>IF(HR_Cleaned[[#This Row],[Age]]&lt;25,"18-24",IF(HR_Cleaned[[#This Row],[Age]]&lt;35,"25-34",IF(HR_Cleaned[[#This Row],[Age]]&lt;45,"35-44",IF(HR_Cleaned[[#This Row],[Age]]&lt;55,"45-54","55+"))))</f>
        <v>25-34</v>
      </c>
      <c r="AK120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08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08">
        <f>IF(HR_Cleaned[[#This Row],[Attrition]]="Yes",1,0)</f>
        <v>0</v>
      </c>
    </row>
    <row r="1209" spans="1:39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>
        <f>IF(HR_Cleaned[[#This Row],[Age]]&lt;25,"18-24",IF(HR_Cleaned[[#This Row],[Age]]&lt;35,"25-34",IF(HR_Cleaned[[#This Row],[Age]]&lt;45,"35-44",IF(HR_Cleaned[[#This Row],[Age]]&lt;55,"45-54","55+"))))</f>
        <v>55+</v>
      </c>
      <c r="AK120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09" t="str">
        <f>IF(HR_Cleaned[[#This Row],[MonthlyIncome]]&lt;3000,"Below 3000",IF(HR_Cleaned[[#This Row],[MonthlyIncome]]&lt;5000,"3000-4999",IF(HR_Cleaned[[#This Row],[MonthlyIncome]]&lt;8000,"5000-7999","8000+")))</f>
        <v>3000-4999</v>
      </c>
      <c r="AM1209">
        <f>IF(HR_Cleaned[[#This Row],[Attrition]]="Yes",1,0)</f>
        <v>0</v>
      </c>
    </row>
    <row r="1210" spans="1:39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>
        <f>IF(HR_Cleaned[[#This Row],[Age]]&lt;25,"18-24",IF(HR_Cleaned[[#This Row],[Age]]&lt;35,"25-34",IF(HR_Cleaned[[#This Row],[Age]]&lt;45,"35-44",IF(HR_Cleaned[[#This Row],[Age]]&lt;55,"45-54","55+"))))</f>
        <v>25-34</v>
      </c>
      <c r="AK121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210" t="str">
        <f>IF(HR_Cleaned[[#This Row],[MonthlyIncome]]&lt;3000,"Below 3000",IF(HR_Cleaned[[#This Row],[MonthlyIncome]]&lt;5000,"3000-4999",IF(HR_Cleaned[[#This Row],[MonthlyIncome]]&lt;8000,"5000-7999","8000+")))</f>
        <v>3000-4999</v>
      </c>
      <c r="AM1210">
        <f>IF(HR_Cleaned[[#This Row],[Attrition]]="Yes",1,0)</f>
        <v>0</v>
      </c>
    </row>
    <row r="1211" spans="1:39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>
        <f>IF(HR_Cleaned[[#This Row],[Age]]&lt;25,"18-24",IF(HR_Cleaned[[#This Row],[Age]]&lt;35,"25-34",IF(HR_Cleaned[[#This Row],[Age]]&lt;45,"35-44",IF(HR_Cleaned[[#This Row],[Age]]&lt;55,"45-54","55+"))))</f>
        <v>55+</v>
      </c>
      <c r="AK121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11" t="str">
        <f>IF(HR_Cleaned[[#This Row],[MonthlyIncome]]&lt;3000,"Below 3000",IF(HR_Cleaned[[#This Row],[MonthlyIncome]]&lt;5000,"3000-4999",IF(HR_Cleaned[[#This Row],[MonthlyIncome]]&lt;8000,"5000-7999","8000+")))</f>
        <v>8000+</v>
      </c>
      <c r="AM1211">
        <f>IF(HR_Cleaned[[#This Row],[Attrition]]="Yes",1,0)</f>
        <v>0</v>
      </c>
    </row>
    <row r="1212" spans="1:39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>
        <f>IF(HR_Cleaned[[#This Row],[Age]]&lt;25,"18-24",IF(HR_Cleaned[[#This Row],[Age]]&lt;35,"25-34",IF(HR_Cleaned[[#This Row],[Age]]&lt;45,"35-44",IF(HR_Cleaned[[#This Row],[Age]]&lt;55,"45-54","55+"))))</f>
        <v>25-34</v>
      </c>
      <c r="AK121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212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12">
        <f>IF(HR_Cleaned[[#This Row],[Attrition]]="Yes",1,0)</f>
        <v>0</v>
      </c>
    </row>
    <row r="1213" spans="1:39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>
        <f>IF(HR_Cleaned[[#This Row],[Age]]&lt;25,"18-24",IF(HR_Cleaned[[#This Row],[Age]]&lt;35,"25-34",IF(HR_Cleaned[[#This Row],[Age]]&lt;45,"35-44",IF(HR_Cleaned[[#This Row],[Age]]&lt;55,"45-54","55+"))))</f>
        <v>35-44</v>
      </c>
      <c r="AK121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13" t="str">
        <f>IF(HR_Cleaned[[#This Row],[MonthlyIncome]]&lt;3000,"Below 3000",IF(HR_Cleaned[[#This Row],[MonthlyIncome]]&lt;5000,"3000-4999",IF(HR_Cleaned[[#This Row],[MonthlyIncome]]&lt;8000,"5000-7999","8000+")))</f>
        <v>8000+</v>
      </c>
      <c r="AM1213">
        <f>IF(HR_Cleaned[[#This Row],[Attrition]]="Yes",1,0)</f>
        <v>0</v>
      </c>
    </row>
    <row r="1214" spans="1:39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>
        <f>IF(HR_Cleaned[[#This Row],[Age]]&lt;25,"18-24",IF(HR_Cleaned[[#This Row],[Age]]&lt;35,"25-34",IF(HR_Cleaned[[#This Row],[Age]]&lt;45,"35-44",IF(HR_Cleaned[[#This Row],[Age]]&lt;55,"45-54","55+"))))</f>
        <v>25-34</v>
      </c>
      <c r="AK121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14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14">
        <f>IF(HR_Cleaned[[#This Row],[Attrition]]="Yes",1,0)</f>
        <v>0</v>
      </c>
    </row>
    <row r="1215" spans="1:39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>
        <f>IF(HR_Cleaned[[#This Row],[Age]]&lt;25,"18-24",IF(HR_Cleaned[[#This Row],[Age]]&lt;35,"25-34",IF(HR_Cleaned[[#This Row],[Age]]&lt;45,"35-44",IF(HR_Cleaned[[#This Row],[Age]]&lt;55,"45-54","55+"))))</f>
        <v>18-24</v>
      </c>
      <c r="AK121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15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15">
        <f>IF(HR_Cleaned[[#This Row],[Attrition]]="Yes",1,0)</f>
        <v>1</v>
      </c>
    </row>
    <row r="1216" spans="1:39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>
        <f>IF(HR_Cleaned[[#This Row],[Age]]&lt;25,"18-24",IF(HR_Cleaned[[#This Row],[Age]]&lt;35,"25-34",IF(HR_Cleaned[[#This Row],[Age]]&lt;45,"35-44",IF(HR_Cleaned[[#This Row],[Age]]&lt;55,"45-54","55+"))))</f>
        <v>35-44</v>
      </c>
      <c r="AK121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16" t="str">
        <f>IF(HR_Cleaned[[#This Row],[MonthlyIncome]]&lt;3000,"Below 3000",IF(HR_Cleaned[[#This Row],[MonthlyIncome]]&lt;5000,"3000-4999",IF(HR_Cleaned[[#This Row],[MonthlyIncome]]&lt;8000,"5000-7999","8000+")))</f>
        <v>5000-7999</v>
      </c>
      <c r="AM1216">
        <f>IF(HR_Cleaned[[#This Row],[Attrition]]="Yes",1,0)</f>
        <v>0</v>
      </c>
    </row>
    <row r="1217" spans="1:39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>
        <f>IF(HR_Cleaned[[#This Row],[Age]]&lt;25,"18-24",IF(HR_Cleaned[[#This Row],[Age]]&lt;35,"25-34",IF(HR_Cleaned[[#This Row],[Age]]&lt;45,"35-44",IF(HR_Cleaned[[#This Row],[Age]]&lt;55,"45-54","55+"))))</f>
        <v>35-44</v>
      </c>
      <c r="AK121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17" t="str">
        <f>IF(HR_Cleaned[[#This Row],[MonthlyIncome]]&lt;3000,"Below 3000",IF(HR_Cleaned[[#This Row],[MonthlyIncome]]&lt;5000,"3000-4999",IF(HR_Cleaned[[#This Row],[MonthlyIncome]]&lt;8000,"5000-7999","8000+")))</f>
        <v>3000-4999</v>
      </c>
      <c r="AM1217">
        <f>IF(HR_Cleaned[[#This Row],[Attrition]]="Yes",1,0)</f>
        <v>0</v>
      </c>
    </row>
    <row r="1218" spans="1:39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>
        <f>IF(HR_Cleaned[[#This Row],[Age]]&lt;25,"18-24",IF(HR_Cleaned[[#This Row],[Age]]&lt;35,"25-34",IF(HR_Cleaned[[#This Row],[Age]]&lt;45,"35-44",IF(HR_Cleaned[[#This Row],[Age]]&lt;55,"45-54","55+"))))</f>
        <v>35-44</v>
      </c>
      <c r="AK121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18" t="str">
        <f>IF(HR_Cleaned[[#This Row],[MonthlyIncome]]&lt;3000,"Below 3000",IF(HR_Cleaned[[#This Row],[MonthlyIncome]]&lt;5000,"3000-4999",IF(HR_Cleaned[[#This Row],[MonthlyIncome]]&lt;8000,"5000-7999","8000+")))</f>
        <v>5000-7999</v>
      </c>
      <c r="AM1218">
        <f>IF(HR_Cleaned[[#This Row],[Attrition]]="Yes",1,0)</f>
        <v>0</v>
      </c>
    </row>
    <row r="1219" spans="1:39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>
        <f>IF(HR_Cleaned[[#This Row],[Age]]&lt;25,"18-24",IF(HR_Cleaned[[#This Row],[Age]]&lt;35,"25-34",IF(HR_Cleaned[[#This Row],[Age]]&lt;45,"35-44",IF(HR_Cleaned[[#This Row],[Age]]&lt;55,"45-54","55+"))))</f>
        <v>18-24</v>
      </c>
      <c r="AK121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19" t="str">
        <f>IF(HR_Cleaned[[#This Row],[MonthlyIncome]]&lt;3000,"Below 3000",IF(HR_Cleaned[[#This Row],[MonthlyIncome]]&lt;5000,"3000-4999",IF(HR_Cleaned[[#This Row],[MonthlyIncome]]&lt;8000,"5000-7999","8000+")))</f>
        <v>3000-4999</v>
      </c>
      <c r="AM1219">
        <f>IF(HR_Cleaned[[#This Row],[Attrition]]="Yes",1,0)</f>
        <v>0</v>
      </c>
    </row>
    <row r="1220" spans="1:39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>
        <f>IF(HR_Cleaned[[#This Row],[Age]]&lt;25,"18-24",IF(HR_Cleaned[[#This Row],[Age]]&lt;35,"25-34",IF(HR_Cleaned[[#This Row],[Age]]&lt;45,"35-44",IF(HR_Cleaned[[#This Row],[Age]]&lt;55,"45-54","55+"))))</f>
        <v>35-44</v>
      </c>
      <c r="AK122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20" t="str">
        <f>IF(HR_Cleaned[[#This Row],[MonthlyIncome]]&lt;3000,"Below 3000",IF(HR_Cleaned[[#This Row],[MonthlyIncome]]&lt;5000,"3000-4999",IF(HR_Cleaned[[#This Row],[MonthlyIncome]]&lt;8000,"5000-7999","8000+")))</f>
        <v>8000+</v>
      </c>
      <c r="AM1220">
        <f>IF(HR_Cleaned[[#This Row],[Attrition]]="Yes",1,0)</f>
        <v>0</v>
      </c>
    </row>
    <row r="1221" spans="1:39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>
        <f>IF(HR_Cleaned[[#This Row],[Age]]&lt;25,"18-24",IF(HR_Cleaned[[#This Row],[Age]]&lt;35,"25-34",IF(HR_Cleaned[[#This Row],[Age]]&lt;45,"35-44",IF(HR_Cleaned[[#This Row],[Age]]&lt;55,"45-54","55+"))))</f>
        <v>25-34</v>
      </c>
      <c r="AK122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21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21">
        <f>IF(HR_Cleaned[[#This Row],[Attrition]]="Yes",1,0)</f>
        <v>0</v>
      </c>
    </row>
    <row r="1222" spans="1:39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>
        <f>IF(HR_Cleaned[[#This Row],[Age]]&lt;25,"18-24",IF(HR_Cleaned[[#This Row],[Age]]&lt;35,"25-34",IF(HR_Cleaned[[#This Row],[Age]]&lt;45,"35-44",IF(HR_Cleaned[[#This Row],[Age]]&lt;55,"45-54","55+"))))</f>
        <v>35-44</v>
      </c>
      <c r="AK122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222" t="str">
        <f>IF(HR_Cleaned[[#This Row],[MonthlyIncome]]&lt;3000,"Below 3000",IF(HR_Cleaned[[#This Row],[MonthlyIncome]]&lt;5000,"3000-4999",IF(HR_Cleaned[[#This Row],[MonthlyIncome]]&lt;8000,"5000-7999","8000+")))</f>
        <v>3000-4999</v>
      </c>
      <c r="AM1222">
        <f>IF(HR_Cleaned[[#This Row],[Attrition]]="Yes",1,0)</f>
        <v>0</v>
      </c>
    </row>
    <row r="1223" spans="1:39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>
        <f>IF(HR_Cleaned[[#This Row],[Age]]&lt;25,"18-24",IF(HR_Cleaned[[#This Row],[Age]]&lt;35,"25-34",IF(HR_Cleaned[[#This Row],[Age]]&lt;45,"35-44",IF(HR_Cleaned[[#This Row],[Age]]&lt;55,"45-54","55+"))))</f>
        <v>45-54</v>
      </c>
      <c r="AK122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223" t="str">
        <f>IF(HR_Cleaned[[#This Row],[MonthlyIncome]]&lt;3000,"Below 3000",IF(HR_Cleaned[[#This Row],[MonthlyIncome]]&lt;5000,"3000-4999",IF(HR_Cleaned[[#This Row],[MonthlyIncome]]&lt;8000,"5000-7999","8000+")))</f>
        <v>8000+</v>
      </c>
      <c r="AM1223">
        <f>IF(HR_Cleaned[[#This Row],[Attrition]]="Yes",1,0)</f>
        <v>0</v>
      </c>
    </row>
    <row r="1224" spans="1:39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>
        <f>IF(HR_Cleaned[[#This Row],[Age]]&lt;25,"18-24",IF(HR_Cleaned[[#This Row],[Age]]&lt;35,"25-34",IF(HR_Cleaned[[#This Row],[Age]]&lt;45,"35-44",IF(HR_Cleaned[[#This Row],[Age]]&lt;55,"45-54","55+"))))</f>
        <v>18-24</v>
      </c>
      <c r="AK122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24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24">
        <f>IF(HR_Cleaned[[#This Row],[Attrition]]="Yes",1,0)</f>
        <v>1</v>
      </c>
    </row>
    <row r="1225" spans="1:39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>
        <f>IF(HR_Cleaned[[#This Row],[Age]]&lt;25,"18-24",IF(HR_Cleaned[[#This Row],[Age]]&lt;35,"25-34",IF(HR_Cleaned[[#This Row],[Age]]&lt;45,"35-44",IF(HR_Cleaned[[#This Row],[Age]]&lt;55,"45-54","55+"))))</f>
        <v>45-54</v>
      </c>
      <c r="AK122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225" t="str">
        <f>IF(HR_Cleaned[[#This Row],[MonthlyIncome]]&lt;3000,"Below 3000",IF(HR_Cleaned[[#This Row],[MonthlyIncome]]&lt;5000,"3000-4999",IF(HR_Cleaned[[#This Row],[MonthlyIncome]]&lt;8000,"5000-7999","8000+")))</f>
        <v>8000+</v>
      </c>
      <c r="AM1225">
        <f>IF(HR_Cleaned[[#This Row],[Attrition]]="Yes",1,0)</f>
        <v>1</v>
      </c>
    </row>
    <row r="1226" spans="1:39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>
        <f>IF(HR_Cleaned[[#This Row],[Age]]&lt;25,"18-24",IF(HR_Cleaned[[#This Row],[Age]]&lt;35,"25-34",IF(HR_Cleaned[[#This Row],[Age]]&lt;45,"35-44",IF(HR_Cleaned[[#This Row],[Age]]&lt;55,"45-54","55+"))))</f>
        <v>25-34</v>
      </c>
      <c r="AK122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26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26">
        <f>IF(HR_Cleaned[[#This Row],[Attrition]]="Yes",1,0)</f>
        <v>0</v>
      </c>
    </row>
    <row r="1227" spans="1:39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>
        <f>IF(HR_Cleaned[[#This Row],[Age]]&lt;25,"18-24",IF(HR_Cleaned[[#This Row],[Age]]&lt;35,"25-34",IF(HR_Cleaned[[#This Row],[Age]]&lt;45,"35-44",IF(HR_Cleaned[[#This Row],[Age]]&lt;55,"45-54","55+"))))</f>
        <v>45-54</v>
      </c>
      <c r="AK122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227" t="str">
        <f>IF(HR_Cleaned[[#This Row],[MonthlyIncome]]&lt;3000,"Below 3000",IF(HR_Cleaned[[#This Row],[MonthlyIncome]]&lt;5000,"3000-4999",IF(HR_Cleaned[[#This Row],[MonthlyIncome]]&lt;8000,"5000-7999","8000+")))</f>
        <v>8000+</v>
      </c>
      <c r="AM1227">
        <f>IF(HR_Cleaned[[#This Row],[Attrition]]="Yes",1,0)</f>
        <v>0</v>
      </c>
    </row>
    <row r="1228" spans="1:39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>
        <f>IF(HR_Cleaned[[#This Row],[Age]]&lt;25,"18-24",IF(HR_Cleaned[[#This Row],[Age]]&lt;35,"25-34",IF(HR_Cleaned[[#This Row],[Age]]&lt;45,"35-44",IF(HR_Cleaned[[#This Row],[Age]]&lt;55,"45-54","55+"))))</f>
        <v>25-34</v>
      </c>
      <c r="AK122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28" t="str">
        <f>IF(HR_Cleaned[[#This Row],[MonthlyIncome]]&lt;3000,"Below 3000",IF(HR_Cleaned[[#This Row],[MonthlyIncome]]&lt;5000,"3000-4999",IF(HR_Cleaned[[#This Row],[MonthlyIncome]]&lt;8000,"5000-7999","8000+")))</f>
        <v>3000-4999</v>
      </c>
      <c r="AM1228">
        <f>IF(HR_Cleaned[[#This Row],[Attrition]]="Yes",1,0)</f>
        <v>0</v>
      </c>
    </row>
    <row r="1229" spans="1:39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>
        <f>IF(HR_Cleaned[[#This Row],[Age]]&lt;25,"18-24",IF(HR_Cleaned[[#This Row],[Age]]&lt;35,"25-34",IF(HR_Cleaned[[#This Row],[Age]]&lt;45,"35-44",IF(HR_Cleaned[[#This Row],[Age]]&lt;55,"45-54","55+"))))</f>
        <v>25-34</v>
      </c>
      <c r="AK122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29" t="str">
        <f>IF(HR_Cleaned[[#This Row],[MonthlyIncome]]&lt;3000,"Below 3000",IF(HR_Cleaned[[#This Row],[MonthlyIncome]]&lt;5000,"3000-4999",IF(HR_Cleaned[[#This Row],[MonthlyIncome]]&lt;8000,"5000-7999","8000+")))</f>
        <v>3000-4999</v>
      </c>
      <c r="AM1229">
        <f>IF(HR_Cleaned[[#This Row],[Attrition]]="Yes",1,0)</f>
        <v>0</v>
      </c>
    </row>
    <row r="1230" spans="1:39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>
        <f>IF(HR_Cleaned[[#This Row],[Age]]&lt;25,"18-24",IF(HR_Cleaned[[#This Row],[Age]]&lt;35,"25-34",IF(HR_Cleaned[[#This Row],[Age]]&lt;45,"35-44",IF(HR_Cleaned[[#This Row],[Age]]&lt;55,"45-54","55+"))))</f>
        <v>35-44</v>
      </c>
      <c r="AK123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30" t="str">
        <f>IF(HR_Cleaned[[#This Row],[MonthlyIncome]]&lt;3000,"Below 3000",IF(HR_Cleaned[[#This Row],[MonthlyIncome]]&lt;5000,"3000-4999",IF(HR_Cleaned[[#This Row],[MonthlyIncome]]&lt;8000,"5000-7999","8000+")))</f>
        <v>5000-7999</v>
      </c>
      <c r="AM1230">
        <f>IF(HR_Cleaned[[#This Row],[Attrition]]="Yes",1,0)</f>
        <v>0</v>
      </c>
    </row>
    <row r="1231" spans="1:39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>
        <f>IF(HR_Cleaned[[#This Row],[Age]]&lt;25,"18-24",IF(HR_Cleaned[[#This Row],[Age]]&lt;35,"25-34",IF(HR_Cleaned[[#This Row],[Age]]&lt;45,"35-44",IF(HR_Cleaned[[#This Row],[Age]]&lt;55,"45-54","55+"))))</f>
        <v>35-44</v>
      </c>
      <c r="AK123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31" t="str">
        <f>IF(HR_Cleaned[[#This Row],[MonthlyIncome]]&lt;3000,"Below 3000",IF(HR_Cleaned[[#This Row],[MonthlyIncome]]&lt;5000,"3000-4999",IF(HR_Cleaned[[#This Row],[MonthlyIncome]]&lt;8000,"5000-7999","8000+")))</f>
        <v>5000-7999</v>
      </c>
      <c r="AM1231">
        <f>IF(HR_Cleaned[[#This Row],[Attrition]]="Yes",1,0)</f>
        <v>0</v>
      </c>
    </row>
    <row r="1232" spans="1:39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>
        <f>IF(HR_Cleaned[[#This Row],[Age]]&lt;25,"18-24",IF(HR_Cleaned[[#This Row],[Age]]&lt;35,"25-34",IF(HR_Cleaned[[#This Row],[Age]]&lt;45,"35-44",IF(HR_Cleaned[[#This Row],[Age]]&lt;55,"45-54","55+"))))</f>
        <v>18-24</v>
      </c>
      <c r="AK123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32" t="str">
        <f>IF(HR_Cleaned[[#This Row],[MonthlyIncome]]&lt;3000,"Below 3000",IF(HR_Cleaned[[#This Row],[MonthlyIncome]]&lt;5000,"3000-4999",IF(HR_Cleaned[[#This Row],[MonthlyIncome]]&lt;8000,"5000-7999","8000+")))</f>
        <v>3000-4999</v>
      </c>
      <c r="AM1232">
        <f>IF(HR_Cleaned[[#This Row],[Attrition]]="Yes",1,0)</f>
        <v>0</v>
      </c>
    </row>
    <row r="1233" spans="1:39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>
        <f>IF(HR_Cleaned[[#This Row],[Age]]&lt;25,"18-24",IF(HR_Cleaned[[#This Row],[Age]]&lt;35,"25-34",IF(HR_Cleaned[[#This Row],[Age]]&lt;45,"35-44",IF(HR_Cleaned[[#This Row],[Age]]&lt;55,"45-54","55+"))))</f>
        <v>45-54</v>
      </c>
      <c r="AK123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33" t="str">
        <f>IF(HR_Cleaned[[#This Row],[MonthlyIncome]]&lt;3000,"Below 3000",IF(HR_Cleaned[[#This Row],[MonthlyIncome]]&lt;5000,"3000-4999",IF(HR_Cleaned[[#This Row],[MonthlyIncome]]&lt;8000,"5000-7999","8000+")))</f>
        <v>5000-7999</v>
      </c>
      <c r="AM1233">
        <f>IF(HR_Cleaned[[#This Row],[Attrition]]="Yes",1,0)</f>
        <v>0</v>
      </c>
    </row>
    <row r="1234" spans="1:39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>
        <f>IF(HR_Cleaned[[#This Row],[Age]]&lt;25,"18-24",IF(HR_Cleaned[[#This Row],[Age]]&lt;35,"25-34",IF(HR_Cleaned[[#This Row],[Age]]&lt;45,"35-44",IF(HR_Cleaned[[#This Row],[Age]]&lt;55,"45-54","55+"))))</f>
        <v>35-44</v>
      </c>
      <c r="AK123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34" t="str">
        <f>IF(HR_Cleaned[[#This Row],[MonthlyIncome]]&lt;3000,"Below 3000",IF(HR_Cleaned[[#This Row],[MonthlyIncome]]&lt;5000,"3000-4999",IF(HR_Cleaned[[#This Row],[MonthlyIncome]]&lt;8000,"5000-7999","8000+")))</f>
        <v>5000-7999</v>
      </c>
      <c r="AM1234">
        <f>IF(HR_Cleaned[[#This Row],[Attrition]]="Yes",1,0)</f>
        <v>0</v>
      </c>
    </row>
    <row r="1235" spans="1:39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>
        <f>IF(HR_Cleaned[[#This Row],[Age]]&lt;25,"18-24",IF(HR_Cleaned[[#This Row],[Age]]&lt;35,"25-34",IF(HR_Cleaned[[#This Row],[Age]]&lt;45,"35-44",IF(HR_Cleaned[[#This Row],[Age]]&lt;55,"45-54","55+"))))</f>
        <v>25-34</v>
      </c>
      <c r="AK123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35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35">
        <f>IF(HR_Cleaned[[#This Row],[Attrition]]="Yes",1,0)</f>
        <v>0</v>
      </c>
    </row>
    <row r="1236" spans="1:39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>
        <f>IF(HR_Cleaned[[#This Row],[Age]]&lt;25,"18-24",IF(HR_Cleaned[[#This Row],[Age]]&lt;35,"25-34",IF(HR_Cleaned[[#This Row],[Age]]&lt;45,"35-44",IF(HR_Cleaned[[#This Row],[Age]]&lt;55,"45-54","55+"))))</f>
        <v>45-54</v>
      </c>
      <c r="AK123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36" t="str">
        <f>IF(HR_Cleaned[[#This Row],[MonthlyIncome]]&lt;3000,"Below 3000",IF(HR_Cleaned[[#This Row],[MonthlyIncome]]&lt;5000,"3000-4999",IF(HR_Cleaned[[#This Row],[MonthlyIncome]]&lt;8000,"5000-7999","8000+")))</f>
        <v>3000-4999</v>
      </c>
      <c r="AM1236">
        <f>IF(HR_Cleaned[[#This Row],[Attrition]]="Yes",1,0)</f>
        <v>0</v>
      </c>
    </row>
    <row r="1237" spans="1:39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>
        <f>IF(HR_Cleaned[[#This Row],[Age]]&lt;25,"18-24",IF(HR_Cleaned[[#This Row],[Age]]&lt;35,"25-34",IF(HR_Cleaned[[#This Row],[Age]]&lt;45,"35-44",IF(HR_Cleaned[[#This Row],[Age]]&lt;55,"45-54","55+"))))</f>
        <v>45-54</v>
      </c>
      <c r="AK123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37" t="str">
        <f>IF(HR_Cleaned[[#This Row],[MonthlyIncome]]&lt;3000,"Below 3000",IF(HR_Cleaned[[#This Row],[MonthlyIncome]]&lt;5000,"3000-4999",IF(HR_Cleaned[[#This Row],[MonthlyIncome]]&lt;8000,"5000-7999","8000+")))</f>
        <v>8000+</v>
      </c>
      <c r="AM1237">
        <f>IF(HR_Cleaned[[#This Row],[Attrition]]="Yes",1,0)</f>
        <v>0</v>
      </c>
    </row>
    <row r="1238" spans="1:39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>
        <f>IF(HR_Cleaned[[#This Row],[Age]]&lt;25,"18-24",IF(HR_Cleaned[[#This Row],[Age]]&lt;35,"25-34",IF(HR_Cleaned[[#This Row],[Age]]&lt;45,"35-44",IF(HR_Cleaned[[#This Row],[Age]]&lt;55,"45-54","55+"))))</f>
        <v>35-44</v>
      </c>
      <c r="AK123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38" t="str">
        <f>IF(HR_Cleaned[[#This Row],[MonthlyIncome]]&lt;3000,"Below 3000",IF(HR_Cleaned[[#This Row],[MonthlyIncome]]&lt;5000,"3000-4999",IF(HR_Cleaned[[#This Row],[MonthlyIncome]]&lt;8000,"5000-7999","8000+")))</f>
        <v>5000-7999</v>
      </c>
      <c r="AM1238">
        <f>IF(HR_Cleaned[[#This Row],[Attrition]]="Yes",1,0)</f>
        <v>1</v>
      </c>
    </row>
    <row r="1239" spans="1:39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>
        <f>IF(HR_Cleaned[[#This Row],[Age]]&lt;25,"18-24",IF(HR_Cleaned[[#This Row],[Age]]&lt;35,"25-34",IF(HR_Cleaned[[#This Row],[Age]]&lt;45,"35-44",IF(HR_Cleaned[[#This Row],[Age]]&lt;55,"45-54","55+"))))</f>
        <v>25-34</v>
      </c>
      <c r="AK123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39" t="str">
        <f>IF(HR_Cleaned[[#This Row],[MonthlyIncome]]&lt;3000,"Below 3000",IF(HR_Cleaned[[#This Row],[MonthlyIncome]]&lt;5000,"3000-4999",IF(HR_Cleaned[[#This Row],[MonthlyIncome]]&lt;8000,"5000-7999","8000+")))</f>
        <v>5000-7999</v>
      </c>
      <c r="AM1239">
        <f>IF(HR_Cleaned[[#This Row],[Attrition]]="Yes",1,0)</f>
        <v>1</v>
      </c>
    </row>
    <row r="1240" spans="1:39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>
        <f>IF(HR_Cleaned[[#This Row],[Age]]&lt;25,"18-24",IF(HR_Cleaned[[#This Row],[Age]]&lt;35,"25-34",IF(HR_Cleaned[[#This Row],[Age]]&lt;45,"35-44",IF(HR_Cleaned[[#This Row],[Age]]&lt;55,"45-54","55+"))))</f>
        <v>18-24</v>
      </c>
      <c r="AK124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40" t="str">
        <f>IF(HR_Cleaned[[#This Row],[MonthlyIncome]]&lt;3000,"Below 3000",IF(HR_Cleaned[[#This Row],[MonthlyIncome]]&lt;5000,"3000-4999",IF(HR_Cleaned[[#This Row],[MonthlyIncome]]&lt;8000,"5000-7999","8000+")))</f>
        <v>3000-4999</v>
      </c>
      <c r="AM1240">
        <f>IF(HR_Cleaned[[#This Row],[Attrition]]="Yes",1,0)</f>
        <v>0</v>
      </c>
    </row>
    <row r="1241" spans="1:39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>
        <f>IF(HR_Cleaned[[#This Row],[Age]]&lt;25,"18-24",IF(HR_Cleaned[[#This Row],[Age]]&lt;35,"25-34",IF(HR_Cleaned[[#This Row],[Age]]&lt;45,"35-44",IF(HR_Cleaned[[#This Row],[Age]]&lt;55,"45-54","55+"))))</f>
        <v>25-34</v>
      </c>
      <c r="AK124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41" t="str">
        <f>IF(HR_Cleaned[[#This Row],[MonthlyIncome]]&lt;3000,"Below 3000",IF(HR_Cleaned[[#This Row],[MonthlyIncome]]&lt;5000,"3000-4999",IF(HR_Cleaned[[#This Row],[MonthlyIncome]]&lt;8000,"5000-7999","8000+")))</f>
        <v>5000-7999</v>
      </c>
      <c r="AM1241">
        <f>IF(HR_Cleaned[[#This Row],[Attrition]]="Yes",1,0)</f>
        <v>0</v>
      </c>
    </row>
    <row r="1242" spans="1:39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>
        <f>IF(HR_Cleaned[[#This Row],[Age]]&lt;25,"18-24",IF(HR_Cleaned[[#This Row],[Age]]&lt;35,"25-34",IF(HR_Cleaned[[#This Row],[Age]]&lt;45,"35-44",IF(HR_Cleaned[[#This Row],[Age]]&lt;55,"45-54","55+"))))</f>
        <v>35-44</v>
      </c>
      <c r="AK124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42" t="str">
        <f>IF(HR_Cleaned[[#This Row],[MonthlyIncome]]&lt;3000,"Below 3000",IF(HR_Cleaned[[#This Row],[MonthlyIncome]]&lt;5000,"3000-4999",IF(HR_Cleaned[[#This Row],[MonthlyIncome]]&lt;8000,"5000-7999","8000+")))</f>
        <v>5000-7999</v>
      </c>
      <c r="AM1242">
        <f>IF(HR_Cleaned[[#This Row],[Attrition]]="Yes",1,0)</f>
        <v>0</v>
      </c>
    </row>
    <row r="1243" spans="1:39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>
        <f>IF(HR_Cleaned[[#This Row],[Age]]&lt;25,"18-24",IF(HR_Cleaned[[#This Row],[Age]]&lt;35,"25-34",IF(HR_Cleaned[[#This Row],[Age]]&lt;45,"35-44",IF(HR_Cleaned[[#This Row],[Age]]&lt;55,"45-54","55+"))))</f>
        <v>25-34</v>
      </c>
      <c r="AK124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43" t="str">
        <f>IF(HR_Cleaned[[#This Row],[MonthlyIncome]]&lt;3000,"Below 3000",IF(HR_Cleaned[[#This Row],[MonthlyIncome]]&lt;5000,"3000-4999",IF(HR_Cleaned[[#This Row],[MonthlyIncome]]&lt;8000,"5000-7999","8000+")))</f>
        <v>8000+</v>
      </c>
      <c r="AM1243">
        <f>IF(HR_Cleaned[[#This Row],[Attrition]]="Yes",1,0)</f>
        <v>0</v>
      </c>
    </row>
    <row r="1244" spans="1:39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>
        <f>IF(HR_Cleaned[[#This Row],[Age]]&lt;25,"18-24",IF(HR_Cleaned[[#This Row],[Age]]&lt;35,"25-34",IF(HR_Cleaned[[#This Row],[Age]]&lt;45,"35-44",IF(HR_Cleaned[[#This Row],[Age]]&lt;55,"45-54","55+"))))</f>
        <v>35-44</v>
      </c>
      <c r="AK1244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244" t="str">
        <f>IF(HR_Cleaned[[#This Row],[MonthlyIncome]]&lt;3000,"Below 3000",IF(HR_Cleaned[[#This Row],[MonthlyIncome]]&lt;5000,"3000-4999",IF(HR_Cleaned[[#This Row],[MonthlyIncome]]&lt;8000,"5000-7999","8000+")))</f>
        <v>8000+</v>
      </c>
      <c r="AM1244">
        <f>IF(HR_Cleaned[[#This Row],[Attrition]]="Yes",1,0)</f>
        <v>0</v>
      </c>
    </row>
    <row r="1245" spans="1:39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>
        <f>IF(HR_Cleaned[[#This Row],[Age]]&lt;25,"18-24",IF(HR_Cleaned[[#This Row],[Age]]&lt;35,"25-34",IF(HR_Cleaned[[#This Row],[Age]]&lt;45,"35-44",IF(HR_Cleaned[[#This Row],[Age]]&lt;55,"45-54","55+"))))</f>
        <v>45-54</v>
      </c>
      <c r="AK124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45" t="str">
        <f>IF(HR_Cleaned[[#This Row],[MonthlyIncome]]&lt;3000,"Below 3000",IF(HR_Cleaned[[#This Row],[MonthlyIncome]]&lt;5000,"3000-4999",IF(HR_Cleaned[[#This Row],[MonthlyIncome]]&lt;8000,"5000-7999","8000+")))</f>
        <v>8000+</v>
      </c>
      <c r="AM1245">
        <f>IF(HR_Cleaned[[#This Row],[Attrition]]="Yes",1,0)</f>
        <v>0</v>
      </c>
    </row>
    <row r="1246" spans="1:39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>
        <f>IF(HR_Cleaned[[#This Row],[Age]]&lt;25,"18-24",IF(HR_Cleaned[[#This Row],[Age]]&lt;35,"25-34",IF(HR_Cleaned[[#This Row],[Age]]&lt;45,"35-44",IF(HR_Cleaned[[#This Row],[Age]]&lt;55,"45-54","55+"))))</f>
        <v>25-34</v>
      </c>
      <c r="AK124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46" t="str">
        <f>IF(HR_Cleaned[[#This Row],[MonthlyIncome]]&lt;3000,"Below 3000",IF(HR_Cleaned[[#This Row],[MonthlyIncome]]&lt;5000,"3000-4999",IF(HR_Cleaned[[#This Row],[MonthlyIncome]]&lt;8000,"5000-7999","8000+")))</f>
        <v>3000-4999</v>
      </c>
      <c r="AM1246">
        <f>IF(HR_Cleaned[[#This Row],[Attrition]]="Yes",1,0)</f>
        <v>0</v>
      </c>
    </row>
    <row r="1247" spans="1:39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>
        <f>IF(HR_Cleaned[[#This Row],[Age]]&lt;25,"18-24",IF(HR_Cleaned[[#This Row],[Age]]&lt;35,"25-34",IF(HR_Cleaned[[#This Row],[Age]]&lt;45,"35-44",IF(HR_Cleaned[[#This Row],[Age]]&lt;55,"45-54","55+"))))</f>
        <v>18-24</v>
      </c>
      <c r="AK124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47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47">
        <f>IF(HR_Cleaned[[#This Row],[Attrition]]="Yes",1,0)</f>
        <v>0</v>
      </c>
    </row>
    <row r="1248" spans="1:39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>
        <f>IF(HR_Cleaned[[#This Row],[Age]]&lt;25,"18-24",IF(HR_Cleaned[[#This Row],[Age]]&lt;35,"25-34",IF(HR_Cleaned[[#This Row],[Age]]&lt;45,"35-44",IF(HR_Cleaned[[#This Row],[Age]]&lt;55,"45-54","55+"))))</f>
        <v>25-34</v>
      </c>
      <c r="AK124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48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48">
        <f>IF(HR_Cleaned[[#This Row],[Attrition]]="Yes",1,0)</f>
        <v>1</v>
      </c>
    </row>
    <row r="1249" spans="1:39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>
        <f>IF(HR_Cleaned[[#This Row],[Age]]&lt;25,"18-24",IF(HR_Cleaned[[#This Row],[Age]]&lt;35,"25-34",IF(HR_Cleaned[[#This Row],[Age]]&lt;45,"35-44",IF(HR_Cleaned[[#This Row],[Age]]&lt;55,"45-54","55+"))))</f>
        <v>25-34</v>
      </c>
      <c r="AK124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49" t="str">
        <f>IF(HR_Cleaned[[#This Row],[MonthlyIncome]]&lt;3000,"Below 3000",IF(HR_Cleaned[[#This Row],[MonthlyIncome]]&lt;5000,"3000-4999",IF(HR_Cleaned[[#This Row],[MonthlyIncome]]&lt;8000,"5000-7999","8000+")))</f>
        <v>8000+</v>
      </c>
      <c r="AM1249">
        <f>IF(HR_Cleaned[[#This Row],[Attrition]]="Yes",1,0)</f>
        <v>0</v>
      </c>
    </row>
    <row r="1250" spans="1:39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>
        <f>IF(HR_Cleaned[[#This Row],[Age]]&lt;25,"18-24",IF(HR_Cleaned[[#This Row],[Age]]&lt;35,"25-34",IF(HR_Cleaned[[#This Row],[Age]]&lt;45,"35-44",IF(HR_Cleaned[[#This Row],[Age]]&lt;55,"45-54","55+"))))</f>
        <v>25-34</v>
      </c>
      <c r="AK125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50" t="str">
        <f>IF(HR_Cleaned[[#This Row],[MonthlyIncome]]&lt;3000,"Below 3000",IF(HR_Cleaned[[#This Row],[MonthlyIncome]]&lt;5000,"3000-4999",IF(HR_Cleaned[[#This Row],[MonthlyIncome]]&lt;8000,"5000-7999","8000+")))</f>
        <v>3000-4999</v>
      </c>
      <c r="AM1250">
        <f>IF(HR_Cleaned[[#This Row],[Attrition]]="Yes",1,0)</f>
        <v>0</v>
      </c>
    </row>
    <row r="1251" spans="1:39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>
        <f>IF(HR_Cleaned[[#This Row],[Age]]&lt;25,"18-24",IF(HR_Cleaned[[#This Row],[Age]]&lt;35,"25-34",IF(HR_Cleaned[[#This Row],[Age]]&lt;45,"35-44",IF(HR_Cleaned[[#This Row],[Age]]&lt;55,"45-54","55+"))))</f>
        <v>25-34</v>
      </c>
      <c r="AK125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51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51">
        <f>IF(HR_Cleaned[[#This Row],[Attrition]]="Yes",1,0)</f>
        <v>1</v>
      </c>
    </row>
    <row r="1252" spans="1:39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>
        <f>IF(HR_Cleaned[[#This Row],[Age]]&lt;25,"18-24",IF(HR_Cleaned[[#This Row],[Age]]&lt;35,"25-34",IF(HR_Cleaned[[#This Row],[Age]]&lt;45,"35-44",IF(HR_Cleaned[[#This Row],[Age]]&lt;55,"45-54","55+"))))</f>
        <v>25-34</v>
      </c>
      <c r="AK125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52" t="str">
        <f>IF(HR_Cleaned[[#This Row],[MonthlyIncome]]&lt;3000,"Below 3000",IF(HR_Cleaned[[#This Row],[MonthlyIncome]]&lt;5000,"3000-4999",IF(HR_Cleaned[[#This Row],[MonthlyIncome]]&lt;8000,"5000-7999","8000+")))</f>
        <v>5000-7999</v>
      </c>
      <c r="AM1252">
        <f>IF(HR_Cleaned[[#This Row],[Attrition]]="Yes",1,0)</f>
        <v>0</v>
      </c>
    </row>
    <row r="1253" spans="1:39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>
        <f>IF(HR_Cleaned[[#This Row],[Age]]&lt;25,"18-24",IF(HR_Cleaned[[#This Row],[Age]]&lt;35,"25-34",IF(HR_Cleaned[[#This Row],[Age]]&lt;45,"35-44",IF(HR_Cleaned[[#This Row],[Age]]&lt;55,"45-54","55+"))))</f>
        <v>25-34</v>
      </c>
      <c r="AK125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53" t="str">
        <f>IF(HR_Cleaned[[#This Row],[MonthlyIncome]]&lt;3000,"Below 3000",IF(HR_Cleaned[[#This Row],[MonthlyIncome]]&lt;5000,"3000-4999",IF(HR_Cleaned[[#This Row],[MonthlyIncome]]&lt;8000,"5000-7999","8000+")))</f>
        <v>5000-7999</v>
      </c>
      <c r="AM1253">
        <f>IF(HR_Cleaned[[#This Row],[Attrition]]="Yes",1,0)</f>
        <v>0</v>
      </c>
    </row>
    <row r="1254" spans="1:39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>
        <f>IF(HR_Cleaned[[#This Row],[Age]]&lt;25,"18-24",IF(HR_Cleaned[[#This Row],[Age]]&lt;35,"25-34",IF(HR_Cleaned[[#This Row],[Age]]&lt;45,"35-44",IF(HR_Cleaned[[#This Row],[Age]]&lt;55,"45-54","55+"))))</f>
        <v>25-34</v>
      </c>
      <c r="AK125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54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54">
        <f>IF(HR_Cleaned[[#This Row],[Attrition]]="Yes",1,0)</f>
        <v>0</v>
      </c>
    </row>
    <row r="1255" spans="1:39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>
        <f>IF(HR_Cleaned[[#This Row],[Age]]&lt;25,"18-24",IF(HR_Cleaned[[#This Row],[Age]]&lt;35,"25-34",IF(HR_Cleaned[[#This Row],[Age]]&lt;45,"35-44",IF(HR_Cleaned[[#This Row],[Age]]&lt;55,"45-54","55+"))))</f>
        <v>25-34</v>
      </c>
      <c r="AK125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255" t="str">
        <f>IF(HR_Cleaned[[#This Row],[MonthlyIncome]]&lt;3000,"Below 3000",IF(HR_Cleaned[[#This Row],[MonthlyIncome]]&lt;5000,"3000-4999",IF(HR_Cleaned[[#This Row],[MonthlyIncome]]&lt;8000,"5000-7999","8000+")))</f>
        <v>5000-7999</v>
      </c>
      <c r="AM1255">
        <f>IF(HR_Cleaned[[#This Row],[Attrition]]="Yes",1,0)</f>
        <v>0</v>
      </c>
    </row>
    <row r="1256" spans="1:39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>
        <f>IF(HR_Cleaned[[#This Row],[Age]]&lt;25,"18-24",IF(HR_Cleaned[[#This Row],[Age]]&lt;35,"25-34",IF(HR_Cleaned[[#This Row],[Age]]&lt;45,"35-44",IF(HR_Cleaned[[#This Row],[Age]]&lt;55,"45-54","55+"))))</f>
        <v>45-54</v>
      </c>
      <c r="AK125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56" t="str">
        <f>IF(HR_Cleaned[[#This Row],[MonthlyIncome]]&lt;3000,"Below 3000",IF(HR_Cleaned[[#This Row],[MonthlyIncome]]&lt;5000,"3000-4999",IF(HR_Cleaned[[#This Row],[MonthlyIncome]]&lt;8000,"5000-7999","8000+")))</f>
        <v>3000-4999</v>
      </c>
      <c r="AM1256">
        <f>IF(HR_Cleaned[[#This Row],[Attrition]]="Yes",1,0)</f>
        <v>0</v>
      </c>
    </row>
    <row r="1257" spans="1:39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>
        <f>IF(HR_Cleaned[[#This Row],[Age]]&lt;25,"18-24",IF(HR_Cleaned[[#This Row],[Age]]&lt;35,"25-34",IF(HR_Cleaned[[#This Row],[Age]]&lt;45,"35-44",IF(HR_Cleaned[[#This Row],[Age]]&lt;55,"45-54","55+"))))</f>
        <v>25-34</v>
      </c>
      <c r="AK125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57" t="str">
        <f>IF(HR_Cleaned[[#This Row],[MonthlyIncome]]&lt;3000,"Below 3000",IF(HR_Cleaned[[#This Row],[MonthlyIncome]]&lt;5000,"3000-4999",IF(HR_Cleaned[[#This Row],[MonthlyIncome]]&lt;8000,"5000-7999","8000+")))</f>
        <v>8000+</v>
      </c>
      <c r="AM1257">
        <f>IF(HR_Cleaned[[#This Row],[Attrition]]="Yes",1,0)</f>
        <v>1</v>
      </c>
    </row>
    <row r="1258" spans="1:39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>
        <f>IF(HR_Cleaned[[#This Row],[Age]]&lt;25,"18-24",IF(HR_Cleaned[[#This Row],[Age]]&lt;35,"25-34",IF(HR_Cleaned[[#This Row],[Age]]&lt;45,"35-44",IF(HR_Cleaned[[#This Row],[Age]]&lt;55,"45-54","55+"))))</f>
        <v>35-44</v>
      </c>
      <c r="AK125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58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58">
        <f>IF(HR_Cleaned[[#This Row],[Attrition]]="Yes",1,0)</f>
        <v>0</v>
      </c>
    </row>
    <row r="1259" spans="1:39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>
        <f>IF(HR_Cleaned[[#This Row],[Age]]&lt;25,"18-24",IF(HR_Cleaned[[#This Row],[Age]]&lt;35,"25-34",IF(HR_Cleaned[[#This Row],[Age]]&lt;45,"35-44",IF(HR_Cleaned[[#This Row],[Age]]&lt;55,"45-54","55+"))))</f>
        <v>25-34</v>
      </c>
      <c r="AK125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59" t="str">
        <f>IF(HR_Cleaned[[#This Row],[MonthlyIncome]]&lt;3000,"Below 3000",IF(HR_Cleaned[[#This Row],[MonthlyIncome]]&lt;5000,"3000-4999",IF(HR_Cleaned[[#This Row],[MonthlyIncome]]&lt;8000,"5000-7999","8000+")))</f>
        <v>8000+</v>
      </c>
      <c r="AM1259">
        <f>IF(HR_Cleaned[[#This Row],[Attrition]]="Yes",1,0)</f>
        <v>1</v>
      </c>
    </row>
    <row r="1260" spans="1:39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>
        <f>IF(HR_Cleaned[[#This Row],[Age]]&lt;25,"18-24",IF(HR_Cleaned[[#This Row],[Age]]&lt;35,"25-34",IF(HR_Cleaned[[#This Row],[Age]]&lt;45,"35-44",IF(HR_Cleaned[[#This Row],[Age]]&lt;55,"45-54","55+"))))</f>
        <v>25-34</v>
      </c>
      <c r="AK126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60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60">
        <f>IF(HR_Cleaned[[#This Row],[Attrition]]="Yes",1,0)</f>
        <v>0</v>
      </c>
    </row>
    <row r="1261" spans="1:39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>
        <f>IF(HR_Cleaned[[#This Row],[Age]]&lt;25,"18-24",IF(HR_Cleaned[[#This Row],[Age]]&lt;35,"25-34",IF(HR_Cleaned[[#This Row],[Age]]&lt;45,"35-44",IF(HR_Cleaned[[#This Row],[Age]]&lt;55,"45-54","55+"))))</f>
        <v>25-34</v>
      </c>
      <c r="AK126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61" t="str">
        <f>IF(HR_Cleaned[[#This Row],[MonthlyIncome]]&lt;3000,"Below 3000",IF(HR_Cleaned[[#This Row],[MonthlyIncome]]&lt;5000,"3000-4999",IF(HR_Cleaned[[#This Row],[MonthlyIncome]]&lt;8000,"5000-7999","8000+")))</f>
        <v>5000-7999</v>
      </c>
      <c r="AM1261">
        <f>IF(HR_Cleaned[[#This Row],[Attrition]]="Yes",1,0)</f>
        <v>0</v>
      </c>
    </row>
    <row r="1262" spans="1:39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>
        <f>IF(HR_Cleaned[[#This Row],[Age]]&lt;25,"18-24",IF(HR_Cleaned[[#This Row],[Age]]&lt;35,"25-34",IF(HR_Cleaned[[#This Row],[Age]]&lt;45,"35-44",IF(HR_Cleaned[[#This Row],[Age]]&lt;55,"45-54","55+"))))</f>
        <v>25-34</v>
      </c>
      <c r="AK126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62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62">
        <f>IF(HR_Cleaned[[#This Row],[Attrition]]="Yes",1,0)</f>
        <v>0</v>
      </c>
    </row>
    <row r="1263" spans="1:39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>
        <f>IF(HR_Cleaned[[#This Row],[Age]]&lt;25,"18-24",IF(HR_Cleaned[[#This Row],[Age]]&lt;35,"25-34",IF(HR_Cleaned[[#This Row],[Age]]&lt;45,"35-44",IF(HR_Cleaned[[#This Row],[Age]]&lt;55,"45-54","55+"))))</f>
        <v>35-44</v>
      </c>
      <c r="AK126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63" t="str">
        <f>IF(HR_Cleaned[[#This Row],[MonthlyIncome]]&lt;3000,"Below 3000",IF(HR_Cleaned[[#This Row],[MonthlyIncome]]&lt;5000,"3000-4999",IF(HR_Cleaned[[#This Row],[MonthlyIncome]]&lt;8000,"5000-7999","8000+")))</f>
        <v>5000-7999</v>
      </c>
      <c r="AM1263">
        <f>IF(HR_Cleaned[[#This Row],[Attrition]]="Yes",1,0)</f>
        <v>0</v>
      </c>
    </row>
    <row r="1264" spans="1:39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>
        <f>IF(HR_Cleaned[[#This Row],[Age]]&lt;25,"18-24",IF(HR_Cleaned[[#This Row],[Age]]&lt;35,"25-34",IF(HR_Cleaned[[#This Row],[Age]]&lt;45,"35-44",IF(HR_Cleaned[[#This Row],[Age]]&lt;55,"45-54","55+"))))</f>
        <v>35-44</v>
      </c>
      <c r="AK126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64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64">
        <f>IF(HR_Cleaned[[#This Row],[Attrition]]="Yes",1,0)</f>
        <v>1</v>
      </c>
    </row>
    <row r="1265" spans="1:39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>
        <f>IF(HR_Cleaned[[#This Row],[Age]]&lt;25,"18-24",IF(HR_Cleaned[[#This Row],[Age]]&lt;35,"25-34",IF(HR_Cleaned[[#This Row],[Age]]&lt;45,"35-44",IF(HR_Cleaned[[#This Row],[Age]]&lt;55,"45-54","55+"))))</f>
        <v>35-44</v>
      </c>
      <c r="AK126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65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65">
        <f>IF(HR_Cleaned[[#This Row],[Attrition]]="Yes",1,0)</f>
        <v>0</v>
      </c>
    </row>
    <row r="1266" spans="1:39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>
        <f>IF(HR_Cleaned[[#This Row],[Age]]&lt;25,"18-24",IF(HR_Cleaned[[#This Row],[Age]]&lt;35,"25-34",IF(HR_Cleaned[[#This Row],[Age]]&lt;45,"35-44",IF(HR_Cleaned[[#This Row],[Age]]&lt;55,"45-54","55+"))))</f>
        <v>55+</v>
      </c>
      <c r="AK126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66" t="str">
        <f>IF(HR_Cleaned[[#This Row],[MonthlyIncome]]&lt;3000,"Below 3000",IF(HR_Cleaned[[#This Row],[MonthlyIncome]]&lt;5000,"3000-4999",IF(HR_Cleaned[[#This Row],[MonthlyIncome]]&lt;8000,"5000-7999","8000+")))</f>
        <v>8000+</v>
      </c>
      <c r="AM1266">
        <f>IF(HR_Cleaned[[#This Row],[Attrition]]="Yes",1,0)</f>
        <v>0</v>
      </c>
    </row>
    <row r="1267" spans="1:39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>
        <f>IF(HR_Cleaned[[#This Row],[Age]]&lt;25,"18-24",IF(HR_Cleaned[[#This Row],[Age]]&lt;35,"25-34",IF(HR_Cleaned[[#This Row],[Age]]&lt;45,"35-44",IF(HR_Cleaned[[#This Row],[Age]]&lt;55,"45-54","55+"))))</f>
        <v>25-34</v>
      </c>
      <c r="AK126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67" t="str">
        <f>IF(HR_Cleaned[[#This Row],[MonthlyIncome]]&lt;3000,"Below 3000",IF(HR_Cleaned[[#This Row],[MonthlyIncome]]&lt;5000,"3000-4999",IF(HR_Cleaned[[#This Row],[MonthlyIncome]]&lt;8000,"5000-7999","8000+")))</f>
        <v>3000-4999</v>
      </c>
      <c r="AM1267">
        <f>IF(HR_Cleaned[[#This Row],[Attrition]]="Yes",1,0)</f>
        <v>0</v>
      </c>
    </row>
    <row r="1268" spans="1:39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>
        <f>IF(HR_Cleaned[[#This Row],[Age]]&lt;25,"18-24",IF(HR_Cleaned[[#This Row],[Age]]&lt;35,"25-34",IF(HR_Cleaned[[#This Row],[Age]]&lt;45,"35-44",IF(HR_Cleaned[[#This Row],[Age]]&lt;55,"45-54","55+"))))</f>
        <v>35-44</v>
      </c>
      <c r="AK126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68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68">
        <f>IF(HR_Cleaned[[#This Row],[Attrition]]="Yes",1,0)</f>
        <v>0</v>
      </c>
    </row>
    <row r="1269" spans="1:39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>
        <f>IF(HR_Cleaned[[#This Row],[Age]]&lt;25,"18-24",IF(HR_Cleaned[[#This Row],[Age]]&lt;35,"25-34",IF(HR_Cleaned[[#This Row],[Age]]&lt;45,"35-44",IF(HR_Cleaned[[#This Row],[Age]]&lt;55,"45-54","55+"))))</f>
        <v>25-34</v>
      </c>
      <c r="AK126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269" t="str">
        <f>IF(HR_Cleaned[[#This Row],[MonthlyIncome]]&lt;3000,"Below 3000",IF(HR_Cleaned[[#This Row],[MonthlyIncome]]&lt;5000,"3000-4999",IF(HR_Cleaned[[#This Row],[MonthlyIncome]]&lt;8000,"5000-7999","8000+")))</f>
        <v>3000-4999</v>
      </c>
      <c r="AM1269">
        <f>IF(HR_Cleaned[[#This Row],[Attrition]]="Yes",1,0)</f>
        <v>0</v>
      </c>
    </row>
    <row r="1270" spans="1:39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>
        <f>IF(HR_Cleaned[[#This Row],[Age]]&lt;25,"18-24",IF(HR_Cleaned[[#This Row],[Age]]&lt;35,"25-34",IF(HR_Cleaned[[#This Row],[Age]]&lt;45,"35-44",IF(HR_Cleaned[[#This Row],[Age]]&lt;55,"45-54","55+"))))</f>
        <v>45-54</v>
      </c>
      <c r="AK127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70" t="str">
        <f>IF(HR_Cleaned[[#This Row],[MonthlyIncome]]&lt;3000,"Below 3000",IF(HR_Cleaned[[#This Row],[MonthlyIncome]]&lt;5000,"3000-4999",IF(HR_Cleaned[[#This Row],[MonthlyIncome]]&lt;8000,"5000-7999","8000+")))</f>
        <v>8000+</v>
      </c>
      <c r="AM1270">
        <f>IF(HR_Cleaned[[#This Row],[Attrition]]="Yes",1,0)</f>
        <v>0</v>
      </c>
    </row>
    <row r="1271" spans="1:39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>
        <f>IF(HR_Cleaned[[#This Row],[Age]]&lt;25,"18-24",IF(HR_Cleaned[[#This Row],[Age]]&lt;35,"25-34",IF(HR_Cleaned[[#This Row],[Age]]&lt;45,"35-44",IF(HR_Cleaned[[#This Row],[Age]]&lt;55,"45-54","55+"))))</f>
        <v>35-44</v>
      </c>
      <c r="AK127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71" t="str">
        <f>IF(HR_Cleaned[[#This Row],[MonthlyIncome]]&lt;3000,"Below 3000",IF(HR_Cleaned[[#This Row],[MonthlyIncome]]&lt;5000,"3000-4999",IF(HR_Cleaned[[#This Row],[MonthlyIncome]]&lt;8000,"5000-7999","8000+")))</f>
        <v>3000-4999</v>
      </c>
      <c r="AM1271">
        <f>IF(HR_Cleaned[[#This Row],[Attrition]]="Yes",1,0)</f>
        <v>0</v>
      </c>
    </row>
    <row r="1272" spans="1:39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>
        <f>IF(HR_Cleaned[[#This Row],[Age]]&lt;25,"18-24",IF(HR_Cleaned[[#This Row],[Age]]&lt;35,"25-34",IF(HR_Cleaned[[#This Row],[Age]]&lt;45,"35-44",IF(HR_Cleaned[[#This Row],[Age]]&lt;55,"45-54","55+"))))</f>
        <v>25-34</v>
      </c>
      <c r="AK127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72" t="str">
        <f>IF(HR_Cleaned[[#This Row],[MonthlyIncome]]&lt;3000,"Below 3000",IF(HR_Cleaned[[#This Row],[MonthlyIncome]]&lt;5000,"3000-4999",IF(HR_Cleaned[[#This Row],[MonthlyIncome]]&lt;8000,"5000-7999","8000+")))</f>
        <v>5000-7999</v>
      </c>
      <c r="AM1272">
        <f>IF(HR_Cleaned[[#This Row],[Attrition]]="Yes",1,0)</f>
        <v>0</v>
      </c>
    </row>
    <row r="1273" spans="1:39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>
        <f>IF(HR_Cleaned[[#This Row],[Age]]&lt;25,"18-24",IF(HR_Cleaned[[#This Row],[Age]]&lt;35,"25-34",IF(HR_Cleaned[[#This Row],[Age]]&lt;45,"35-44",IF(HR_Cleaned[[#This Row],[Age]]&lt;55,"45-54","55+"))))</f>
        <v>18-24</v>
      </c>
      <c r="AK127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73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73">
        <f>IF(HR_Cleaned[[#This Row],[Attrition]]="Yes",1,0)</f>
        <v>1</v>
      </c>
    </row>
    <row r="1274" spans="1:39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>
        <f>IF(HR_Cleaned[[#This Row],[Age]]&lt;25,"18-24",IF(HR_Cleaned[[#This Row],[Age]]&lt;35,"25-34",IF(HR_Cleaned[[#This Row],[Age]]&lt;45,"35-44",IF(HR_Cleaned[[#This Row],[Age]]&lt;55,"45-54","55+"))))</f>
        <v>35-44</v>
      </c>
      <c r="AK127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74" t="str">
        <f>IF(HR_Cleaned[[#This Row],[MonthlyIncome]]&lt;3000,"Below 3000",IF(HR_Cleaned[[#This Row],[MonthlyIncome]]&lt;5000,"3000-4999",IF(HR_Cleaned[[#This Row],[MonthlyIncome]]&lt;8000,"5000-7999","8000+")))</f>
        <v>3000-4999</v>
      </c>
      <c r="AM1274">
        <f>IF(HR_Cleaned[[#This Row],[Attrition]]="Yes",1,0)</f>
        <v>0</v>
      </c>
    </row>
    <row r="1275" spans="1:39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>
        <f>IF(HR_Cleaned[[#This Row],[Age]]&lt;25,"18-24",IF(HR_Cleaned[[#This Row],[Age]]&lt;35,"25-34",IF(HR_Cleaned[[#This Row],[Age]]&lt;45,"35-44",IF(HR_Cleaned[[#This Row],[Age]]&lt;55,"45-54","55+"))))</f>
        <v>18-24</v>
      </c>
      <c r="AK1275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75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75">
        <f>IF(HR_Cleaned[[#This Row],[Attrition]]="Yes",1,0)</f>
        <v>1</v>
      </c>
    </row>
    <row r="1276" spans="1:39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>
        <f>IF(HR_Cleaned[[#This Row],[Age]]&lt;25,"18-24",IF(HR_Cleaned[[#This Row],[Age]]&lt;35,"25-34",IF(HR_Cleaned[[#This Row],[Age]]&lt;45,"35-44",IF(HR_Cleaned[[#This Row],[Age]]&lt;55,"45-54","55+"))))</f>
        <v>25-34</v>
      </c>
      <c r="AK1276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276" t="str">
        <f>IF(HR_Cleaned[[#This Row],[MonthlyIncome]]&lt;3000,"Below 3000",IF(HR_Cleaned[[#This Row],[MonthlyIncome]]&lt;5000,"3000-4999",IF(HR_Cleaned[[#This Row],[MonthlyIncome]]&lt;8000,"5000-7999","8000+")))</f>
        <v>5000-7999</v>
      </c>
      <c r="AM1276">
        <f>IF(HR_Cleaned[[#This Row],[Attrition]]="Yes",1,0)</f>
        <v>0</v>
      </c>
    </row>
    <row r="1277" spans="1:39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>
        <f>IF(HR_Cleaned[[#This Row],[Age]]&lt;25,"18-24",IF(HR_Cleaned[[#This Row],[Age]]&lt;35,"25-34",IF(HR_Cleaned[[#This Row],[Age]]&lt;45,"35-44",IF(HR_Cleaned[[#This Row],[Age]]&lt;55,"45-54","55+"))))</f>
        <v>45-54</v>
      </c>
      <c r="AK127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77" t="str">
        <f>IF(HR_Cleaned[[#This Row],[MonthlyIncome]]&lt;3000,"Below 3000",IF(HR_Cleaned[[#This Row],[MonthlyIncome]]&lt;5000,"3000-4999",IF(HR_Cleaned[[#This Row],[MonthlyIncome]]&lt;8000,"5000-7999","8000+")))</f>
        <v>8000+</v>
      </c>
      <c r="AM1277">
        <f>IF(HR_Cleaned[[#This Row],[Attrition]]="Yes",1,0)</f>
        <v>0</v>
      </c>
    </row>
    <row r="1278" spans="1:39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>
        <f>IF(HR_Cleaned[[#This Row],[Age]]&lt;25,"18-24",IF(HR_Cleaned[[#This Row],[Age]]&lt;35,"25-34",IF(HR_Cleaned[[#This Row],[Age]]&lt;45,"35-44",IF(HR_Cleaned[[#This Row],[Age]]&lt;55,"45-54","55+"))))</f>
        <v>35-44</v>
      </c>
      <c r="AK127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78" t="str">
        <f>IF(HR_Cleaned[[#This Row],[MonthlyIncome]]&lt;3000,"Below 3000",IF(HR_Cleaned[[#This Row],[MonthlyIncome]]&lt;5000,"3000-4999",IF(HR_Cleaned[[#This Row],[MonthlyIncome]]&lt;8000,"5000-7999","8000+")))</f>
        <v>3000-4999</v>
      </c>
      <c r="AM1278">
        <f>IF(HR_Cleaned[[#This Row],[Attrition]]="Yes",1,0)</f>
        <v>0</v>
      </c>
    </row>
    <row r="1279" spans="1:39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>
        <f>IF(HR_Cleaned[[#This Row],[Age]]&lt;25,"18-24",IF(HR_Cleaned[[#This Row],[Age]]&lt;35,"25-34",IF(HR_Cleaned[[#This Row],[Age]]&lt;45,"35-44",IF(HR_Cleaned[[#This Row],[Age]]&lt;55,"45-54","55+"))))</f>
        <v>45-54</v>
      </c>
      <c r="AK127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79" t="str">
        <f>IF(HR_Cleaned[[#This Row],[MonthlyIncome]]&lt;3000,"Below 3000",IF(HR_Cleaned[[#This Row],[MonthlyIncome]]&lt;5000,"3000-4999",IF(HR_Cleaned[[#This Row],[MonthlyIncome]]&lt;8000,"5000-7999","8000+")))</f>
        <v>8000+</v>
      </c>
      <c r="AM1279">
        <f>IF(HR_Cleaned[[#This Row],[Attrition]]="Yes",1,0)</f>
        <v>0</v>
      </c>
    </row>
    <row r="1280" spans="1:39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>
        <f>IF(HR_Cleaned[[#This Row],[Age]]&lt;25,"18-24",IF(HR_Cleaned[[#This Row],[Age]]&lt;35,"25-34",IF(HR_Cleaned[[#This Row],[Age]]&lt;45,"35-44",IF(HR_Cleaned[[#This Row],[Age]]&lt;55,"45-54","55+"))))</f>
        <v>35-44</v>
      </c>
      <c r="AK128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280" t="str">
        <f>IF(HR_Cleaned[[#This Row],[MonthlyIncome]]&lt;3000,"Below 3000",IF(HR_Cleaned[[#This Row],[MonthlyIncome]]&lt;5000,"3000-4999",IF(HR_Cleaned[[#This Row],[MonthlyIncome]]&lt;8000,"5000-7999","8000+")))</f>
        <v>8000+</v>
      </c>
      <c r="AM1280">
        <f>IF(HR_Cleaned[[#This Row],[Attrition]]="Yes",1,0)</f>
        <v>0</v>
      </c>
    </row>
    <row r="1281" spans="1:39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>
        <f>IF(HR_Cleaned[[#This Row],[Age]]&lt;25,"18-24",IF(HR_Cleaned[[#This Row],[Age]]&lt;35,"25-34",IF(HR_Cleaned[[#This Row],[Age]]&lt;45,"35-44",IF(HR_Cleaned[[#This Row],[Age]]&lt;55,"45-54","55+"))))</f>
        <v>35-44</v>
      </c>
      <c r="AK128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81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81">
        <f>IF(HR_Cleaned[[#This Row],[Attrition]]="Yes",1,0)</f>
        <v>1</v>
      </c>
    </row>
    <row r="1282" spans="1:39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>
        <f>IF(HR_Cleaned[[#This Row],[Age]]&lt;25,"18-24",IF(HR_Cleaned[[#This Row],[Age]]&lt;35,"25-34",IF(HR_Cleaned[[#This Row],[Age]]&lt;45,"35-44",IF(HR_Cleaned[[#This Row],[Age]]&lt;55,"45-54","55+"))))</f>
        <v>35-44</v>
      </c>
      <c r="AK128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82" t="str">
        <f>IF(HR_Cleaned[[#This Row],[MonthlyIncome]]&lt;3000,"Below 3000",IF(HR_Cleaned[[#This Row],[MonthlyIncome]]&lt;5000,"3000-4999",IF(HR_Cleaned[[#This Row],[MonthlyIncome]]&lt;8000,"5000-7999","8000+")))</f>
        <v>3000-4999</v>
      </c>
      <c r="AM1282">
        <f>IF(HR_Cleaned[[#This Row],[Attrition]]="Yes",1,0)</f>
        <v>0</v>
      </c>
    </row>
    <row r="1283" spans="1:39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>
        <f>IF(HR_Cleaned[[#This Row],[Age]]&lt;25,"18-24",IF(HR_Cleaned[[#This Row],[Age]]&lt;35,"25-34",IF(HR_Cleaned[[#This Row],[Age]]&lt;45,"35-44",IF(HR_Cleaned[[#This Row],[Age]]&lt;55,"45-54","55+"))))</f>
        <v>35-44</v>
      </c>
      <c r="AK128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83" t="str">
        <f>IF(HR_Cleaned[[#This Row],[MonthlyIncome]]&lt;3000,"Below 3000",IF(HR_Cleaned[[#This Row],[MonthlyIncome]]&lt;5000,"3000-4999",IF(HR_Cleaned[[#This Row],[MonthlyIncome]]&lt;8000,"5000-7999","8000+")))</f>
        <v>5000-7999</v>
      </c>
      <c r="AM1283">
        <f>IF(HR_Cleaned[[#This Row],[Attrition]]="Yes",1,0)</f>
        <v>1</v>
      </c>
    </row>
    <row r="1284" spans="1:39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>
        <f>IF(HR_Cleaned[[#This Row],[Age]]&lt;25,"18-24",IF(HR_Cleaned[[#This Row],[Age]]&lt;35,"25-34",IF(HR_Cleaned[[#This Row],[Age]]&lt;45,"35-44",IF(HR_Cleaned[[#This Row],[Age]]&lt;55,"45-54","55+"))))</f>
        <v>25-34</v>
      </c>
      <c r="AK128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84" t="str">
        <f>IF(HR_Cleaned[[#This Row],[MonthlyIncome]]&lt;3000,"Below 3000",IF(HR_Cleaned[[#This Row],[MonthlyIncome]]&lt;5000,"3000-4999",IF(HR_Cleaned[[#This Row],[MonthlyIncome]]&lt;8000,"5000-7999","8000+")))</f>
        <v>3000-4999</v>
      </c>
      <c r="AM1284">
        <f>IF(HR_Cleaned[[#This Row],[Attrition]]="Yes",1,0)</f>
        <v>0</v>
      </c>
    </row>
    <row r="1285" spans="1:39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>
        <f>IF(HR_Cleaned[[#This Row],[Age]]&lt;25,"18-24",IF(HR_Cleaned[[#This Row],[Age]]&lt;35,"25-34",IF(HR_Cleaned[[#This Row],[Age]]&lt;45,"35-44",IF(HR_Cleaned[[#This Row],[Age]]&lt;55,"45-54","55+"))))</f>
        <v>25-34</v>
      </c>
      <c r="AK128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85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85">
        <f>IF(HR_Cleaned[[#This Row],[Attrition]]="Yes",1,0)</f>
        <v>0</v>
      </c>
    </row>
    <row r="1286" spans="1:39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>
        <f>IF(HR_Cleaned[[#This Row],[Age]]&lt;25,"18-24",IF(HR_Cleaned[[#This Row],[Age]]&lt;35,"25-34",IF(HR_Cleaned[[#This Row],[Age]]&lt;45,"35-44",IF(HR_Cleaned[[#This Row],[Age]]&lt;55,"45-54","55+"))))</f>
        <v>35-44</v>
      </c>
      <c r="AK128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86" t="str">
        <f>IF(HR_Cleaned[[#This Row],[MonthlyIncome]]&lt;3000,"Below 3000",IF(HR_Cleaned[[#This Row],[MonthlyIncome]]&lt;5000,"3000-4999",IF(HR_Cleaned[[#This Row],[MonthlyIncome]]&lt;8000,"5000-7999","8000+")))</f>
        <v>8000+</v>
      </c>
      <c r="AM1286">
        <f>IF(HR_Cleaned[[#This Row],[Attrition]]="Yes",1,0)</f>
        <v>0</v>
      </c>
    </row>
    <row r="1287" spans="1:39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>
        <f>IF(HR_Cleaned[[#This Row],[Age]]&lt;25,"18-24",IF(HR_Cleaned[[#This Row],[Age]]&lt;35,"25-34",IF(HR_Cleaned[[#This Row],[Age]]&lt;45,"35-44",IF(HR_Cleaned[[#This Row],[Age]]&lt;55,"45-54","55+"))))</f>
        <v>45-54</v>
      </c>
      <c r="AK128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87" t="str">
        <f>IF(HR_Cleaned[[#This Row],[MonthlyIncome]]&lt;3000,"Below 3000",IF(HR_Cleaned[[#This Row],[MonthlyIncome]]&lt;5000,"3000-4999",IF(HR_Cleaned[[#This Row],[MonthlyIncome]]&lt;8000,"5000-7999","8000+")))</f>
        <v>5000-7999</v>
      </c>
      <c r="AM1287">
        <f>IF(HR_Cleaned[[#This Row],[Attrition]]="Yes",1,0)</f>
        <v>0</v>
      </c>
    </row>
    <row r="1288" spans="1:39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>
        <f>IF(HR_Cleaned[[#This Row],[Age]]&lt;25,"18-24",IF(HR_Cleaned[[#This Row],[Age]]&lt;35,"25-34",IF(HR_Cleaned[[#This Row],[Age]]&lt;45,"35-44",IF(HR_Cleaned[[#This Row],[Age]]&lt;55,"45-54","55+"))))</f>
        <v>35-44</v>
      </c>
      <c r="AK128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88" t="str">
        <f>IF(HR_Cleaned[[#This Row],[MonthlyIncome]]&lt;3000,"Below 3000",IF(HR_Cleaned[[#This Row],[MonthlyIncome]]&lt;5000,"3000-4999",IF(HR_Cleaned[[#This Row],[MonthlyIncome]]&lt;8000,"5000-7999","8000+")))</f>
        <v>3000-4999</v>
      </c>
      <c r="AM1288">
        <f>IF(HR_Cleaned[[#This Row],[Attrition]]="Yes",1,0)</f>
        <v>0</v>
      </c>
    </row>
    <row r="1289" spans="1:39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>
        <f>IF(HR_Cleaned[[#This Row],[Age]]&lt;25,"18-24",IF(HR_Cleaned[[#This Row],[Age]]&lt;35,"25-34",IF(HR_Cleaned[[#This Row],[Age]]&lt;45,"35-44",IF(HR_Cleaned[[#This Row],[Age]]&lt;55,"45-54","55+"))))</f>
        <v>35-44</v>
      </c>
      <c r="AK128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89" t="str">
        <f>IF(HR_Cleaned[[#This Row],[MonthlyIncome]]&lt;3000,"Below 3000",IF(HR_Cleaned[[#This Row],[MonthlyIncome]]&lt;5000,"3000-4999",IF(HR_Cleaned[[#This Row],[MonthlyIncome]]&lt;8000,"5000-7999","8000+")))</f>
        <v>5000-7999</v>
      </c>
      <c r="AM1289">
        <f>IF(HR_Cleaned[[#This Row],[Attrition]]="Yes",1,0)</f>
        <v>0</v>
      </c>
    </row>
    <row r="1290" spans="1:39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>
        <f>IF(HR_Cleaned[[#This Row],[Age]]&lt;25,"18-24",IF(HR_Cleaned[[#This Row],[Age]]&lt;35,"25-34",IF(HR_Cleaned[[#This Row],[Age]]&lt;45,"35-44",IF(HR_Cleaned[[#This Row],[Age]]&lt;55,"45-54","55+"))))</f>
        <v>35-44</v>
      </c>
      <c r="AK129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90" t="str">
        <f>IF(HR_Cleaned[[#This Row],[MonthlyIncome]]&lt;3000,"Below 3000",IF(HR_Cleaned[[#This Row],[MonthlyIncome]]&lt;5000,"3000-4999",IF(HR_Cleaned[[#This Row],[MonthlyIncome]]&lt;8000,"5000-7999","8000+")))</f>
        <v>5000-7999</v>
      </c>
      <c r="AM1290">
        <f>IF(HR_Cleaned[[#This Row],[Attrition]]="Yes",1,0)</f>
        <v>0</v>
      </c>
    </row>
    <row r="1291" spans="1:39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>
        <f>IF(HR_Cleaned[[#This Row],[Age]]&lt;25,"18-24",IF(HR_Cleaned[[#This Row],[Age]]&lt;35,"25-34",IF(HR_Cleaned[[#This Row],[Age]]&lt;45,"35-44",IF(HR_Cleaned[[#This Row],[Age]]&lt;55,"45-54","55+"))))</f>
        <v>35-44</v>
      </c>
      <c r="AK1291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291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91">
        <f>IF(HR_Cleaned[[#This Row],[Attrition]]="Yes",1,0)</f>
        <v>0</v>
      </c>
    </row>
    <row r="1292" spans="1:39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>
        <f>IF(HR_Cleaned[[#This Row],[Age]]&lt;25,"18-24",IF(HR_Cleaned[[#This Row],[Age]]&lt;35,"25-34",IF(HR_Cleaned[[#This Row],[Age]]&lt;45,"35-44",IF(HR_Cleaned[[#This Row],[Age]]&lt;55,"45-54","55+"))))</f>
        <v>25-34</v>
      </c>
      <c r="AK129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92" t="str">
        <f>IF(HR_Cleaned[[#This Row],[MonthlyIncome]]&lt;3000,"Below 3000",IF(HR_Cleaned[[#This Row],[MonthlyIncome]]&lt;5000,"3000-4999",IF(HR_Cleaned[[#This Row],[MonthlyIncome]]&lt;8000,"5000-7999","8000+")))</f>
        <v>5000-7999</v>
      </c>
      <c r="AM1292">
        <f>IF(HR_Cleaned[[#This Row],[Attrition]]="Yes",1,0)</f>
        <v>1</v>
      </c>
    </row>
    <row r="1293" spans="1:39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>
        <f>IF(HR_Cleaned[[#This Row],[Age]]&lt;25,"18-24",IF(HR_Cleaned[[#This Row],[Age]]&lt;35,"25-34",IF(HR_Cleaned[[#This Row],[Age]]&lt;45,"35-44",IF(HR_Cleaned[[#This Row],[Age]]&lt;55,"45-54","55+"))))</f>
        <v>35-44</v>
      </c>
      <c r="AK129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93" t="str">
        <f>IF(HR_Cleaned[[#This Row],[MonthlyIncome]]&lt;3000,"Below 3000",IF(HR_Cleaned[[#This Row],[MonthlyIncome]]&lt;5000,"3000-4999",IF(HR_Cleaned[[#This Row],[MonthlyIncome]]&lt;8000,"5000-7999","8000+")))</f>
        <v>3000-4999</v>
      </c>
      <c r="AM1293">
        <f>IF(HR_Cleaned[[#This Row],[Attrition]]="Yes",1,0)</f>
        <v>1</v>
      </c>
    </row>
    <row r="1294" spans="1:39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>
        <f>IF(HR_Cleaned[[#This Row],[Age]]&lt;25,"18-24",IF(HR_Cleaned[[#This Row],[Age]]&lt;35,"25-34",IF(HR_Cleaned[[#This Row],[Age]]&lt;45,"35-44",IF(HR_Cleaned[[#This Row],[Age]]&lt;55,"45-54","55+"))))</f>
        <v>35-44</v>
      </c>
      <c r="AK129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294" t="str">
        <f>IF(HR_Cleaned[[#This Row],[MonthlyIncome]]&lt;3000,"Below 3000",IF(HR_Cleaned[[#This Row],[MonthlyIncome]]&lt;5000,"3000-4999",IF(HR_Cleaned[[#This Row],[MonthlyIncome]]&lt;8000,"5000-7999","8000+")))</f>
        <v>3000-4999</v>
      </c>
      <c r="AM1294">
        <f>IF(HR_Cleaned[[#This Row],[Attrition]]="Yes",1,0)</f>
        <v>0</v>
      </c>
    </row>
    <row r="1295" spans="1:39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>
        <f>IF(HR_Cleaned[[#This Row],[Age]]&lt;25,"18-24",IF(HR_Cleaned[[#This Row],[Age]]&lt;35,"25-34",IF(HR_Cleaned[[#This Row],[Age]]&lt;45,"35-44",IF(HR_Cleaned[[#This Row],[Age]]&lt;55,"45-54","55+"))))</f>
        <v>35-44</v>
      </c>
      <c r="AK129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95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95">
        <f>IF(HR_Cleaned[[#This Row],[Attrition]]="Yes",1,0)</f>
        <v>0</v>
      </c>
    </row>
    <row r="1296" spans="1:39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>
        <f>IF(HR_Cleaned[[#This Row],[Age]]&lt;25,"18-24",IF(HR_Cleaned[[#This Row],[Age]]&lt;35,"25-34",IF(HR_Cleaned[[#This Row],[Age]]&lt;45,"35-44",IF(HR_Cleaned[[#This Row],[Age]]&lt;55,"45-54","55+"))))</f>
        <v>35-44</v>
      </c>
      <c r="AK129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96" t="str">
        <f>IF(HR_Cleaned[[#This Row],[MonthlyIncome]]&lt;3000,"Below 3000",IF(HR_Cleaned[[#This Row],[MonthlyIncome]]&lt;5000,"3000-4999",IF(HR_Cleaned[[#This Row],[MonthlyIncome]]&lt;8000,"5000-7999","8000+")))</f>
        <v>5000-7999</v>
      </c>
      <c r="AM1296">
        <f>IF(HR_Cleaned[[#This Row],[Attrition]]="Yes",1,0)</f>
        <v>0</v>
      </c>
    </row>
    <row r="1297" spans="1:39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>
        <f>IF(HR_Cleaned[[#This Row],[Age]]&lt;25,"18-24",IF(HR_Cleaned[[#This Row],[Age]]&lt;35,"25-34",IF(HR_Cleaned[[#This Row],[Age]]&lt;45,"35-44",IF(HR_Cleaned[[#This Row],[Age]]&lt;55,"45-54","55+"))))</f>
        <v>35-44</v>
      </c>
      <c r="AK129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297" t="str">
        <f>IF(HR_Cleaned[[#This Row],[MonthlyIncome]]&lt;3000,"Below 3000",IF(HR_Cleaned[[#This Row],[MonthlyIncome]]&lt;5000,"3000-4999",IF(HR_Cleaned[[#This Row],[MonthlyIncome]]&lt;8000,"5000-7999","8000+")))</f>
        <v>8000+</v>
      </c>
      <c r="AM1297">
        <f>IF(HR_Cleaned[[#This Row],[Attrition]]="Yes",1,0)</f>
        <v>0</v>
      </c>
    </row>
    <row r="1298" spans="1:39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>
        <f>IF(HR_Cleaned[[#This Row],[Age]]&lt;25,"18-24",IF(HR_Cleaned[[#This Row],[Age]]&lt;35,"25-34",IF(HR_Cleaned[[#This Row],[Age]]&lt;45,"35-44",IF(HR_Cleaned[[#This Row],[Age]]&lt;55,"45-54","55+"))))</f>
        <v>25-34</v>
      </c>
      <c r="AK129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298" t="str">
        <f>IF(HR_Cleaned[[#This Row],[MonthlyIncome]]&lt;3000,"Below 3000",IF(HR_Cleaned[[#This Row],[MonthlyIncome]]&lt;5000,"3000-4999",IF(HR_Cleaned[[#This Row],[MonthlyIncome]]&lt;8000,"5000-7999","8000+")))</f>
        <v>8000+</v>
      </c>
      <c r="AM1298">
        <f>IF(HR_Cleaned[[#This Row],[Attrition]]="Yes",1,0)</f>
        <v>0</v>
      </c>
    </row>
    <row r="1299" spans="1:39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>
        <f>IF(HR_Cleaned[[#This Row],[Age]]&lt;25,"18-24",IF(HR_Cleaned[[#This Row],[Age]]&lt;35,"25-34",IF(HR_Cleaned[[#This Row],[Age]]&lt;45,"35-44",IF(HR_Cleaned[[#This Row],[Age]]&lt;55,"45-54","55+"))))</f>
        <v>25-34</v>
      </c>
      <c r="AK129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299" t="str">
        <f>IF(HR_Cleaned[[#This Row],[MonthlyIncome]]&lt;3000,"Below 3000",IF(HR_Cleaned[[#This Row],[MonthlyIncome]]&lt;5000,"3000-4999",IF(HR_Cleaned[[#This Row],[MonthlyIncome]]&lt;8000,"5000-7999","8000+")))</f>
        <v>Below 3000</v>
      </c>
      <c r="AM1299">
        <f>IF(HR_Cleaned[[#This Row],[Attrition]]="Yes",1,0)</f>
        <v>1</v>
      </c>
    </row>
    <row r="1300" spans="1:39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>
        <f>IF(HR_Cleaned[[#This Row],[Age]]&lt;25,"18-24",IF(HR_Cleaned[[#This Row],[Age]]&lt;35,"25-34",IF(HR_Cleaned[[#This Row],[Age]]&lt;45,"35-44",IF(HR_Cleaned[[#This Row],[Age]]&lt;55,"45-54","55+"))))</f>
        <v>45-54</v>
      </c>
      <c r="AK130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00" t="str">
        <f>IF(HR_Cleaned[[#This Row],[MonthlyIncome]]&lt;3000,"Below 3000",IF(HR_Cleaned[[#This Row],[MonthlyIncome]]&lt;5000,"3000-4999",IF(HR_Cleaned[[#This Row],[MonthlyIncome]]&lt;8000,"5000-7999","8000+")))</f>
        <v>8000+</v>
      </c>
      <c r="AM1300">
        <f>IF(HR_Cleaned[[#This Row],[Attrition]]="Yes",1,0)</f>
        <v>1</v>
      </c>
    </row>
    <row r="1301" spans="1:39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>
        <f>IF(HR_Cleaned[[#This Row],[Age]]&lt;25,"18-24",IF(HR_Cleaned[[#This Row],[Age]]&lt;35,"25-34",IF(HR_Cleaned[[#This Row],[Age]]&lt;45,"35-44",IF(HR_Cleaned[[#This Row],[Age]]&lt;55,"45-54","55+"))))</f>
        <v>35-44</v>
      </c>
      <c r="AK130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01" t="str">
        <f>IF(HR_Cleaned[[#This Row],[MonthlyIncome]]&lt;3000,"Below 3000",IF(HR_Cleaned[[#This Row],[MonthlyIncome]]&lt;5000,"3000-4999",IF(HR_Cleaned[[#This Row],[MonthlyIncome]]&lt;8000,"5000-7999","8000+")))</f>
        <v>5000-7999</v>
      </c>
      <c r="AM1301">
        <f>IF(HR_Cleaned[[#This Row],[Attrition]]="Yes",1,0)</f>
        <v>0</v>
      </c>
    </row>
    <row r="1302" spans="1:39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>
        <f>IF(HR_Cleaned[[#This Row],[Age]]&lt;25,"18-24",IF(HR_Cleaned[[#This Row],[Age]]&lt;35,"25-34",IF(HR_Cleaned[[#This Row],[Age]]&lt;45,"35-44",IF(HR_Cleaned[[#This Row],[Age]]&lt;55,"45-54","55+"))))</f>
        <v>25-34</v>
      </c>
      <c r="AK130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02" t="str">
        <f>IF(HR_Cleaned[[#This Row],[MonthlyIncome]]&lt;3000,"Below 3000",IF(HR_Cleaned[[#This Row],[MonthlyIncome]]&lt;5000,"3000-4999",IF(HR_Cleaned[[#This Row],[MonthlyIncome]]&lt;8000,"5000-7999","8000+")))</f>
        <v>5000-7999</v>
      </c>
      <c r="AM1302">
        <f>IF(HR_Cleaned[[#This Row],[Attrition]]="Yes",1,0)</f>
        <v>0</v>
      </c>
    </row>
    <row r="1303" spans="1:39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>
        <f>IF(HR_Cleaned[[#This Row],[Age]]&lt;25,"18-24",IF(HR_Cleaned[[#This Row],[Age]]&lt;35,"25-34",IF(HR_Cleaned[[#This Row],[Age]]&lt;45,"35-44",IF(HR_Cleaned[[#This Row],[Age]]&lt;55,"45-54","55+"))))</f>
        <v>55+</v>
      </c>
      <c r="AK130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303" t="str">
        <f>IF(HR_Cleaned[[#This Row],[MonthlyIncome]]&lt;3000,"Below 3000",IF(HR_Cleaned[[#This Row],[MonthlyIncome]]&lt;5000,"3000-4999",IF(HR_Cleaned[[#This Row],[MonthlyIncome]]&lt;8000,"5000-7999","8000+")))</f>
        <v>8000+</v>
      </c>
      <c r="AM1303">
        <f>IF(HR_Cleaned[[#This Row],[Attrition]]="Yes",1,0)</f>
        <v>0</v>
      </c>
    </row>
    <row r="1304" spans="1:39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>
        <f>IF(HR_Cleaned[[#This Row],[Age]]&lt;25,"18-24",IF(HR_Cleaned[[#This Row],[Age]]&lt;35,"25-34",IF(HR_Cleaned[[#This Row],[Age]]&lt;45,"35-44",IF(HR_Cleaned[[#This Row],[Age]]&lt;55,"45-54","55+"))))</f>
        <v>35-44</v>
      </c>
      <c r="AK130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04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04">
        <f>IF(HR_Cleaned[[#This Row],[Attrition]]="Yes",1,0)</f>
        <v>0</v>
      </c>
    </row>
    <row r="1305" spans="1:39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>
        <f>IF(HR_Cleaned[[#This Row],[Age]]&lt;25,"18-24",IF(HR_Cleaned[[#This Row],[Age]]&lt;35,"25-34",IF(HR_Cleaned[[#This Row],[Age]]&lt;45,"35-44",IF(HR_Cleaned[[#This Row],[Age]]&lt;55,"45-54","55+"))))</f>
        <v>45-54</v>
      </c>
      <c r="AK130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305" t="str">
        <f>IF(HR_Cleaned[[#This Row],[MonthlyIncome]]&lt;3000,"Below 3000",IF(HR_Cleaned[[#This Row],[MonthlyIncome]]&lt;5000,"3000-4999",IF(HR_Cleaned[[#This Row],[MonthlyIncome]]&lt;8000,"5000-7999","8000+")))</f>
        <v>8000+</v>
      </c>
      <c r="AM1305">
        <f>IF(HR_Cleaned[[#This Row],[Attrition]]="Yes",1,0)</f>
        <v>0</v>
      </c>
    </row>
    <row r="1306" spans="1:39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>
        <f>IF(HR_Cleaned[[#This Row],[Age]]&lt;25,"18-24",IF(HR_Cleaned[[#This Row],[Age]]&lt;35,"25-34",IF(HR_Cleaned[[#This Row],[Age]]&lt;45,"35-44",IF(HR_Cleaned[[#This Row],[Age]]&lt;55,"45-54","55+"))))</f>
        <v>35-44</v>
      </c>
      <c r="AK130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06" t="str">
        <f>IF(HR_Cleaned[[#This Row],[MonthlyIncome]]&lt;3000,"Below 3000",IF(HR_Cleaned[[#This Row],[MonthlyIncome]]&lt;5000,"3000-4999",IF(HR_Cleaned[[#This Row],[MonthlyIncome]]&lt;8000,"5000-7999","8000+")))</f>
        <v>3000-4999</v>
      </c>
      <c r="AM1306">
        <f>IF(HR_Cleaned[[#This Row],[Attrition]]="Yes",1,0)</f>
        <v>0</v>
      </c>
    </row>
    <row r="1307" spans="1:39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>
        <f>IF(HR_Cleaned[[#This Row],[Age]]&lt;25,"18-24",IF(HR_Cleaned[[#This Row],[Age]]&lt;35,"25-34",IF(HR_Cleaned[[#This Row],[Age]]&lt;45,"35-44",IF(HR_Cleaned[[#This Row],[Age]]&lt;55,"45-54","55+"))))</f>
        <v>45-54</v>
      </c>
      <c r="AK130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07" t="str">
        <f>IF(HR_Cleaned[[#This Row],[MonthlyIncome]]&lt;3000,"Below 3000",IF(HR_Cleaned[[#This Row],[MonthlyIncome]]&lt;5000,"3000-4999",IF(HR_Cleaned[[#This Row],[MonthlyIncome]]&lt;8000,"5000-7999","8000+")))</f>
        <v>5000-7999</v>
      </c>
      <c r="AM1307">
        <f>IF(HR_Cleaned[[#This Row],[Attrition]]="Yes",1,0)</f>
        <v>0</v>
      </c>
    </row>
    <row r="1308" spans="1:39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>
        <f>IF(HR_Cleaned[[#This Row],[Age]]&lt;25,"18-24",IF(HR_Cleaned[[#This Row],[Age]]&lt;35,"25-34",IF(HR_Cleaned[[#This Row],[Age]]&lt;45,"35-44",IF(HR_Cleaned[[#This Row],[Age]]&lt;55,"45-54","55+"))))</f>
        <v>25-34</v>
      </c>
      <c r="AK130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08" t="str">
        <f>IF(HR_Cleaned[[#This Row],[MonthlyIncome]]&lt;3000,"Below 3000",IF(HR_Cleaned[[#This Row],[MonthlyIncome]]&lt;5000,"3000-4999",IF(HR_Cleaned[[#This Row],[MonthlyIncome]]&lt;8000,"5000-7999","8000+")))</f>
        <v>8000+</v>
      </c>
      <c r="AM1308">
        <f>IF(HR_Cleaned[[#This Row],[Attrition]]="Yes",1,0)</f>
        <v>0</v>
      </c>
    </row>
    <row r="1309" spans="1:39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>
        <f>IF(HR_Cleaned[[#This Row],[Age]]&lt;25,"18-24",IF(HR_Cleaned[[#This Row],[Age]]&lt;35,"25-34",IF(HR_Cleaned[[#This Row],[Age]]&lt;45,"35-44",IF(HR_Cleaned[[#This Row],[Age]]&lt;55,"45-54","55+"))))</f>
        <v>25-34</v>
      </c>
      <c r="AK130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09" t="str">
        <f>IF(HR_Cleaned[[#This Row],[MonthlyIncome]]&lt;3000,"Below 3000",IF(HR_Cleaned[[#This Row],[MonthlyIncome]]&lt;5000,"3000-4999",IF(HR_Cleaned[[#This Row],[MonthlyIncome]]&lt;8000,"5000-7999","8000+")))</f>
        <v>3000-4999</v>
      </c>
      <c r="AM1309">
        <f>IF(HR_Cleaned[[#This Row],[Attrition]]="Yes",1,0)</f>
        <v>0</v>
      </c>
    </row>
    <row r="1310" spans="1:39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>
        <f>IF(HR_Cleaned[[#This Row],[Age]]&lt;25,"18-24",IF(HR_Cleaned[[#This Row],[Age]]&lt;35,"25-34",IF(HR_Cleaned[[#This Row],[Age]]&lt;45,"35-44",IF(HR_Cleaned[[#This Row],[Age]]&lt;55,"45-54","55+"))))</f>
        <v>35-44</v>
      </c>
      <c r="AK131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10" t="str">
        <f>IF(HR_Cleaned[[#This Row],[MonthlyIncome]]&lt;3000,"Below 3000",IF(HR_Cleaned[[#This Row],[MonthlyIncome]]&lt;5000,"3000-4999",IF(HR_Cleaned[[#This Row],[MonthlyIncome]]&lt;8000,"5000-7999","8000+")))</f>
        <v>5000-7999</v>
      </c>
      <c r="AM1310">
        <f>IF(HR_Cleaned[[#This Row],[Attrition]]="Yes",1,0)</f>
        <v>0</v>
      </c>
    </row>
    <row r="1311" spans="1:39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>
        <f>IF(HR_Cleaned[[#This Row],[Age]]&lt;25,"18-24",IF(HR_Cleaned[[#This Row],[Age]]&lt;35,"25-34",IF(HR_Cleaned[[#This Row],[Age]]&lt;45,"35-44",IF(HR_Cleaned[[#This Row],[Age]]&lt;55,"45-54","55+"))))</f>
        <v>25-34</v>
      </c>
      <c r="AK131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11" t="str">
        <f>IF(HR_Cleaned[[#This Row],[MonthlyIncome]]&lt;3000,"Below 3000",IF(HR_Cleaned[[#This Row],[MonthlyIncome]]&lt;5000,"3000-4999",IF(HR_Cleaned[[#This Row],[MonthlyIncome]]&lt;8000,"5000-7999","8000+")))</f>
        <v>3000-4999</v>
      </c>
      <c r="AM1311">
        <f>IF(HR_Cleaned[[#This Row],[Attrition]]="Yes",1,0)</f>
        <v>0</v>
      </c>
    </row>
    <row r="1312" spans="1:39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>
        <f>IF(HR_Cleaned[[#This Row],[Age]]&lt;25,"18-24",IF(HR_Cleaned[[#This Row],[Age]]&lt;35,"25-34",IF(HR_Cleaned[[#This Row],[Age]]&lt;45,"35-44",IF(HR_Cleaned[[#This Row],[Age]]&lt;55,"45-54","55+"))))</f>
        <v>55+</v>
      </c>
      <c r="AK131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12" t="str">
        <f>IF(HR_Cleaned[[#This Row],[MonthlyIncome]]&lt;3000,"Below 3000",IF(HR_Cleaned[[#This Row],[MonthlyIncome]]&lt;5000,"3000-4999",IF(HR_Cleaned[[#This Row],[MonthlyIncome]]&lt;8000,"5000-7999","8000+")))</f>
        <v>8000+</v>
      </c>
      <c r="AM1312">
        <f>IF(HR_Cleaned[[#This Row],[Attrition]]="Yes",1,0)</f>
        <v>0</v>
      </c>
    </row>
    <row r="1313" spans="1:39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>
        <f>IF(HR_Cleaned[[#This Row],[Age]]&lt;25,"18-24",IF(HR_Cleaned[[#This Row],[Age]]&lt;35,"25-34",IF(HR_Cleaned[[#This Row],[Age]]&lt;45,"35-44",IF(HR_Cleaned[[#This Row],[Age]]&lt;55,"45-54","55+"))))</f>
        <v>18-24</v>
      </c>
      <c r="AK131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13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13">
        <f>IF(HR_Cleaned[[#This Row],[Attrition]]="Yes",1,0)</f>
        <v>0</v>
      </c>
    </row>
    <row r="1314" spans="1:39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>
        <f>IF(HR_Cleaned[[#This Row],[Age]]&lt;25,"18-24",IF(HR_Cleaned[[#This Row],[Age]]&lt;35,"25-34",IF(HR_Cleaned[[#This Row],[Age]]&lt;45,"35-44",IF(HR_Cleaned[[#This Row],[Age]]&lt;55,"45-54","55+"))))</f>
        <v>25-34</v>
      </c>
      <c r="AK131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14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14">
        <f>IF(HR_Cleaned[[#This Row],[Attrition]]="Yes",1,0)</f>
        <v>1</v>
      </c>
    </row>
    <row r="1315" spans="1:39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>
        <f>IF(HR_Cleaned[[#This Row],[Age]]&lt;25,"18-24",IF(HR_Cleaned[[#This Row],[Age]]&lt;35,"25-34",IF(HR_Cleaned[[#This Row],[Age]]&lt;45,"35-44",IF(HR_Cleaned[[#This Row],[Age]]&lt;55,"45-54","55+"))))</f>
        <v>25-34</v>
      </c>
      <c r="AK1315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15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15">
        <f>IF(HR_Cleaned[[#This Row],[Attrition]]="Yes",1,0)</f>
        <v>1</v>
      </c>
    </row>
    <row r="1316" spans="1:39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>
        <f>IF(HR_Cleaned[[#This Row],[Age]]&lt;25,"18-24",IF(HR_Cleaned[[#This Row],[Age]]&lt;35,"25-34",IF(HR_Cleaned[[#This Row],[Age]]&lt;45,"35-44",IF(HR_Cleaned[[#This Row],[Age]]&lt;55,"45-54","55+"))))</f>
        <v>45-54</v>
      </c>
      <c r="AK131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16" t="str">
        <f>IF(HR_Cleaned[[#This Row],[MonthlyIncome]]&lt;3000,"Below 3000",IF(HR_Cleaned[[#This Row],[MonthlyIncome]]&lt;5000,"3000-4999",IF(HR_Cleaned[[#This Row],[MonthlyIncome]]&lt;8000,"5000-7999","8000+")))</f>
        <v>5000-7999</v>
      </c>
      <c r="AM1316">
        <f>IF(HR_Cleaned[[#This Row],[Attrition]]="Yes",1,0)</f>
        <v>0</v>
      </c>
    </row>
    <row r="1317" spans="1:39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>
        <f>IF(HR_Cleaned[[#This Row],[Age]]&lt;25,"18-24",IF(HR_Cleaned[[#This Row],[Age]]&lt;35,"25-34",IF(HR_Cleaned[[#This Row],[Age]]&lt;45,"35-44",IF(HR_Cleaned[[#This Row],[Age]]&lt;55,"45-54","55+"))))</f>
        <v>35-44</v>
      </c>
      <c r="AK131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17" t="str">
        <f>IF(HR_Cleaned[[#This Row],[MonthlyIncome]]&lt;3000,"Below 3000",IF(HR_Cleaned[[#This Row],[MonthlyIncome]]&lt;5000,"3000-4999",IF(HR_Cleaned[[#This Row],[MonthlyIncome]]&lt;8000,"5000-7999","8000+")))</f>
        <v>5000-7999</v>
      </c>
      <c r="AM1317">
        <f>IF(HR_Cleaned[[#This Row],[Attrition]]="Yes",1,0)</f>
        <v>0</v>
      </c>
    </row>
    <row r="1318" spans="1:39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>
        <f>IF(HR_Cleaned[[#This Row],[Age]]&lt;25,"18-24",IF(HR_Cleaned[[#This Row],[Age]]&lt;35,"25-34",IF(HR_Cleaned[[#This Row],[Age]]&lt;45,"35-44",IF(HR_Cleaned[[#This Row],[Age]]&lt;55,"45-54","55+"))))</f>
        <v>35-44</v>
      </c>
      <c r="AK131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18" t="str">
        <f>IF(HR_Cleaned[[#This Row],[MonthlyIncome]]&lt;3000,"Below 3000",IF(HR_Cleaned[[#This Row],[MonthlyIncome]]&lt;5000,"3000-4999",IF(HR_Cleaned[[#This Row],[MonthlyIncome]]&lt;8000,"5000-7999","8000+")))</f>
        <v>5000-7999</v>
      </c>
      <c r="AM1318">
        <f>IF(HR_Cleaned[[#This Row],[Attrition]]="Yes",1,0)</f>
        <v>0</v>
      </c>
    </row>
    <row r="1319" spans="1:39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>
        <f>IF(HR_Cleaned[[#This Row],[Age]]&lt;25,"18-24",IF(HR_Cleaned[[#This Row],[Age]]&lt;35,"25-34",IF(HR_Cleaned[[#This Row],[Age]]&lt;45,"35-44",IF(HR_Cleaned[[#This Row],[Age]]&lt;55,"45-54","55+"))))</f>
        <v>25-34</v>
      </c>
      <c r="AK131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19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19">
        <f>IF(HR_Cleaned[[#This Row],[Attrition]]="Yes",1,0)</f>
        <v>0</v>
      </c>
    </row>
    <row r="1320" spans="1:39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>
        <f>IF(HR_Cleaned[[#This Row],[Age]]&lt;25,"18-24",IF(HR_Cleaned[[#This Row],[Age]]&lt;35,"25-34",IF(HR_Cleaned[[#This Row],[Age]]&lt;45,"35-44",IF(HR_Cleaned[[#This Row],[Age]]&lt;55,"45-54","55+"))))</f>
        <v>25-34</v>
      </c>
      <c r="AK132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320" t="str">
        <f>IF(HR_Cleaned[[#This Row],[MonthlyIncome]]&lt;3000,"Below 3000",IF(HR_Cleaned[[#This Row],[MonthlyIncome]]&lt;5000,"3000-4999",IF(HR_Cleaned[[#This Row],[MonthlyIncome]]&lt;8000,"5000-7999","8000+")))</f>
        <v>3000-4999</v>
      </c>
      <c r="AM1320">
        <f>IF(HR_Cleaned[[#This Row],[Attrition]]="Yes",1,0)</f>
        <v>0</v>
      </c>
    </row>
    <row r="1321" spans="1:39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>
        <f>IF(HR_Cleaned[[#This Row],[Age]]&lt;25,"18-24",IF(HR_Cleaned[[#This Row],[Age]]&lt;35,"25-34",IF(HR_Cleaned[[#This Row],[Age]]&lt;45,"35-44",IF(HR_Cleaned[[#This Row],[Age]]&lt;55,"45-54","55+"))))</f>
        <v>25-34</v>
      </c>
      <c r="AK132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21" t="str">
        <f>IF(HR_Cleaned[[#This Row],[MonthlyIncome]]&lt;3000,"Below 3000",IF(HR_Cleaned[[#This Row],[MonthlyIncome]]&lt;5000,"3000-4999",IF(HR_Cleaned[[#This Row],[MonthlyIncome]]&lt;8000,"5000-7999","8000+")))</f>
        <v>3000-4999</v>
      </c>
      <c r="AM1321">
        <f>IF(HR_Cleaned[[#This Row],[Attrition]]="Yes",1,0)</f>
        <v>0</v>
      </c>
    </row>
    <row r="1322" spans="1:39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>
        <f>IF(HR_Cleaned[[#This Row],[Age]]&lt;25,"18-24",IF(HR_Cleaned[[#This Row],[Age]]&lt;35,"25-34",IF(HR_Cleaned[[#This Row],[Age]]&lt;45,"35-44",IF(HR_Cleaned[[#This Row],[Age]]&lt;55,"45-54","55+"))))</f>
        <v>35-44</v>
      </c>
      <c r="AK132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22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22">
        <f>IF(HR_Cleaned[[#This Row],[Attrition]]="Yes",1,0)</f>
        <v>0</v>
      </c>
    </row>
    <row r="1323" spans="1:39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>
        <f>IF(HR_Cleaned[[#This Row],[Age]]&lt;25,"18-24",IF(HR_Cleaned[[#This Row],[Age]]&lt;35,"25-34",IF(HR_Cleaned[[#This Row],[Age]]&lt;45,"35-44",IF(HR_Cleaned[[#This Row],[Age]]&lt;55,"45-54","55+"))))</f>
        <v>45-54</v>
      </c>
      <c r="AK132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23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23">
        <f>IF(HR_Cleaned[[#This Row],[Attrition]]="Yes",1,0)</f>
        <v>0</v>
      </c>
    </row>
    <row r="1324" spans="1:39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>
        <f>IF(HR_Cleaned[[#This Row],[Age]]&lt;25,"18-24",IF(HR_Cleaned[[#This Row],[Age]]&lt;35,"25-34",IF(HR_Cleaned[[#This Row],[Age]]&lt;45,"35-44",IF(HR_Cleaned[[#This Row],[Age]]&lt;55,"45-54","55+"))))</f>
        <v>45-54</v>
      </c>
      <c r="AK132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24" t="str">
        <f>IF(HR_Cleaned[[#This Row],[MonthlyIncome]]&lt;3000,"Below 3000",IF(HR_Cleaned[[#This Row],[MonthlyIncome]]&lt;5000,"3000-4999",IF(HR_Cleaned[[#This Row],[MonthlyIncome]]&lt;8000,"5000-7999","8000+")))</f>
        <v>8000+</v>
      </c>
      <c r="AM1324">
        <f>IF(HR_Cleaned[[#This Row],[Attrition]]="Yes",1,0)</f>
        <v>0</v>
      </c>
    </row>
    <row r="1325" spans="1:39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>
        <f>IF(HR_Cleaned[[#This Row],[Age]]&lt;25,"18-24",IF(HR_Cleaned[[#This Row],[Age]]&lt;35,"25-34",IF(HR_Cleaned[[#This Row],[Age]]&lt;45,"35-44",IF(HR_Cleaned[[#This Row],[Age]]&lt;55,"45-54","55+"))))</f>
        <v>25-34</v>
      </c>
      <c r="AK132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25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25">
        <f>IF(HR_Cleaned[[#This Row],[Attrition]]="Yes",1,0)</f>
        <v>0</v>
      </c>
    </row>
    <row r="1326" spans="1:39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>
        <f>IF(HR_Cleaned[[#This Row],[Age]]&lt;25,"18-24",IF(HR_Cleaned[[#This Row],[Age]]&lt;35,"25-34",IF(HR_Cleaned[[#This Row],[Age]]&lt;45,"35-44",IF(HR_Cleaned[[#This Row],[Age]]&lt;55,"45-54","55+"))))</f>
        <v>25-34</v>
      </c>
      <c r="AK132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26" t="str">
        <f>IF(HR_Cleaned[[#This Row],[MonthlyIncome]]&lt;3000,"Below 3000",IF(HR_Cleaned[[#This Row],[MonthlyIncome]]&lt;5000,"3000-4999",IF(HR_Cleaned[[#This Row],[MonthlyIncome]]&lt;8000,"5000-7999","8000+")))</f>
        <v>5000-7999</v>
      </c>
      <c r="AM1326">
        <f>IF(HR_Cleaned[[#This Row],[Attrition]]="Yes",1,0)</f>
        <v>0</v>
      </c>
    </row>
    <row r="1327" spans="1:39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>
        <f>IF(HR_Cleaned[[#This Row],[Age]]&lt;25,"18-24",IF(HR_Cleaned[[#This Row],[Age]]&lt;35,"25-34",IF(HR_Cleaned[[#This Row],[Age]]&lt;45,"35-44",IF(HR_Cleaned[[#This Row],[Age]]&lt;55,"45-54","55+"))))</f>
        <v>35-44</v>
      </c>
      <c r="AK132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27" t="str">
        <f>IF(HR_Cleaned[[#This Row],[MonthlyIncome]]&lt;3000,"Below 3000",IF(HR_Cleaned[[#This Row],[MonthlyIncome]]&lt;5000,"3000-4999",IF(HR_Cleaned[[#This Row],[MonthlyIncome]]&lt;8000,"5000-7999","8000+")))</f>
        <v>3000-4999</v>
      </c>
      <c r="AM1327">
        <f>IF(HR_Cleaned[[#This Row],[Attrition]]="Yes",1,0)</f>
        <v>0</v>
      </c>
    </row>
    <row r="1328" spans="1:39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>
        <f>IF(HR_Cleaned[[#This Row],[Age]]&lt;25,"18-24",IF(HR_Cleaned[[#This Row],[Age]]&lt;35,"25-34",IF(HR_Cleaned[[#This Row],[Age]]&lt;45,"35-44",IF(HR_Cleaned[[#This Row],[Age]]&lt;55,"45-54","55+"))))</f>
        <v>25-34</v>
      </c>
      <c r="AK132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28" t="str">
        <f>IF(HR_Cleaned[[#This Row],[MonthlyIncome]]&lt;3000,"Below 3000",IF(HR_Cleaned[[#This Row],[MonthlyIncome]]&lt;5000,"3000-4999",IF(HR_Cleaned[[#This Row],[MonthlyIncome]]&lt;8000,"5000-7999","8000+")))</f>
        <v>8000+</v>
      </c>
      <c r="AM1328">
        <f>IF(HR_Cleaned[[#This Row],[Attrition]]="Yes",1,0)</f>
        <v>1</v>
      </c>
    </row>
    <row r="1329" spans="1:39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>
        <f>IF(HR_Cleaned[[#This Row],[Age]]&lt;25,"18-24",IF(HR_Cleaned[[#This Row],[Age]]&lt;35,"25-34",IF(HR_Cleaned[[#This Row],[Age]]&lt;45,"35-44",IF(HR_Cleaned[[#This Row],[Age]]&lt;55,"45-54","55+"))))</f>
        <v>45-54</v>
      </c>
      <c r="AK132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329" t="str">
        <f>IF(HR_Cleaned[[#This Row],[MonthlyIncome]]&lt;3000,"Below 3000",IF(HR_Cleaned[[#This Row],[MonthlyIncome]]&lt;5000,"3000-4999",IF(HR_Cleaned[[#This Row],[MonthlyIncome]]&lt;8000,"5000-7999","8000+")))</f>
        <v>8000+</v>
      </c>
      <c r="AM1329">
        <f>IF(HR_Cleaned[[#This Row],[Attrition]]="Yes",1,0)</f>
        <v>0</v>
      </c>
    </row>
    <row r="1330" spans="1:39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>
        <f>IF(HR_Cleaned[[#This Row],[Age]]&lt;25,"18-24",IF(HR_Cleaned[[#This Row],[Age]]&lt;35,"25-34",IF(HR_Cleaned[[#This Row],[Age]]&lt;45,"35-44",IF(HR_Cleaned[[#This Row],[Age]]&lt;55,"45-54","55+"))))</f>
        <v>25-34</v>
      </c>
      <c r="AK133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30" t="str">
        <f>IF(HR_Cleaned[[#This Row],[MonthlyIncome]]&lt;3000,"Below 3000",IF(HR_Cleaned[[#This Row],[MonthlyIncome]]&lt;5000,"3000-4999",IF(HR_Cleaned[[#This Row],[MonthlyIncome]]&lt;8000,"5000-7999","8000+")))</f>
        <v>3000-4999</v>
      </c>
      <c r="AM1330">
        <f>IF(HR_Cleaned[[#This Row],[Attrition]]="Yes",1,0)</f>
        <v>0</v>
      </c>
    </row>
    <row r="1331" spans="1:39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>
        <f>IF(HR_Cleaned[[#This Row],[Age]]&lt;25,"18-24",IF(HR_Cleaned[[#This Row],[Age]]&lt;35,"25-34",IF(HR_Cleaned[[#This Row],[Age]]&lt;45,"35-44",IF(HR_Cleaned[[#This Row],[Age]]&lt;55,"45-54","55+"))))</f>
        <v>25-34</v>
      </c>
      <c r="AK133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31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31">
        <f>IF(HR_Cleaned[[#This Row],[Attrition]]="Yes",1,0)</f>
        <v>0</v>
      </c>
    </row>
    <row r="1332" spans="1:39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>
        <f>IF(HR_Cleaned[[#This Row],[Age]]&lt;25,"18-24",IF(HR_Cleaned[[#This Row],[Age]]&lt;35,"25-34",IF(HR_Cleaned[[#This Row],[Age]]&lt;45,"35-44",IF(HR_Cleaned[[#This Row],[Age]]&lt;55,"45-54","55+"))))</f>
        <v>35-44</v>
      </c>
      <c r="AK133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332" t="str">
        <f>IF(HR_Cleaned[[#This Row],[MonthlyIncome]]&lt;3000,"Below 3000",IF(HR_Cleaned[[#This Row],[MonthlyIncome]]&lt;5000,"3000-4999",IF(HR_Cleaned[[#This Row],[MonthlyIncome]]&lt;8000,"5000-7999","8000+")))</f>
        <v>8000+</v>
      </c>
      <c r="AM1332">
        <f>IF(HR_Cleaned[[#This Row],[Attrition]]="Yes",1,0)</f>
        <v>0</v>
      </c>
    </row>
    <row r="1333" spans="1:39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>
        <f>IF(HR_Cleaned[[#This Row],[Age]]&lt;25,"18-24",IF(HR_Cleaned[[#This Row],[Age]]&lt;35,"25-34",IF(HR_Cleaned[[#This Row],[Age]]&lt;45,"35-44",IF(HR_Cleaned[[#This Row],[Age]]&lt;55,"45-54","55+"))))</f>
        <v>45-54</v>
      </c>
      <c r="AK133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333" t="str">
        <f>IF(HR_Cleaned[[#This Row],[MonthlyIncome]]&lt;3000,"Below 3000",IF(HR_Cleaned[[#This Row],[MonthlyIncome]]&lt;5000,"3000-4999",IF(HR_Cleaned[[#This Row],[MonthlyIncome]]&lt;8000,"5000-7999","8000+")))</f>
        <v>8000+</v>
      </c>
      <c r="AM1333">
        <f>IF(HR_Cleaned[[#This Row],[Attrition]]="Yes",1,0)</f>
        <v>0</v>
      </c>
    </row>
    <row r="1334" spans="1:39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>
        <f>IF(HR_Cleaned[[#This Row],[Age]]&lt;25,"18-24",IF(HR_Cleaned[[#This Row],[Age]]&lt;35,"25-34",IF(HR_Cleaned[[#This Row],[Age]]&lt;45,"35-44",IF(HR_Cleaned[[#This Row],[Age]]&lt;55,"45-54","55+"))))</f>
        <v>25-34</v>
      </c>
      <c r="AK133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34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34">
        <f>IF(HR_Cleaned[[#This Row],[Attrition]]="Yes",1,0)</f>
        <v>1</v>
      </c>
    </row>
    <row r="1335" spans="1:39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>
        <f>IF(HR_Cleaned[[#This Row],[Age]]&lt;25,"18-24",IF(HR_Cleaned[[#This Row],[Age]]&lt;35,"25-34",IF(HR_Cleaned[[#This Row],[Age]]&lt;45,"35-44",IF(HR_Cleaned[[#This Row],[Age]]&lt;55,"45-54","55+"))))</f>
        <v>45-54</v>
      </c>
      <c r="AK133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35" t="str">
        <f>IF(HR_Cleaned[[#This Row],[MonthlyIncome]]&lt;3000,"Below 3000",IF(HR_Cleaned[[#This Row],[MonthlyIncome]]&lt;5000,"3000-4999",IF(HR_Cleaned[[#This Row],[MonthlyIncome]]&lt;8000,"5000-7999","8000+")))</f>
        <v>5000-7999</v>
      </c>
      <c r="AM1335">
        <f>IF(HR_Cleaned[[#This Row],[Attrition]]="Yes",1,0)</f>
        <v>1</v>
      </c>
    </row>
    <row r="1336" spans="1:39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>
        <f>IF(HR_Cleaned[[#This Row],[Age]]&lt;25,"18-24",IF(HR_Cleaned[[#This Row],[Age]]&lt;35,"25-34",IF(HR_Cleaned[[#This Row],[Age]]&lt;45,"35-44",IF(HR_Cleaned[[#This Row],[Age]]&lt;55,"45-54","55+"))))</f>
        <v>25-34</v>
      </c>
      <c r="AK133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36" t="str">
        <f>IF(HR_Cleaned[[#This Row],[MonthlyIncome]]&lt;3000,"Below 3000",IF(HR_Cleaned[[#This Row],[MonthlyIncome]]&lt;5000,"3000-4999",IF(HR_Cleaned[[#This Row],[MonthlyIncome]]&lt;8000,"5000-7999","8000+")))</f>
        <v>3000-4999</v>
      </c>
      <c r="AM1336">
        <f>IF(HR_Cleaned[[#This Row],[Attrition]]="Yes",1,0)</f>
        <v>0</v>
      </c>
    </row>
    <row r="1337" spans="1:39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>
        <f>IF(HR_Cleaned[[#This Row],[Age]]&lt;25,"18-24",IF(HR_Cleaned[[#This Row],[Age]]&lt;35,"25-34",IF(HR_Cleaned[[#This Row],[Age]]&lt;45,"35-44",IF(HR_Cleaned[[#This Row],[Age]]&lt;55,"45-54","55+"))))</f>
        <v>35-44</v>
      </c>
      <c r="AK133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37" t="str">
        <f>IF(HR_Cleaned[[#This Row],[MonthlyIncome]]&lt;3000,"Below 3000",IF(HR_Cleaned[[#This Row],[MonthlyIncome]]&lt;5000,"3000-4999",IF(HR_Cleaned[[#This Row],[MonthlyIncome]]&lt;8000,"5000-7999","8000+")))</f>
        <v>3000-4999</v>
      </c>
      <c r="AM1337">
        <f>IF(HR_Cleaned[[#This Row],[Attrition]]="Yes",1,0)</f>
        <v>0</v>
      </c>
    </row>
    <row r="1338" spans="1:39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>
        <f>IF(HR_Cleaned[[#This Row],[Age]]&lt;25,"18-24",IF(HR_Cleaned[[#This Row],[Age]]&lt;35,"25-34",IF(HR_Cleaned[[#This Row],[Age]]&lt;45,"35-44",IF(HR_Cleaned[[#This Row],[Age]]&lt;55,"45-54","55+"))))</f>
        <v>55+</v>
      </c>
      <c r="AK133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38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38">
        <f>IF(HR_Cleaned[[#This Row],[Attrition]]="Yes",1,0)</f>
        <v>0</v>
      </c>
    </row>
    <row r="1339" spans="1:39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>
        <f>IF(HR_Cleaned[[#This Row],[Age]]&lt;25,"18-24",IF(HR_Cleaned[[#This Row],[Age]]&lt;35,"25-34",IF(HR_Cleaned[[#This Row],[Age]]&lt;45,"35-44",IF(HR_Cleaned[[#This Row],[Age]]&lt;55,"45-54","55+"))))</f>
        <v>25-34</v>
      </c>
      <c r="AK133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39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39">
        <f>IF(HR_Cleaned[[#This Row],[Attrition]]="Yes",1,0)</f>
        <v>0</v>
      </c>
    </row>
    <row r="1340" spans="1:39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>
        <f>IF(HR_Cleaned[[#This Row],[Age]]&lt;25,"18-24",IF(HR_Cleaned[[#This Row],[Age]]&lt;35,"25-34",IF(HR_Cleaned[[#This Row],[Age]]&lt;45,"35-44",IF(HR_Cleaned[[#This Row],[Age]]&lt;55,"45-54","55+"))))</f>
        <v>25-34</v>
      </c>
      <c r="AK134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40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40">
        <f>IF(HR_Cleaned[[#This Row],[Attrition]]="Yes",1,0)</f>
        <v>1</v>
      </c>
    </row>
    <row r="1341" spans="1:39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>
        <f>IF(HR_Cleaned[[#This Row],[Age]]&lt;25,"18-24",IF(HR_Cleaned[[#This Row],[Age]]&lt;35,"25-34",IF(HR_Cleaned[[#This Row],[Age]]&lt;45,"35-44",IF(HR_Cleaned[[#This Row],[Age]]&lt;55,"45-54","55+"))))</f>
        <v>18-24</v>
      </c>
      <c r="AK134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41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41">
        <f>IF(HR_Cleaned[[#This Row],[Attrition]]="Yes",1,0)</f>
        <v>1</v>
      </c>
    </row>
    <row r="1342" spans="1:39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>
        <f>IF(HR_Cleaned[[#This Row],[Age]]&lt;25,"18-24",IF(HR_Cleaned[[#This Row],[Age]]&lt;35,"25-34",IF(HR_Cleaned[[#This Row],[Age]]&lt;45,"35-44",IF(HR_Cleaned[[#This Row],[Age]]&lt;55,"45-54","55+"))))</f>
        <v>35-44</v>
      </c>
      <c r="AK134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42" t="str">
        <f>IF(HR_Cleaned[[#This Row],[MonthlyIncome]]&lt;3000,"Below 3000",IF(HR_Cleaned[[#This Row],[MonthlyIncome]]&lt;5000,"3000-4999",IF(HR_Cleaned[[#This Row],[MonthlyIncome]]&lt;8000,"5000-7999","8000+")))</f>
        <v>5000-7999</v>
      </c>
      <c r="AM1342">
        <f>IF(HR_Cleaned[[#This Row],[Attrition]]="Yes",1,0)</f>
        <v>0</v>
      </c>
    </row>
    <row r="1343" spans="1:39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>
        <f>IF(HR_Cleaned[[#This Row],[Age]]&lt;25,"18-24",IF(HR_Cleaned[[#This Row],[Age]]&lt;35,"25-34",IF(HR_Cleaned[[#This Row],[Age]]&lt;45,"35-44",IF(HR_Cleaned[[#This Row],[Age]]&lt;55,"45-54","55+"))))</f>
        <v>25-34</v>
      </c>
      <c r="AK134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43" t="str">
        <f>IF(HR_Cleaned[[#This Row],[MonthlyIncome]]&lt;3000,"Below 3000",IF(HR_Cleaned[[#This Row],[MonthlyIncome]]&lt;5000,"3000-4999",IF(HR_Cleaned[[#This Row],[MonthlyIncome]]&lt;8000,"5000-7999","8000+")))</f>
        <v>3000-4999</v>
      </c>
      <c r="AM1343">
        <f>IF(HR_Cleaned[[#This Row],[Attrition]]="Yes",1,0)</f>
        <v>0</v>
      </c>
    </row>
    <row r="1344" spans="1:39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>
        <f>IF(HR_Cleaned[[#This Row],[Age]]&lt;25,"18-24",IF(HR_Cleaned[[#This Row],[Age]]&lt;35,"25-34",IF(HR_Cleaned[[#This Row],[Age]]&lt;45,"35-44",IF(HR_Cleaned[[#This Row],[Age]]&lt;55,"45-54","55+"))))</f>
        <v>25-34</v>
      </c>
      <c r="AK134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44" t="str">
        <f>IF(HR_Cleaned[[#This Row],[MonthlyIncome]]&lt;3000,"Below 3000",IF(HR_Cleaned[[#This Row],[MonthlyIncome]]&lt;5000,"3000-4999",IF(HR_Cleaned[[#This Row],[MonthlyIncome]]&lt;8000,"5000-7999","8000+")))</f>
        <v>8000+</v>
      </c>
      <c r="AM1344">
        <f>IF(HR_Cleaned[[#This Row],[Attrition]]="Yes",1,0)</f>
        <v>0</v>
      </c>
    </row>
    <row r="1345" spans="1:39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>
        <f>IF(HR_Cleaned[[#This Row],[Age]]&lt;25,"18-24",IF(HR_Cleaned[[#This Row],[Age]]&lt;35,"25-34",IF(HR_Cleaned[[#This Row],[Age]]&lt;45,"35-44",IF(HR_Cleaned[[#This Row],[Age]]&lt;55,"45-54","55+"))))</f>
        <v>25-34</v>
      </c>
      <c r="AK134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45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45">
        <f>IF(HR_Cleaned[[#This Row],[Attrition]]="Yes",1,0)</f>
        <v>0</v>
      </c>
    </row>
    <row r="1346" spans="1:39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>
        <f>IF(HR_Cleaned[[#This Row],[Age]]&lt;25,"18-24",IF(HR_Cleaned[[#This Row],[Age]]&lt;35,"25-34",IF(HR_Cleaned[[#This Row],[Age]]&lt;45,"35-44",IF(HR_Cleaned[[#This Row],[Age]]&lt;55,"45-54","55+"))))</f>
        <v>35-44</v>
      </c>
      <c r="AK134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46" t="str">
        <f>IF(HR_Cleaned[[#This Row],[MonthlyIncome]]&lt;3000,"Below 3000",IF(HR_Cleaned[[#This Row],[MonthlyIncome]]&lt;5000,"3000-4999",IF(HR_Cleaned[[#This Row],[MonthlyIncome]]&lt;8000,"5000-7999","8000+")))</f>
        <v>3000-4999</v>
      </c>
      <c r="AM1346">
        <f>IF(HR_Cleaned[[#This Row],[Attrition]]="Yes",1,0)</f>
        <v>0</v>
      </c>
    </row>
    <row r="1347" spans="1:39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>
        <f>IF(HR_Cleaned[[#This Row],[Age]]&lt;25,"18-24",IF(HR_Cleaned[[#This Row],[Age]]&lt;35,"25-34",IF(HR_Cleaned[[#This Row],[Age]]&lt;45,"35-44",IF(HR_Cleaned[[#This Row],[Age]]&lt;55,"45-54","55+"))))</f>
        <v>35-44</v>
      </c>
      <c r="AK134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47" t="str">
        <f>IF(HR_Cleaned[[#This Row],[MonthlyIncome]]&lt;3000,"Below 3000",IF(HR_Cleaned[[#This Row],[MonthlyIncome]]&lt;5000,"3000-4999",IF(HR_Cleaned[[#This Row],[MonthlyIncome]]&lt;8000,"5000-7999","8000+")))</f>
        <v>3000-4999</v>
      </c>
      <c r="AM1347">
        <f>IF(HR_Cleaned[[#This Row],[Attrition]]="Yes",1,0)</f>
        <v>0</v>
      </c>
    </row>
    <row r="1348" spans="1:39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>
        <f>IF(HR_Cleaned[[#This Row],[Age]]&lt;25,"18-24",IF(HR_Cleaned[[#This Row],[Age]]&lt;35,"25-34",IF(HR_Cleaned[[#This Row],[Age]]&lt;45,"35-44",IF(HR_Cleaned[[#This Row],[Age]]&lt;55,"45-54","55+"))))</f>
        <v>45-54</v>
      </c>
      <c r="AK134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48" t="str">
        <f>IF(HR_Cleaned[[#This Row],[MonthlyIncome]]&lt;3000,"Below 3000",IF(HR_Cleaned[[#This Row],[MonthlyIncome]]&lt;5000,"3000-4999",IF(HR_Cleaned[[#This Row],[MonthlyIncome]]&lt;8000,"5000-7999","8000+")))</f>
        <v>5000-7999</v>
      </c>
      <c r="AM1348">
        <f>IF(HR_Cleaned[[#This Row],[Attrition]]="Yes",1,0)</f>
        <v>0</v>
      </c>
    </row>
    <row r="1349" spans="1:39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>
        <f>IF(HR_Cleaned[[#This Row],[Age]]&lt;25,"18-24",IF(HR_Cleaned[[#This Row],[Age]]&lt;35,"25-34",IF(HR_Cleaned[[#This Row],[Age]]&lt;45,"35-44",IF(HR_Cleaned[[#This Row],[Age]]&lt;55,"45-54","55+"))))</f>
        <v>35-44</v>
      </c>
      <c r="AK134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49" t="str">
        <f>IF(HR_Cleaned[[#This Row],[MonthlyIncome]]&lt;3000,"Below 3000",IF(HR_Cleaned[[#This Row],[MonthlyIncome]]&lt;5000,"3000-4999",IF(HR_Cleaned[[#This Row],[MonthlyIncome]]&lt;8000,"5000-7999","8000+")))</f>
        <v>3000-4999</v>
      </c>
      <c r="AM1349">
        <f>IF(HR_Cleaned[[#This Row],[Attrition]]="Yes",1,0)</f>
        <v>0</v>
      </c>
    </row>
    <row r="1350" spans="1:39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>
        <f>IF(HR_Cleaned[[#This Row],[Age]]&lt;25,"18-24",IF(HR_Cleaned[[#This Row],[Age]]&lt;35,"25-34",IF(HR_Cleaned[[#This Row],[Age]]&lt;45,"35-44",IF(HR_Cleaned[[#This Row],[Age]]&lt;55,"45-54","55+"))))</f>
        <v>35-44</v>
      </c>
      <c r="AK135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350" t="str">
        <f>IF(HR_Cleaned[[#This Row],[MonthlyIncome]]&lt;3000,"Below 3000",IF(HR_Cleaned[[#This Row],[MonthlyIncome]]&lt;5000,"3000-4999",IF(HR_Cleaned[[#This Row],[MonthlyIncome]]&lt;8000,"5000-7999","8000+")))</f>
        <v>8000+</v>
      </c>
      <c r="AM1350">
        <f>IF(HR_Cleaned[[#This Row],[Attrition]]="Yes",1,0)</f>
        <v>0</v>
      </c>
    </row>
    <row r="1351" spans="1:39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>
        <f>IF(HR_Cleaned[[#This Row],[Age]]&lt;25,"18-24",IF(HR_Cleaned[[#This Row],[Age]]&lt;35,"25-34",IF(HR_Cleaned[[#This Row],[Age]]&lt;45,"35-44",IF(HR_Cleaned[[#This Row],[Age]]&lt;55,"45-54","55+"))))</f>
        <v>25-34</v>
      </c>
      <c r="AK135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51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51">
        <f>IF(HR_Cleaned[[#This Row],[Attrition]]="Yes",1,0)</f>
        <v>0</v>
      </c>
    </row>
    <row r="1352" spans="1:39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>
        <f>IF(HR_Cleaned[[#This Row],[Age]]&lt;25,"18-24",IF(HR_Cleaned[[#This Row],[Age]]&lt;35,"25-34",IF(HR_Cleaned[[#This Row],[Age]]&lt;45,"35-44",IF(HR_Cleaned[[#This Row],[Age]]&lt;55,"45-54","55+"))))</f>
        <v>25-34</v>
      </c>
      <c r="AK135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52" t="str">
        <f>IF(HR_Cleaned[[#This Row],[MonthlyIncome]]&lt;3000,"Below 3000",IF(HR_Cleaned[[#This Row],[MonthlyIncome]]&lt;5000,"3000-4999",IF(HR_Cleaned[[#This Row],[MonthlyIncome]]&lt;8000,"5000-7999","8000+")))</f>
        <v>5000-7999</v>
      </c>
      <c r="AM1352">
        <f>IF(HR_Cleaned[[#This Row],[Attrition]]="Yes",1,0)</f>
        <v>0</v>
      </c>
    </row>
    <row r="1353" spans="1:39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>
        <f>IF(HR_Cleaned[[#This Row],[Age]]&lt;25,"18-24",IF(HR_Cleaned[[#This Row],[Age]]&lt;35,"25-34",IF(HR_Cleaned[[#This Row],[Age]]&lt;45,"35-44",IF(HR_Cleaned[[#This Row],[Age]]&lt;55,"45-54","55+"))))</f>
        <v>45-54</v>
      </c>
      <c r="AK135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353" t="str">
        <f>IF(HR_Cleaned[[#This Row],[MonthlyIncome]]&lt;3000,"Below 3000",IF(HR_Cleaned[[#This Row],[MonthlyIncome]]&lt;5000,"3000-4999",IF(HR_Cleaned[[#This Row],[MonthlyIncome]]&lt;8000,"5000-7999","8000+")))</f>
        <v>8000+</v>
      </c>
      <c r="AM1353">
        <f>IF(HR_Cleaned[[#This Row],[Attrition]]="Yes",1,0)</f>
        <v>0</v>
      </c>
    </row>
    <row r="1354" spans="1:39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>
        <f>IF(HR_Cleaned[[#This Row],[Age]]&lt;25,"18-24",IF(HR_Cleaned[[#This Row],[Age]]&lt;35,"25-34",IF(HR_Cleaned[[#This Row],[Age]]&lt;45,"35-44",IF(HR_Cleaned[[#This Row],[Age]]&lt;55,"45-54","55+"))))</f>
        <v>35-44</v>
      </c>
      <c r="AK135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54" t="str">
        <f>IF(HR_Cleaned[[#This Row],[MonthlyIncome]]&lt;3000,"Below 3000",IF(HR_Cleaned[[#This Row],[MonthlyIncome]]&lt;5000,"3000-4999",IF(HR_Cleaned[[#This Row],[MonthlyIncome]]&lt;8000,"5000-7999","8000+")))</f>
        <v>5000-7999</v>
      </c>
      <c r="AM1354">
        <f>IF(HR_Cleaned[[#This Row],[Attrition]]="Yes",1,0)</f>
        <v>0</v>
      </c>
    </row>
    <row r="1355" spans="1:39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>
        <f>IF(HR_Cleaned[[#This Row],[Age]]&lt;25,"18-24",IF(HR_Cleaned[[#This Row],[Age]]&lt;35,"25-34",IF(HR_Cleaned[[#This Row],[Age]]&lt;45,"35-44",IF(HR_Cleaned[[#This Row],[Age]]&lt;55,"45-54","55+"))))</f>
        <v>25-34</v>
      </c>
      <c r="AK135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55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55">
        <f>IF(HR_Cleaned[[#This Row],[Attrition]]="Yes",1,0)</f>
        <v>1</v>
      </c>
    </row>
    <row r="1356" spans="1:39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>
        <f>IF(HR_Cleaned[[#This Row],[Age]]&lt;25,"18-24",IF(HR_Cleaned[[#This Row],[Age]]&lt;35,"25-34",IF(HR_Cleaned[[#This Row],[Age]]&lt;45,"35-44",IF(HR_Cleaned[[#This Row],[Age]]&lt;55,"45-54","55+"))))</f>
        <v>55+</v>
      </c>
      <c r="AK135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56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56">
        <f>IF(HR_Cleaned[[#This Row],[Attrition]]="Yes",1,0)</f>
        <v>1</v>
      </c>
    </row>
    <row r="1357" spans="1:39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>
        <f>IF(HR_Cleaned[[#This Row],[Age]]&lt;25,"18-24",IF(HR_Cleaned[[#This Row],[Age]]&lt;35,"25-34",IF(HR_Cleaned[[#This Row],[Age]]&lt;45,"35-44",IF(HR_Cleaned[[#This Row],[Age]]&lt;55,"45-54","55+"))))</f>
        <v>35-44</v>
      </c>
      <c r="AK135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57" t="str">
        <f>IF(HR_Cleaned[[#This Row],[MonthlyIncome]]&lt;3000,"Below 3000",IF(HR_Cleaned[[#This Row],[MonthlyIncome]]&lt;5000,"3000-4999",IF(HR_Cleaned[[#This Row],[MonthlyIncome]]&lt;8000,"5000-7999","8000+")))</f>
        <v>5000-7999</v>
      </c>
      <c r="AM1357">
        <f>IF(HR_Cleaned[[#This Row],[Attrition]]="Yes",1,0)</f>
        <v>0</v>
      </c>
    </row>
    <row r="1358" spans="1:39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>
        <f>IF(HR_Cleaned[[#This Row],[Age]]&lt;25,"18-24",IF(HR_Cleaned[[#This Row],[Age]]&lt;35,"25-34",IF(HR_Cleaned[[#This Row],[Age]]&lt;45,"35-44",IF(HR_Cleaned[[#This Row],[Age]]&lt;55,"45-54","55+"))))</f>
        <v>35-44</v>
      </c>
      <c r="AK135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58" t="str">
        <f>IF(HR_Cleaned[[#This Row],[MonthlyIncome]]&lt;3000,"Below 3000",IF(HR_Cleaned[[#This Row],[MonthlyIncome]]&lt;5000,"3000-4999",IF(HR_Cleaned[[#This Row],[MonthlyIncome]]&lt;8000,"5000-7999","8000+")))</f>
        <v>3000-4999</v>
      </c>
      <c r="AM1358">
        <f>IF(HR_Cleaned[[#This Row],[Attrition]]="Yes",1,0)</f>
        <v>0</v>
      </c>
    </row>
    <row r="1359" spans="1:39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>
        <f>IF(HR_Cleaned[[#This Row],[Age]]&lt;25,"18-24",IF(HR_Cleaned[[#This Row],[Age]]&lt;35,"25-34",IF(HR_Cleaned[[#This Row],[Age]]&lt;45,"35-44",IF(HR_Cleaned[[#This Row],[Age]]&lt;55,"45-54","55+"))))</f>
        <v>35-44</v>
      </c>
      <c r="AK135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359" t="str">
        <f>IF(HR_Cleaned[[#This Row],[MonthlyIncome]]&lt;3000,"Below 3000",IF(HR_Cleaned[[#This Row],[MonthlyIncome]]&lt;5000,"3000-4999",IF(HR_Cleaned[[#This Row],[MonthlyIncome]]&lt;8000,"5000-7999","8000+")))</f>
        <v>8000+</v>
      </c>
      <c r="AM1359">
        <f>IF(HR_Cleaned[[#This Row],[Attrition]]="Yes",1,0)</f>
        <v>0</v>
      </c>
    </row>
    <row r="1360" spans="1:39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>
        <f>IF(HR_Cleaned[[#This Row],[Age]]&lt;25,"18-24",IF(HR_Cleaned[[#This Row],[Age]]&lt;35,"25-34",IF(HR_Cleaned[[#This Row],[Age]]&lt;45,"35-44",IF(HR_Cleaned[[#This Row],[Age]]&lt;55,"45-54","55+"))))</f>
        <v>25-34</v>
      </c>
      <c r="AK136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60" t="str">
        <f>IF(HR_Cleaned[[#This Row],[MonthlyIncome]]&lt;3000,"Below 3000",IF(HR_Cleaned[[#This Row],[MonthlyIncome]]&lt;5000,"3000-4999",IF(HR_Cleaned[[#This Row],[MonthlyIncome]]&lt;8000,"5000-7999","8000+")))</f>
        <v>5000-7999</v>
      </c>
      <c r="AM1360">
        <f>IF(HR_Cleaned[[#This Row],[Attrition]]="Yes",1,0)</f>
        <v>0</v>
      </c>
    </row>
    <row r="1361" spans="1:39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>
        <f>IF(HR_Cleaned[[#This Row],[Age]]&lt;25,"18-24",IF(HR_Cleaned[[#This Row],[Age]]&lt;35,"25-34",IF(HR_Cleaned[[#This Row],[Age]]&lt;45,"35-44",IF(HR_Cleaned[[#This Row],[Age]]&lt;55,"45-54","55+"))))</f>
        <v>25-34</v>
      </c>
      <c r="AK136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61" t="str">
        <f>IF(HR_Cleaned[[#This Row],[MonthlyIncome]]&lt;3000,"Below 3000",IF(HR_Cleaned[[#This Row],[MonthlyIncome]]&lt;5000,"3000-4999",IF(HR_Cleaned[[#This Row],[MonthlyIncome]]&lt;8000,"5000-7999","8000+")))</f>
        <v>8000+</v>
      </c>
      <c r="AM1361">
        <f>IF(HR_Cleaned[[#This Row],[Attrition]]="Yes",1,0)</f>
        <v>0</v>
      </c>
    </row>
    <row r="1362" spans="1:39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>
        <f>IF(HR_Cleaned[[#This Row],[Age]]&lt;25,"18-24",IF(HR_Cleaned[[#This Row],[Age]]&lt;35,"25-34",IF(HR_Cleaned[[#This Row],[Age]]&lt;45,"35-44",IF(HR_Cleaned[[#This Row],[Age]]&lt;55,"45-54","55+"))))</f>
        <v>25-34</v>
      </c>
      <c r="AK1362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62" t="str">
        <f>IF(HR_Cleaned[[#This Row],[MonthlyIncome]]&lt;3000,"Below 3000",IF(HR_Cleaned[[#This Row],[MonthlyIncome]]&lt;5000,"3000-4999",IF(HR_Cleaned[[#This Row],[MonthlyIncome]]&lt;8000,"5000-7999","8000+")))</f>
        <v>3000-4999</v>
      </c>
      <c r="AM1362">
        <f>IF(HR_Cleaned[[#This Row],[Attrition]]="Yes",1,0)</f>
        <v>0</v>
      </c>
    </row>
    <row r="1363" spans="1:39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>
        <f>IF(HR_Cleaned[[#This Row],[Age]]&lt;25,"18-24",IF(HR_Cleaned[[#This Row],[Age]]&lt;35,"25-34",IF(HR_Cleaned[[#This Row],[Age]]&lt;45,"35-44",IF(HR_Cleaned[[#This Row],[Age]]&lt;55,"45-54","55+"))))</f>
        <v>25-34</v>
      </c>
      <c r="AK136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63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63">
        <f>IF(HR_Cleaned[[#This Row],[Attrition]]="Yes",1,0)</f>
        <v>0</v>
      </c>
    </row>
    <row r="1364" spans="1:39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>
        <f>IF(HR_Cleaned[[#This Row],[Age]]&lt;25,"18-24",IF(HR_Cleaned[[#This Row],[Age]]&lt;35,"25-34",IF(HR_Cleaned[[#This Row],[Age]]&lt;45,"35-44",IF(HR_Cleaned[[#This Row],[Age]]&lt;55,"45-54","55+"))))</f>
        <v>45-54</v>
      </c>
      <c r="AK136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64" t="str">
        <f>IF(HR_Cleaned[[#This Row],[MonthlyIncome]]&lt;3000,"Below 3000",IF(HR_Cleaned[[#This Row],[MonthlyIncome]]&lt;5000,"3000-4999",IF(HR_Cleaned[[#This Row],[MonthlyIncome]]&lt;8000,"5000-7999","8000+")))</f>
        <v>5000-7999</v>
      </c>
      <c r="AM1364">
        <f>IF(HR_Cleaned[[#This Row],[Attrition]]="Yes",1,0)</f>
        <v>0</v>
      </c>
    </row>
    <row r="1365" spans="1:39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>
        <f>IF(HR_Cleaned[[#This Row],[Age]]&lt;25,"18-24",IF(HR_Cleaned[[#This Row],[Age]]&lt;35,"25-34",IF(HR_Cleaned[[#This Row],[Age]]&lt;45,"35-44",IF(HR_Cleaned[[#This Row],[Age]]&lt;55,"45-54","55+"))))</f>
        <v>25-34</v>
      </c>
      <c r="AK136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65" t="str">
        <f>IF(HR_Cleaned[[#This Row],[MonthlyIncome]]&lt;3000,"Below 3000",IF(HR_Cleaned[[#This Row],[MonthlyIncome]]&lt;5000,"3000-4999",IF(HR_Cleaned[[#This Row],[MonthlyIncome]]&lt;8000,"5000-7999","8000+")))</f>
        <v>5000-7999</v>
      </c>
      <c r="AM1365">
        <f>IF(HR_Cleaned[[#This Row],[Attrition]]="Yes",1,0)</f>
        <v>0</v>
      </c>
    </row>
    <row r="1366" spans="1:39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>
        <f>IF(HR_Cleaned[[#This Row],[Age]]&lt;25,"18-24",IF(HR_Cleaned[[#This Row],[Age]]&lt;35,"25-34",IF(HR_Cleaned[[#This Row],[Age]]&lt;45,"35-44",IF(HR_Cleaned[[#This Row],[Age]]&lt;55,"45-54","55+"))))</f>
        <v>25-34</v>
      </c>
      <c r="AK136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66" t="str">
        <f>IF(HR_Cleaned[[#This Row],[MonthlyIncome]]&lt;3000,"Below 3000",IF(HR_Cleaned[[#This Row],[MonthlyIncome]]&lt;5000,"3000-4999",IF(HR_Cleaned[[#This Row],[MonthlyIncome]]&lt;8000,"5000-7999","8000+")))</f>
        <v>5000-7999</v>
      </c>
      <c r="AM1366">
        <f>IF(HR_Cleaned[[#This Row],[Attrition]]="Yes",1,0)</f>
        <v>0</v>
      </c>
    </row>
    <row r="1367" spans="1:39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>
        <f>IF(HR_Cleaned[[#This Row],[Age]]&lt;25,"18-24",IF(HR_Cleaned[[#This Row],[Age]]&lt;35,"25-34",IF(HR_Cleaned[[#This Row],[Age]]&lt;45,"35-44",IF(HR_Cleaned[[#This Row],[Age]]&lt;55,"45-54","55+"))))</f>
        <v>25-34</v>
      </c>
      <c r="AK136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67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67">
        <f>IF(HR_Cleaned[[#This Row],[Attrition]]="Yes",1,0)</f>
        <v>1</v>
      </c>
    </row>
    <row r="1368" spans="1:39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>
        <f>IF(HR_Cleaned[[#This Row],[Age]]&lt;25,"18-24",IF(HR_Cleaned[[#This Row],[Age]]&lt;35,"25-34",IF(HR_Cleaned[[#This Row],[Age]]&lt;45,"35-44",IF(HR_Cleaned[[#This Row],[Age]]&lt;55,"45-54","55+"))))</f>
        <v>35-44</v>
      </c>
      <c r="AK136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68" t="str">
        <f>IF(HR_Cleaned[[#This Row],[MonthlyIncome]]&lt;3000,"Below 3000",IF(HR_Cleaned[[#This Row],[MonthlyIncome]]&lt;5000,"3000-4999",IF(HR_Cleaned[[#This Row],[MonthlyIncome]]&lt;8000,"5000-7999","8000+")))</f>
        <v>5000-7999</v>
      </c>
      <c r="AM1368">
        <f>IF(HR_Cleaned[[#This Row],[Attrition]]="Yes",1,0)</f>
        <v>0</v>
      </c>
    </row>
    <row r="1369" spans="1:39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>
        <f>IF(HR_Cleaned[[#This Row],[Age]]&lt;25,"18-24",IF(HR_Cleaned[[#This Row],[Age]]&lt;35,"25-34",IF(HR_Cleaned[[#This Row],[Age]]&lt;45,"35-44",IF(HR_Cleaned[[#This Row],[Age]]&lt;55,"45-54","55+"))))</f>
        <v>25-34</v>
      </c>
      <c r="AK136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69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69">
        <f>IF(HR_Cleaned[[#This Row],[Attrition]]="Yes",1,0)</f>
        <v>0</v>
      </c>
    </row>
    <row r="1370" spans="1:39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>
        <f>IF(HR_Cleaned[[#This Row],[Age]]&lt;25,"18-24",IF(HR_Cleaned[[#This Row],[Age]]&lt;35,"25-34",IF(HR_Cleaned[[#This Row],[Age]]&lt;45,"35-44",IF(HR_Cleaned[[#This Row],[Age]]&lt;55,"45-54","55+"))))</f>
        <v>25-34</v>
      </c>
      <c r="AK1370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370" t="str">
        <f>IF(HR_Cleaned[[#This Row],[MonthlyIncome]]&lt;3000,"Below 3000",IF(HR_Cleaned[[#This Row],[MonthlyIncome]]&lt;5000,"3000-4999",IF(HR_Cleaned[[#This Row],[MonthlyIncome]]&lt;8000,"5000-7999","8000+")))</f>
        <v>5000-7999</v>
      </c>
      <c r="AM1370">
        <f>IF(HR_Cleaned[[#This Row],[Attrition]]="Yes",1,0)</f>
        <v>0</v>
      </c>
    </row>
    <row r="1371" spans="1:39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>
        <f>IF(HR_Cleaned[[#This Row],[Age]]&lt;25,"18-24",IF(HR_Cleaned[[#This Row],[Age]]&lt;35,"25-34",IF(HR_Cleaned[[#This Row],[Age]]&lt;45,"35-44",IF(HR_Cleaned[[#This Row],[Age]]&lt;55,"45-54","55+"))))</f>
        <v>25-34</v>
      </c>
      <c r="AK137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71" t="str">
        <f>IF(HR_Cleaned[[#This Row],[MonthlyIncome]]&lt;3000,"Below 3000",IF(HR_Cleaned[[#This Row],[MonthlyIncome]]&lt;5000,"3000-4999",IF(HR_Cleaned[[#This Row],[MonthlyIncome]]&lt;8000,"5000-7999","8000+")))</f>
        <v>8000+</v>
      </c>
      <c r="AM1371">
        <f>IF(HR_Cleaned[[#This Row],[Attrition]]="Yes",1,0)</f>
        <v>1</v>
      </c>
    </row>
    <row r="1372" spans="1:39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>
        <f>IF(HR_Cleaned[[#This Row],[Age]]&lt;25,"18-24",IF(HR_Cleaned[[#This Row],[Age]]&lt;35,"25-34",IF(HR_Cleaned[[#This Row],[Age]]&lt;45,"35-44",IF(HR_Cleaned[[#This Row],[Age]]&lt;55,"45-54","55+"))))</f>
        <v>45-54</v>
      </c>
      <c r="AK137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72" t="str">
        <f>IF(HR_Cleaned[[#This Row],[MonthlyIncome]]&lt;3000,"Below 3000",IF(HR_Cleaned[[#This Row],[MonthlyIncome]]&lt;5000,"3000-4999",IF(HR_Cleaned[[#This Row],[MonthlyIncome]]&lt;8000,"5000-7999","8000+")))</f>
        <v>5000-7999</v>
      </c>
      <c r="AM1372">
        <f>IF(HR_Cleaned[[#This Row],[Attrition]]="Yes",1,0)</f>
        <v>0</v>
      </c>
    </row>
    <row r="1373" spans="1:39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>
        <f>IF(HR_Cleaned[[#This Row],[Age]]&lt;25,"18-24",IF(HR_Cleaned[[#This Row],[Age]]&lt;35,"25-34",IF(HR_Cleaned[[#This Row],[Age]]&lt;45,"35-44",IF(HR_Cleaned[[#This Row],[Age]]&lt;55,"45-54","55+"))))</f>
        <v>55+</v>
      </c>
      <c r="AK137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73" t="str">
        <f>IF(HR_Cleaned[[#This Row],[MonthlyIncome]]&lt;3000,"Below 3000",IF(HR_Cleaned[[#This Row],[MonthlyIncome]]&lt;5000,"3000-4999",IF(HR_Cleaned[[#This Row],[MonthlyIncome]]&lt;8000,"5000-7999","8000+")))</f>
        <v>5000-7999</v>
      </c>
      <c r="AM1373">
        <f>IF(HR_Cleaned[[#This Row],[Attrition]]="Yes",1,0)</f>
        <v>0</v>
      </c>
    </row>
    <row r="1374" spans="1:39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>
        <f>IF(HR_Cleaned[[#This Row],[Age]]&lt;25,"18-24",IF(HR_Cleaned[[#This Row],[Age]]&lt;35,"25-34",IF(HR_Cleaned[[#This Row],[Age]]&lt;45,"35-44",IF(HR_Cleaned[[#This Row],[Age]]&lt;55,"45-54","55+"))))</f>
        <v>35-44</v>
      </c>
      <c r="AK137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74" t="str">
        <f>IF(HR_Cleaned[[#This Row],[MonthlyIncome]]&lt;3000,"Below 3000",IF(HR_Cleaned[[#This Row],[MonthlyIncome]]&lt;5000,"3000-4999",IF(HR_Cleaned[[#This Row],[MonthlyIncome]]&lt;8000,"5000-7999","8000+")))</f>
        <v>5000-7999</v>
      </c>
      <c r="AM1374">
        <f>IF(HR_Cleaned[[#This Row],[Attrition]]="Yes",1,0)</f>
        <v>0</v>
      </c>
    </row>
    <row r="1375" spans="1:39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>
        <f>IF(HR_Cleaned[[#This Row],[Age]]&lt;25,"18-24",IF(HR_Cleaned[[#This Row],[Age]]&lt;35,"25-34",IF(HR_Cleaned[[#This Row],[Age]]&lt;45,"35-44",IF(HR_Cleaned[[#This Row],[Age]]&lt;55,"45-54","55+"))))</f>
        <v>35-44</v>
      </c>
      <c r="AK137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375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75">
        <f>IF(HR_Cleaned[[#This Row],[Attrition]]="Yes",1,0)</f>
        <v>0</v>
      </c>
    </row>
    <row r="1376" spans="1:39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>
        <f>IF(HR_Cleaned[[#This Row],[Age]]&lt;25,"18-24",IF(HR_Cleaned[[#This Row],[Age]]&lt;35,"25-34",IF(HR_Cleaned[[#This Row],[Age]]&lt;45,"35-44",IF(HR_Cleaned[[#This Row],[Age]]&lt;55,"45-54","55+"))))</f>
        <v>55+</v>
      </c>
      <c r="AK137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76" t="str">
        <f>IF(HR_Cleaned[[#This Row],[MonthlyIncome]]&lt;3000,"Below 3000",IF(HR_Cleaned[[#This Row],[MonthlyIncome]]&lt;5000,"3000-4999",IF(HR_Cleaned[[#This Row],[MonthlyIncome]]&lt;8000,"5000-7999","8000+")))</f>
        <v>8000+</v>
      </c>
      <c r="AM1376">
        <f>IF(HR_Cleaned[[#This Row],[Attrition]]="Yes",1,0)</f>
        <v>0</v>
      </c>
    </row>
    <row r="1377" spans="1:39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>
        <f>IF(HR_Cleaned[[#This Row],[Age]]&lt;25,"18-24",IF(HR_Cleaned[[#This Row],[Age]]&lt;35,"25-34",IF(HR_Cleaned[[#This Row],[Age]]&lt;45,"35-44",IF(HR_Cleaned[[#This Row],[Age]]&lt;55,"45-54","55+"))))</f>
        <v>25-34</v>
      </c>
      <c r="AK137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77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77">
        <f>IF(HR_Cleaned[[#This Row],[Attrition]]="Yes",1,0)</f>
        <v>1</v>
      </c>
    </row>
    <row r="1378" spans="1:39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>
        <f>IF(HR_Cleaned[[#This Row],[Age]]&lt;25,"18-24",IF(HR_Cleaned[[#This Row],[Age]]&lt;35,"25-34",IF(HR_Cleaned[[#This Row],[Age]]&lt;45,"35-44",IF(HR_Cleaned[[#This Row],[Age]]&lt;55,"45-54","55+"))))</f>
        <v>35-44</v>
      </c>
      <c r="AK137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78" t="str">
        <f>IF(HR_Cleaned[[#This Row],[MonthlyIncome]]&lt;3000,"Below 3000",IF(HR_Cleaned[[#This Row],[MonthlyIncome]]&lt;5000,"3000-4999",IF(HR_Cleaned[[#This Row],[MonthlyIncome]]&lt;8000,"5000-7999","8000+")))</f>
        <v>3000-4999</v>
      </c>
      <c r="AM1378">
        <f>IF(HR_Cleaned[[#This Row],[Attrition]]="Yes",1,0)</f>
        <v>0</v>
      </c>
    </row>
    <row r="1379" spans="1:39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>
        <f>IF(HR_Cleaned[[#This Row],[Age]]&lt;25,"18-24",IF(HR_Cleaned[[#This Row],[Age]]&lt;35,"25-34",IF(HR_Cleaned[[#This Row],[Age]]&lt;45,"35-44",IF(HR_Cleaned[[#This Row],[Age]]&lt;55,"45-54","55+"))))</f>
        <v>45-54</v>
      </c>
      <c r="AK137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79" t="str">
        <f>IF(HR_Cleaned[[#This Row],[MonthlyIncome]]&lt;3000,"Below 3000",IF(HR_Cleaned[[#This Row],[MonthlyIncome]]&lt;5000,"3000-4999",IF(HR_Cleaned[[#This Row],[MonthlyIncome]]&lt;8000,"5000-7999","8000+")))</f>
        <v>8000+</v>
      </c>
      <c r="AM1379">
        <f>IF(HR_Cleaned[[#This Row],[Attrition]]="Yes",1,0)</f>
        <v>0</v>
      </c>
    </row>
    <row r="1380" spans="1:39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>
        <f>IF(HR_Cleaned[[#This Row],[Age]]&lt;25,"18-24",IF(HR_Cleaned[[#This Row],[Age]]&lt;35,"25-34",IF(HR_Cleaned[[#This Row],[Age]]&lt;45,"35-44",IF(HR_Cleaned[[#This Row],[Age]]&lt;55,"45-54","55+"))))</f>
        <v>35-44</v>
      </c>
      <c r="AK138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80" t="str">
        <f>IF(HR_Cleaned[[#This Row],[MonthlyIncome]]&lt;3000,"Below 3000",IF(HR_Cleaned[[#This Row],[MonthlyIncome]]&lt;5000,"3000-4999",IF(HR_Cleaned[[#This Row],[MonthlyIncome]]&lt;8000,"5000-7999","8000+")))</f>
        <v>5000-7999</v>
      </c>
      <c r="AM1380">
        <f>IF(HR_Cleaned[[#This Row],[Attrition]]="Yes",1,0)</f>
        <v>0</v>
      </c>
    </row>
    <row r="1381" spans="1:39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>
        <f>IF(HR_Cleaned[[#This Row],[Age]]&lt;25,"18-24",IF(HR_Cleaned[[#This Row],[Age]]&lt;35,"25-34",IF(HR_Cleaned[[#This Row],[Age]]&lt;45,"35-44",IF(HR_Cleaned[[#This Row],[Age]]&lt;55,"45-54","55+"))))</f>
        <v>25-34</v>
      </c>
      <c r="AK1381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81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81">
        <f>IF(HR_Cleaned[[#This Row],[Attrition]]="Yes",1,0)</f>
        <v>1</v>
      </c>
    </row>
    <row r="1382" spans="1:39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>
        <f>IF(HR_Cleaned[[#This Row],[Age]]&lt;25,"18-24",IF(HR_Cleaned[[#This Row],[Age]]&lt;35,"25-34",IF(HR_Cleaned[[#This Row],[Age]]&lt;45,"35-44",IF(HR_Cleaned[[#This Row],[Age]]&lt;55,"45-54","55+"))))</f>
        <v>35-44</v>
      </c>
      <c r="AK138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82" t="str">
        <f>IF(HR_Cleaned[[#This Row],[MonthlyIncome]]&lt;3000,"Below 3000",IF(HR_Cleaned[[#This Row],[MonthlyIncome]]&lt;5000,"3000-4999",IF(HR_Cleaned[[#This Row],[MonthlyIncome]]&lt;8000,"5000-7999","8000+")))</f>
        <v>5000-7999</v>
      </c>
      <c r="AM1382">
        <f>IF(HR_Cleaned[[#This Row],[Attrition]]="Yes",1,0)</f>
        <v>0</v>
      </c>
    </row>
    <row r="1383" spans="1:39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>
        <f>IF(HR_Cleaned[[#This Row],[Age]]&lt;25,"18-24",IF(HR_Cleaned[[#This Row],[Age]]&lt;35,"25-34",IF(HR_Cleaned[[#This Row],[Age]]&lt;45,"35-44",IF(HR_Cleaned[[#This Row],[Age]]&lt;55,"45-54","55+"))))</f>
        <v>25-34</v>
      </c>
      <c r="AK138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83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83">
        <f>IF(HR_Cleaned[[#This Row],[Attrition]]="Yes",1,0)</f>
        <v>0</v>
      </c>
    </row>
    <row r="1384" spans="1:39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>
        <f>IF(HR_Cleaned[[#This Row],[Age]]&lt;25,"18-24",IF(HR_Cleaned[[#This Row],[Age]]&lt;35,"25-34",IF(HR_Cleaned[[#This Row],[Age]]&lt;45,"35-44",IF(HR_Cleaned[[#This Row],[Age]]&lt;55,"45-54","55+"))))</f>
        <v>25-34</v>
      </c>
      <c r="AK1384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84" t="str">
        <f>IF(HR_Cleaned[[#This Row],[MonthlyIncome]]&lt;3000,"Below 3000",IF(HR_Cleaned[[#This Row],[MonthlyIncome]]&lt;5000,"3000-4999",IF(HR_Cleaned[[#This Row],[MonthlyIncome]]&lt;8000,"5000-7999","8000+")))</f>
        <v>3000-4999</v>
      </c>
      <c r="AM1384">
        <f>IF(HR_Cleaned[[#This Row],[Attrition]]="Yes",1,0)</f>
        <v>0</v>
      </c>
    </row>
    <row r="1385" spans="1:39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>
        <f>IF(HR_Cleaned[[#This Row],[Age]]&lt;25,"18-24",IF(HR_Cleaned[[#This Row],[Age]]&lt;35,"25-34",IF(HR_Cleaned[[#This Row],[Age]]&lt;45,"35-44",IF(HR_Cleaned[[#This Row],[Age]]&lt;55,"45-54","55+"))))</f>
        <v>35-44</v>
      </c>
      <c r="AK138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85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85">
        <f>IF(HR_Cleaned[[#This Row],[Attrition]]="Yes",1,0)</f>
        <v>0</v>
      </c>
    </row>
    <row r="1386" spans="1:39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>
        <f>IF(HR_Cleaned[[#This Row],[Age]]&lt;25,"18-24",IF(HR_Cleaned[[#This Row],[Age]]&lt;35,"25-34",IF(HR_Cleaned[[#This Row],[Age]]&lt;45,"35-44",IF(HR_Cleaned[[#This Row],[Age]]&lt;55,"45-54","55+"))))</f>
        <v>25-34</v>
      </c>
      <c r="AK1386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386" t="str">
        <f>IF(HR_Cleaned[[#This Row],[MonthlyIncome]]&lt;3000,"Below 3000",IF(HR_Cleaned[[#This Row],[MonthlyIncome]]&lt;5000,"3000-4999",IF(HR_Cleaned[[#This Row],[MonthlyIncome]]&lt;8000,"5000-7999","8000+")))</f>
        <v>8000+</v>
      </c>
      <c r="AM1386">
        <f>IF(HR_Cleaned[[#This Row],[Attrition]]="Yes",1,0)</f>
        <v>0</v>
      </c>
    </row>
    <row r="1387" spans="1:39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>
        <f>IF(HR_Cleaned[[#This Row],[Age]]&lt;25,"18-24",IF(HR_Cleaned[[#This Row],[Age]]&lt;35,"25-34",IF(HR_Cleaned[[#This Row],[Age]]&lt;45,"35-44",IF(HR_Cleaned[[#This Row],[Age]]&lt;55,"45-54","55+"))))</f>
        <v>25-34</v>
      </c>
      <c r="AK138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87" t="str">
        <f>IF(HR_Cleaned[[#This Row],[MonthlyIncome]]&lt;3000,"Below 3000",IF(HR_Cleaned[[#This Row],[MonthlyIncome]]&lt;5000,"3000-4999",IF(HR_Cleaned[[#This Row],[MonthlyIncome]]&lt;8000,"5000-7999","8000+")))</f>
        <v>8000+</v>
      </c>
      <c r="AM1387">
        <f>IF(HR_Cleaned[[#This Row],[Attrition]]="Yes",1,0)</f>
        <v>0</v>
      </c>
    </row>
    <row r="1388" spans="1:39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>
        <f>IF(HR_Cleaned[[#This Row],[Age]]&lt;25,"18-24",IF(HR_Cleaned[[#This Row],[Age]]&lt;35,"25-34",IF(HR_Cleaned[[#This Row],[Age]]&lt;45,"35-44",IF(HR_Cleaned[[#This Row],[Age]]&lt;55,"45-54","55+"))))</f>
        <v>25-34</v>
      </c>
      <c r="AK138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88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88">
        <f>IF(HR_Cleaned[[#This Row],[Attrition]]="Yes",1,0)</f>
        <v>0</v>
      </c>
    </row>
    <row r="1389" spans="1:39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>
        <f>IF(HR_Cleaned[[#This Row],[Age]]&lt;25,"18-24",IF(HR_Cleaned[[#This Row],[Age]]&lt;35,"25-34",IF(HR_Cleaned[[#This Row],[Age]]&lt;45,"35-44",IF(HR_Cleaned[[#This Row],[Age]]&lt;55,"45-54","55+"))))</f>
        <v>25-34</v>
      </c>
      <c r="AK138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89" t="str">
        <f>IF(HR_Cleaned[[#This Row],[MonthlyIncome]]&lt;3000,"Below 3000",IF(HR_Cleaned[[#This Row],[MonthlyIncome]]&lt;5000,"3000-4999",IF(HR_Cleaned[[#This Row],[MonthlyIncome]]&lt;8000,"5000-7999","8000+")))</f>
        <v>5000-7999</v>
      </c>
      <c r="AM1389">
        <f>IF(HR_Cleaned[[#This Row],[Attrition]]="Yes",1,0)</f>
        <v>0</v>
      </c>
    </row>
    <row r="1390" spans="1:39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>
        <f>IF(HR_Cleaned[[#This Row],[Age]]&lt;25,"18-24",IF(HR_Cleaned[[#This Row],[Age]]&lt;35,"25-34",IF(HR_Cleaned[[#This Row],[Age]]&lt;45,"35-44",IF(HR_Cleaned[[#This Row],[Age]]&lt;55,"45-54","55+"))))</f>
        <v>25-34</v>
      </c>
      <c r="AK139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90" t="str">
        <f>IF(HR_Cleaned[[#This Row],[MonthlyIncome]]&lt;3000,"Below 3000",IF(HR_Cleaned[[#This Row],[MonthlyIncome]]&lt;5000,"3000-4999",IF(HR_Cleaned[[#This Row],[MonthlyIncome]]&lt;8000,"5000-7999","8000+")))</f>
        <v>5000-7999</v>
      </c>
      <c r="AM1390">
        <f>IF(HR_Cleaned[[#This Row],[Attrition]]="Yes",1,0)</f>
        <v>0</v>
      </c>
    </row>
    <row r="1391" spans="1:39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>
        <f>IF(HR_Cleaned[[#This Row],[Age]]&lt;25,"18-24",IF(HR_Cleaned[[#This Row],[Age]]&lt;35,"25-34",IF(HR_Cleaned[[#This Row],[Age]]&lt;45,"35-44",IF(HR_Cleaned[[#This Row],[Age]]&lt;55,"45-54","55+"))))</f>
        <v>25-34</v>
      </c>
      <c r="AK139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91" t="str">
        <f>IF(HR_Cleaned[[#This Row],[MonthlyIncome]]&lt;3000,"Below 3000",IF(HR_Cleaned[[#This Row],[MonthlyIncome]]&lt;5000,"3000-4999",IF(HR_Cleaned[[#This Row],[MonthlyIncome]]&lt;8000,"5000-7999","8000+")))</f>
        <v>5000-7999</v>
      </c>
      <c r="AM1391">
        <f>IF(HR_Cleaned[[#This Row],[Attrition]]="Yes",1,0)</f>
        <v>0</v>
      </c>
    </row>
    <row r="1392" spans="1:39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>
        <f>IF(HR_Cleaned[[#This Row],[Age]]&lt;25,"18-24",IF(HR_Cleaned[[#This Row],[Age]]&lt;35,"25-34",IF(HR_Cleaned[[#This Row],[Age]]&lt;45,"35-44",IF(HR_Cleaned[[#This Row],[Age]]&lt;55,"45-54","55+"))))</f>
        <v>25-34</v>
      </c>
      <c r="AK139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92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92">
        <f>IF(HR_Cleaned[[#This Row],[Attrition]]="Yes",1,0)</f>
        <v>1</v>
      </c>
    </row>
    <row r="1393" spans="1:39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>
        <f>IF(HR_Cleaned[[#This Row],[Age]]&lt;25,"18-24",IF(HR_Cleaned[[#This Row],[Age]]&lt;35,"25-34",IF(HR_Cleaned[[#This Row],[Age]]&lt;45,"35-44",IF(HR_Cleaned[[#This Row],[Age]]&lt;55,"45-54","55+"))))</f>
        <v>35-44</v>
      </c>
      <c r="AK139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93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93">
        <f>IF(HR_Cleaned[[#This Row],[Attrition]]="Yes",1,0)</f>
        <v>0</v>
      </c>
    </row>
    <row r="1394" spans="1:39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>
        <f>IF(HR_Cleaned[[#This Row],[Age]]&lt;25,"18-24",IF(HR_Cleaned[[#This Row],[Age]]&lt;35,"25-34",IF(HR_Cleaned[[#This Row],[Age]]&lt;45,"35-44",IF(HR_Cleaned[[#This Row],[Age]]&lt;55,"45-54","55+"))))</f>
        <v>35-44</v>
      </c>
      <c r="AK139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94" t="str">
        <f>IF(HR_Cleaned[[#This Row],[MonthlyIncome]]&lt;3000,"Below 3000",IF(HR_Cleaned[[#This Row],[MonthlyIncome]]&lt;5000,"3000-4999",IF(HR_Cleaned[[#This Row],[MonthlyIncome]]&lt;8000,"5000-7999","8000+")))</f>
        <v>5000-7999</v>
      </c>
      <c r="AM1394">
        <f>IF(HR_Cleaned[[#This Row],[Attrition]]="Yes",1,0)</f>
        <v>0</v>
      </c>
    </row>
    <row r="1395" spans="1:39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>
        <f>IF(HR_Cleaned[[#This Row],[Age]]&lt;25,"18-24",IF(HR_Cleaned[[#This Row],[Age]]&lt;35,"25-34",IF(HR_Cleaned[[#This Row],[Age]]&lt;45,"35-44",IF(HR_Cleaned[[#This Row],[Age]]&lt;55,"45-54","55+"))))</f>
        <v>25-34</v>
      </c>
      <c r="AK139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95" t="str">
        <f>IF(HR_Cleaned[[#This Row],[MonthlyIncome]]&lt;3000,"Below 3000",IF(HR_Cleaned[[#This Row],[MonthlyIncome]]&lt;5000,"3000-4999",IF(HR_Cleaned[[#This Row],[MonthlyIncome]]&lt;8000,"5000-7999","8000+")))</f>
        <v>3000-4999</v>
      </c>
      <c r="AM1395">
        <f>IF(HR_Cleaned[[#This Row],[Attrition]]="Yes",1,0)</f>
        <v>0</v>
      </c>
    </row>
    <row r="1396" spans="1:39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>
        <f>IF(HR_Cleaned[[#This Row],[Age]]&lt;25,"18-24",IF(HR_Cleaned[[#This Row],[Age]]&lt;35,"25-34",IF(HR_Cleaned[[#This Row],[Age]]&lt;45,"35-44",IF(HR_Cleaned[[#This Row],[Age]]&lt;55,"45-54","55+"))))</f>
        <v>25-34</v>
      </c>
      <c r="AK1396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96" t="str">
        <f>IF(HR_Cleaned[[#This Row],[MonthlyIncome]]&lt;3000,"Below 3000",IF(HR_Cleaned[[#This Row],[MonthlyIncome]]&lt;5000,"3000-4999",IF(HR_Cleaned[[#This Row],[MonthlyIncome]]&lt;8000,"5000-7999","8000+")))</f>
        <v>8000+</v>
      </c>
      <c r="AM1396">
        <f>IF(HR_Cleaned[[#This Row],[Attrition]]="Yes",1,0)</f>
        <v>0</v>
      </c>
    </row>
    <row r="1397" spans="1:39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>
        <f>IF(HR_Cleaned[[#This Row],[Age]]&lt;25,"18-24",IF(HR_Cleaned[[#This Row],[Age]]&lt;35,"25-34",IF(HR_Cleaned[[#This Row],[Age]]&lt;45,"35-44",IF(HR_Cleaned[[#This Row],[Age]]&lt;55,"45-54","55+"))))</f>
        <v>25-34</v>
      </c>
      <c r="AK139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397" t="str">
        <f>IF(HR_Cleaned[[#This Row],[MonthlyIncome]]&lt;3000,"Below 3000",IF(HR_Cleaned[[#This Row],[MonthlyIncome]]&lt;5000,"3000-4999",IF(HR_Cleaned[[#This Row],[MonthlyIncome]]&lt;8000,"5000-7999","8000+")))</f>
        <v>5000-7999</v>
      </c>
      <c r="AM1397">
        <f>IF(HR_Cleaned[[#This Row],[Attrition]]="Yes",1,0)</f>
        <v>1</v>
      </c>
    </row>
    <row r="1398" spans="1:39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>
        <f>IF(HR_Cleaned[[#This Row],[Age]]&lt;25,"18-24",IF(HR_Cleaned[[#This Row],[Age]]&lt;35,"25-34",IF(HR_Cleaned[[#This Row],[Age]]&lt;45,"35-44",IF(HR_Cleaned[[#This Row],[Age]]&lt;55,"45-54","55+"))))</f>
        <v>45-54</v>
      </c>
      <c r="AK139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398" t="str">
        <f>IF(HR_Cleaned[[#This Row],[MonthlyIncome]]&lt;3000,"Below 3000",IF(HR_Cleaned[[#This Row],[MonthlyIncome]]&lt;5000,"3000-4999",IF(HR_Cleaned[[#This Row],[MonthlyIncome]]&lt;8000,"5000-7999","8000+")))</f>
        <v>8000+</v>
      </c>
      <c r="AM1398">
        <f>IF(HR_Cleaned[[#This Row],[Attrition]]="Yes",1,0)</f>
        <v>1</v>
      </c>
    </row>
    <row r="1399" spans="1:39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>
        <f>IF(HR_Cleaned[[#This Row],[Age]]&lt;25,"18-24",IF(HR_Cleaned[[#This Row],[Age]]&lt;35,"25-34",IF(HR_Cleaned[[#This Row],[Age]]&lt;45,"35-44",IF(HR_Cleaned[[#This Row],[Age]]&lt;55,"45-54","55+"))))</f>
        <v>45-54</v>
      </c>
      <c r="AK139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399" t="str">
        <f>IF(HR_Cleaned[[#This Row],[MonthlyIncome]]&lt;3000,"Below 3000",IF(HR_Cleaned[[#This Row],[MonthlyIncome]]&lt;5000,"3000-4999",IF(HR_Cleaned[[#This Row],[MonthlyIncome]]&lt;8000,"5000-7999","8000+")))</f>
        <v>Below 3000</v>
      </c>
      <c r="AM1399">
        <f>IF(HR_Cleaned[[#This Row],[Attrition]]="Yes",1,0)</f>
        <v>0</v>
      </c>
    </row>
    <row r="1400" spans="1:39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>
        <f>IF(HR_Cleaned[[#This Row],[Age]]&lt;25,"18-24",IF(HR_Cleaned[[#This Row],[Age]]&lt;35,"25-34",IF(HR_Cleaned[[#This Row],[Age]]&lt;45,"35-44",IF(HR_Cleaned[[#This Row],[Age]]&lt;55,"45-54","55+"))))</f>
        <v>25-34</v>
      </c>
      <c r="AK140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00" t="str">
        <f>IF(HR_Cleaned[[#This Row],[MonthlyIncome]]&lt;3000,"Below 3000",IF(HR_Cleaned[[#This Row],[MonthlyIncome]]&lt;5000,"3000-4999",IF(HR_Cleaned[[#This Row],[MonthlyIncome]]&lt;8000,"5000-7999","8000+")))</f>
        <v>5000-7999</v>
      </c>
      <c r="AM1400">
        <f>IF(HR_Cleaned[[#This Row],[Attrition]]="Yes",1,0)</f>
        <v>0</v>
      </c>
    </row>
    <row r="1401" spans="1:39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>
        <f>IF(HR_Cleaned[[#This Row],[Age]]&lt;25,"18-24",IF(HR_Cleaned[[#This Row],[Age]]&lt;35,"25-34",IF(HR_Cleaned[[#This Row],[Age]]&lt;45,"35-44",IF(HR_Cleaned[[#This Row],[Age]]&lt;55,"45-54","55+"))))</f>
        <v>35-44</v>
      </c>
      <c r="AK140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01" t="str">
        <f>IF(HR_Cleaned[[#This Row],[MonthlyIncome]]&lt;3000,"Below 3000",IF(HR_Cleaned[[#This Row],[MonthlyIncome]]&lt;5000,"3000-4999",IF(HR_Cleaned[[#This Row],[MonthlyIncome]]&lt;8000,"5000-7999","8000+")))</f>
        <v>5000-7999</v>
      </c>
      <c r="AM1401">
        <f>IF(HR_Cleaned[[#This Row],[Attrition]]="Yes",1,0)</f>
        <v>0</v>
      </c>
    </row>
    <row r="1402" spans="1:39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>
        <f>IF(HR_Cleaned[[#This Row],[Age]]&lt;25,"18-24",IF(HR_Cleaned[[#This Row],[Age]]&lt;35,"25-34",IF(HR_Cleaned[[#This Row],[Age]]&lt;45,"35-44",IF(HR_Cleaned[[#This Row],[Age]]&lt;55,"45-54","55+"))))</f>
        <v>35-44</v>
      </c>
      <c r="AK140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02" t="str">
        <f>IF(HR_Cleaned[[#This Row],[MonthlyIncome]]&lt;3000,"Below 3000",IF(HR_Cleaned[[#This Row],[MonthlyIncome]]&lt;5000,"3000-4999",IF(HR_Cleaned[[#This Row],[MonthlyIncome]]&lt;8000,"5000-7999","8000+")))</f>
        <v>Below 3000</v>
      </c>
      <c r="AM1402">
        <f>IF(HR_Cleaned[[#This Row],[Attrition]]="Yes",1,0)</f>
        <v>0</v>
      </c>
    </row>
    <row r="1403" spans="1:39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>
        <f>IF(HR_Cleaned[[#This Row],[Age]]&lt;25,"18-24",IF(HR_Cleaned[[#This Row],[Age]]&lt;35,"25-34",IF(HR_Cleaned[[#This Row],[Age]]&lt;45,"35-44",IF(HR_Cleaned[[#This Row],[Age]]&lt;55,"45-54","55+"))))</f>
        <v>55+</v>
      </c>
      <c r="AK140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03" t="str">
        <f>IF(HR_Cleaned[[#This Row],[MonthlyIncome]]&lt;3000,"Below 3000",IF(HR_Cleaned[[#This Row],[MonthlyIncome]]&lt;5000,"3000-4999",IF(HR_Cleaned[[#This Row],[MonthlyIncome]]&lt;8000,"5000-7999","8000+")))</f>
        <v>8000+</v>
      </c>
      <c r="AM1403">
        <f>IF(HR_Cleaned[[#This Row],[Attrition]]="Yes",1,0)</f>
        <v>0</v>
      </c>
    </row>
    <row r="1404" spans="1:39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>
        <f>IF(HR_Cleaned[[#This Row],[Age]]&lt;25,"18-24",IF(HR_Cleaned[[#This Row],[Age]]&lt;35,"25-34",IF(HR_Cleaned[[#This Row],[Age]]&lt;45,"35-44",IF(HR_Cleaned[[#This Row],[Age]]&lt;55,"45-54","55+"))))</f>
        <v>25-34</v>
      </c>
      <c r="AK140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404" t="str">
        <f>IF(HR_Cleaned[[#This Row],[MonthlyIncome]]&lt;3000,"Below 3000",IF(HR_Cleaned[[#This Row],[MonthlyIncome]]&lt;5000,"3000-4999",IF(HR_Cleaned[[#This Row],[MonthlyIncome]]&lt;8000,"5000-7999","8000+")))</f>
        <v>Below 3000</v>
      </c>
      <c r="AM1404">
        <f>IF(HR_Cleaned[[#This Row],[Attrition]]="Yes",1,0)</f>
        <v>0</v>
      </c>
    </row>
    <row r="1405" spans="1:39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>
        <f>IF(HR_Cleaned[[#This Row],[Age]]&lt;25,"18-24",IF(HR_Cleaned[[#This Row],[Age]]&lt;35,"25-34",IF(HR_Cleaned[[#This Row],[Age]]&lt;45,"35-44",IF(HR_Cleaned[[#This Row],[Age]]&lt;55,"45-54","55+"))))</f>
        <v>35-44</v>
      </c>
      <c r="AK140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405" t="str">
        <f>IF(HR_Cleaned[[#This Row],[MonthlyIncome]]&lt;3000,"Below 3000",IF(HR_Cleaned[[#This Row],[MonthlyIncome]]&lt;5000,"3000-4999",IF(HR_Cleaned[[#This Row],[MonthlyIncome]]&lt;8000,"5000-7999","8000+")))</f>
        <v>8000+</v>
      </c>
      <c r="AM1405">
        <f>IF(HR_Cleaned[[#This Row],[Attrition]]="Yes",1,0)</f>
        <v>0</v>
      </c>
    </row>
    <row r="1406" spans="1:39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>
        <f>IF(HR_Cleaned[[#This Row],[Age]]&lt;25,"18-24",IF(HR_Cleaned[[#This Row],[Age]]&lt;35,"25-34",IF(HR_Cleaned[[#This Row],[Age]]&lt;45,"35-44",IF(HR_Cleaned[[#This Row],[Age]]&lt;55,"45-54","55+"))))</f>
        <v>35-44</v>
      </c>
      <c r="AK1406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406" t="str">
        <f>IF(HR_Cleaned[[#This Row],[MonthlyIncome]]&lt;3000,"Below 3000",IF(HR_Cleaned[[#This Row],[MonthlyIncome]]&lt;5000,"3000-4999",IF(HR_Cleaned[[#This Row],[MonthlyIncome]]&lt;8000,"5000-7999","8000+")))</f>
        <v>3000-4999</v>
      </c>
      <c r="AM1406">
        <f>IF(HR_Cleaned[[#This Row],[Attrition]]="Yes",1,0)</f>
        <v>0</v>
      </c>
    </row>
    <row r="1407" spans="1:39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>
        <f>IF(HR_Cleaned[[#This Row],[Age]]&lt;25,"18-24",IF(HR_Cleaned[[#This Row],[Age]]&lt;35,"25-34",IF(HR_Cleaned[[#This Row],[Age]]&lt;45,"35-44",IF(HR_Cleaned[[#This Row],[Age]]&lt;55,"45-54","55+"))))</f>
        <v>25-34</v>
      </c>
      <c r="AK140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407" t="str">
        <f>IF(HR_Cleaned[[#This Row],[MonthlyIncome]]&lt;3000,"Below 3000",IF(HR_Cleaned[[#This Row],[MonthlyIncome]]&lt;5000,"3000-4999",IF(HR_Cleaned[[#This Row],[MonthlyIncome]]&lt;8000,"5000-7999","8000+")))</f>
        <v>8000+</v>
      </c>
      <c r="AM1407">
        <f>IF(HR_Cleaned[[#This Row],[Attrition]]="Yes",1,0)</f>
        <v>0</v>
      </c>
    </row>
    <row r="1408" spans="1:39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>
        <f>IF(HR_Cleaned[[#This Row],[Age]]&lt;25,"18-24",IF(HR_Cleaned[[#This Row],[Age]]&lt;35,"25-34",IF(HR_Cleaned[[#This Row],[Age]]&lt;45,"35-44",IF(HR_Cleaned[[#This Row],[Age]]&lt;55,"45-54","55+"))))</f>
        <v>45-54</v>
      </c>
      <c r="AK1408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08" t="str">
        <f>IF(HR_Cleaned[[#This Row],[MonthlyIncome]]&lt;3000,"Below 3000",IF(HR_Cleaned[[#This Row],[MonthlyIncome]]&lt;5000,"3000-4999",IF(HR_Cleaned[[#This Row],[MonthlyIncome]]&lt;8000,"5000-7999","8000+")))</f>
        <v>3000-4999</v>
      </c>
      <c r="AM1408">
        <f>IF(HR_Cleaned[[#This Row],[Attrition]]="Yes",1,0)</f>
        <v>0</v>
      </c>
    </row>
    <row r="1409" spans="1:39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>
        <f>IF(HR_Cleaned[[#This Row],[Age]]&lt;25,"18-24",IF(HR_Cleaned[[#This Row],[Age]]&lt;35,"25-34",IF(HR_Cleaned[[#This Row],[Age]]&lt;45,"35-44",IF(HR_Cleaned[[#This Row],[Age]]&lt;55,"45-54","55+"))))</f>
        <v>18-24</v>
      </c>
      <c r="AK140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09" t="str">
        <f>IF(HR_Cleaned[[#This Row],[MonthlyIncome]]&lt;3000,"Below 3000",IF(HR_Cleaned[[#This Row],[MonthlyIncome]]&lt;5000,"3000-4999",IF(HR_Cleaned[[#This Row],[MonthlyIncome]]&lt;8000,"5000-7999","8000+")))</f>
        <v>3000-4999</v>
      </c>
      <c r="AM1409">
        <f>IF(HR_Cleaned[[#This Row],[Attrition]]="Yes",1,0)</f>
        <v>0</v>
      </c>
    </row>
    <row r="1410" spans="1:39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>
        <f>IF(HR_Cleaned[[#This Row],[Age]]&lt;25,"18-24",IF(HR_Cleaned[[#This Row],[Age]]&lt;35,"25-34",IF(HR_Cleaned[[#This Row],[Age]]&lt;45,"35-44",IF(HR_Cleaned[[#This Row],[Age]]&lt;55,"45-54","55+"))))</f>
        <v>18-24</v>
      </c>
      <c r="AK141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10" t="str">
        <f>IF(HR_Cleaned[[#This Row],[MonthlyIncome]]&lt;3000,"Below 3000",IF(HR_Cleaned[[#This Row],[MonthlyIncome]]&lt;5000,"3000-4999",IF(HR_Cleaned[[#This Row],[MonthlyIncome]]&lt;8000,"5000-7999","8000+")))</f>
        <v>Below 3000</v>
      </c>
      <c r="AM1410">
        <f>IF(HR_Cleaned[[#This Row],[Attrition]]="Yes",1,0)</f>
        <v>0</v>
      </c>
    </row>
    <row r="1411" spans="1:39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>
        <f>IF(HR_Cleaned[[#This Row],[Age]]&lt;25,"18-24",IF(HR_Cleaned[[#This Row],[Age]]&lt;35,"25-34",IF(HR_Cleaned[[#This Row],[Age]]&lt;45,"35-44",IF(HR_Cleaned[[#This Row],[Age]]&lt;55,"45-54","55+"))))</f>
        <v>35-44</v>
      </c>
      <c r="AK141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11" t="str">
        <f>IF(HR_Cleaned[[#This Row],[MonthlyIncome]]&lt;3000,"Below 3000",IF(HR_Cleaned[[#This Row],[MonthlyIncome]]&lt;5000,"3000-4999",IF(HR_Cleaned[[#This Row],[MonthlyIncome]]&lt;8000,"5000-7999","8000+")))</f>
        <v>5000-7999</v>
      </c>
      <c r="AM1411">
        <f>IF(HR_Cleaned[[#This Row],[Attrition]]="Yes",1,0)</f>
        <v>0</v>
      </c>
    </row>
    <row r="1412" spans="1:39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>
        <f>IF(HR_Cleaned[[#This Row],[Age]]&lt;25,"18-24",IF(HR_Cleaned[[#This Row],[Age]]&lt;35,"25-34",IF(HR_Cleaned[[#This Row],[Age]]&lt;45,"35-44",IF(HR_Cleaned[[#This Row],[Age]]&lt;55,"45-54","55+"))))</f>
        <v>35-44</v>
      </c>
      <c r="AK141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412" t="str">
        <f>IF(HR_Cleaned[[#This Row],[MonthlyIncome]]&lt;3000,"Below 3000",IF(HR_Cleaned[[#This Row],[MonthlyIncome]]&lt;5000,"3000-4999",IF(HR_Cleaned[[#This Row],[MonthlyIncome]]&lt;8000,"5000-7999","8000+")))</f>
        <v>5000-7999</v>
      </c>
      <c r="AM1412">
        <f>IF(HR_Cleaned[[#This Row],[Attrition]]="Yes",1,0)</f>
        <v>0</v>
      </c>
    </row>
    <row r="1413" spans="1:39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>
        <f>IF(HR_Cleaned[[#This Row],[Age]]&lt;25,"18-24",IF(HR_Cleaned[[#This Row],[Age]]&lt;35,"25-34",IF(HR_Cleaned[[#This Row],[Age]]&lt;45,"35-44",IF(HR_Cleaned[[#This Row],[Age]]&lt;55,"45-54","55+"))))</f>
        <v>25-34</v>
      </c>
      <c r="AK1413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413" t="str">
        <f>IF(HR_Cleaned[[#This Row],[MonthlyIncome]]&lt;3000,"Below 3000",IF(HR_Cleaned[[#This Row],[MonthlyIncome]]&lt;5000,"3000-4999",IF(HR_Cleaned[[#This Row],[MonthlyIncome]]&lt;8000,"5000-7999","8000+")))</f>
        <v>Below 3000</v>
      </c>
      <c r="AM1413">
        <f>IF(HR_Cleaned[[#This Row],[Attrition]]="Yes",1,0)</f>
        <v>0</v>
      </c>
    </row>
    <row r="1414" spans="1:39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>
        <f>IF(HR_Cleaned[[#This Row],[Age]]&lt;25,"18-24",IF(HR_Cleaned[[#This Row],[Age]]&lt;35,"25-34",IF(HR_Cleaned[[#This Row],[Age]]&lt;45,"35-44",IF(HR_Cleaned[[#This Row],[Age]]&lt;55,"45-54","55+"))))</f>
        <v>25-34</v>
      </c>
      <c r="AK1414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414" t="str">
        <f>IF(HR_Cleaned[[#This Row],[MonthlyIncome]]&lt;3000,"Below 3000",IF(HR_Cleaned[[#This Row],[MonthlyIncome]]&lt;5000,"3000-4999",IF(HR_Cleaned[[#This Row],[MonthlyIncome]]&lt;8000,"5000-7999","8000+")))</f>
        <v>3000-4999</v>
      </c>
      <c r="AM1414">
        <f>IF(HR_Cleaned[[#This Row],[Attrition]]="Yes",1,0)</f>
        <v>0</v>
      </c>
    </row>
    <row r="1415" spans="1:39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>
        <f>IF(HR_Cleaned[[#This Row],[Age]]&lt;25,"18-24",IF(HR_Cleaned[[#This Row],[Age]]&lt;35,"25-34",IF(HR_Cleaned[[#This Row],[Age]]&lt;45,"35-44",IF(HR_Cleaned[[#This Row],[Age]]&lt;55,"45-54","55+"))))</f>
        <v>25-34</v>
      </c>
      <c r="AK1415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415" t="str">
        <f>IF(HR_Cleaned[[#This Row],[MonthlyIncome]]&lt;3000,"Below 3000",IF(HR_Cleaned[[#This Row],[MonthlyIncome]]&lt;5000,"3000-4999",IF(HR_Cleaned[[#This Row],[MonthlyIncome]]&lt;8000,"5000-7999","8000+")))</f>
        <v>3000-4999</v>
      </c>
      <c r="AM1415">
        <f>IF(HR_Cleaned[[#This Row],[Attrition]]="Yes",1,0)</f>
        <v>0</v>
      </c>
    </row>
    <row r="1416" spans="1:39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>
        <f>IF(HR_Cleaned[[#This Row],[Age]]&lt;25,"18-24",IF(HR_Cleaned[[#This Row],[Age]]&lt;35,"25-34",IF(HR_Cleaned[[#This Row],[Age]]&lt;45,"35-44",IF(HR_Cleaned[[#This Row],[Age]]&lt;55,"45-54","55+"))))</f>
        <v>45-54</v>
      </c>
      <c r="AK1416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416" t="str">
        <f>IF(HR_Cleaned[[#This Row],[MonthlyIncome]]&lt;3000,"Below 3000",IF(HR_Cleaned[[#This Row],[MonthlyIncome]]&lt;5000,"3000-4999",IF(HR_Cleaned[[#This Row],[MonthlyIncome]]&lt;8000,"5000-7999","8000+")))</f>
        <v>8000+</v>
      </c>
      <c r="AM1416">
        <f>IF(HR_Cleaned[[#This Row],[Attrition]]="Yes",1,0)</f>
        <v>0</v>
      </c>
    </row>
    <row r="1417" spans="1:39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>
        <f>IF(HR_Cleaned[[#This Row],[Age]]&lt;25,"18-24",IF(HR_Cleaned[[#This Row],[Age]]&lt;35,"25-34",IF(HR_Cleaned[[#This Row],[Age]]&lt;45,"35-44",IF(HR_Cleaned[[#This Row],[Age]]&lt;55,"45-54","55+"))))</f>
        <v>25-34</v>
      </c>
      <c r="AK141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417" t="str">
        <f>IF(HR_Cleaned[[#This Row],[MonthlyIncome]]&lt;3000,"Below 3000",IF(HR_Cleaned[[#This Row],[MonthlyIncome]]&lt;5000,"3000-4999",IF(HR_Cleaned[[#This Row],[MonthlyIncome]]&lt;8000,"5000-7999","8000+")))</f>
        <v>Below 3000</v>
      </c>
      <c r="AM1417">
        <f>IF(HR_Cleaned[[#This Row],[Attrition]]="Yes",1,0)</f>
        <v>0</v>
      </c>
    </row>
    <row r="1418" spans="1:39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>
        <f>IF(HR_Cleaned[[#This Row],[Age]]&lt;25,"18-24",IF(HR_Cleaned[[#This Row],[Age]]&lt;35,"25-34",IF(HR_Cleaned[[#This Row],[Age]]&lt;45,"35-44",IF(HR_Cleaned[[#This Row],[Age]]&lt;55,"45-54","55+"))))</f>
        <v>35-44</v>
      </c>
      <c r="AK1418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418" t="str">
        <f>IF(HR_Cleaned[[#This Row],[MonthlyIncome]]&lt;3000,"Below 3000",IF(HR_Cleaned[[#This Row],[MonthlyIncome]]&lt;5000,"3000-4999",IF(HR_Cleaned[[#This Row],[MonthlyIncome]]&lt;8000,"5000-7999","8000+")))</f>
        <v>3000-4999</v>
      </c>
      <c r="AM1418">
        <f>IF(HR_Cleaned[[#This Row],[Attrition]]="Yes",1,0)</f>
        <v>0</v>
      </c>
    </row>
    <row r="1419" spans="1:39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>
        <f>IF(HR_Cleaned[[#This Row],[Age]]&lt;25,"18-24",IF(HR_Cleaned[[#This Row],[Age]]&lt;35,"25-34",IF(HR_Cleaned[[#This Row],[Age]]&lt;45,"35-44",IF(HR_Cleaned[[#This Row],[Age]]&lt;55,"45-54","55+"))))</f>
        <v>25-34</v>
      </c>
      <c r="AK141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419" t="str">
        <f>IF(HR_Cleaned[[#This Row],[MonthlyIncome]]&lt;3000,"Below 3000",IF(HR_Cleaned[[#This Row],[MonthlyIncome]]&lt;5000,"3000-4999",IF(HR_Cleaned[[#This Row],[MonthlyIncome]]&lt;8000,"5000-7999","8000+")))</f>
        <v>3000-4999</v>
      </c>
      <c r="AM1419">
        <f>IF(HR_Cleaned[[#This Row],[Attrition]]="Yes",1,0)</f>
        <v>0</v>
      </c>
    </row>
    <row r="1420" spans="1:39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>
        <f>IF(HR_Cleaned[[#This Row],[Age]]&lt;25,"18-24",IF(HR_Cleaned[[#This Row],[Age]]&lt;35,"25-34",IF(HR_Cleaned[[#This Row],[Age]]&lt;45,"35-44",IF(HR_Cleaned[[#This Row],[Age]]&lt;55,"45-54","55+"))))</f>
        <v>35-44</v>
      </c>
      <c r="AK142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20" t="str">
        <f>IF(HR_Cleaned[[#This Row],[MonthlyIncome]]&lt;3000,"Below 3000",IF(HR_Cleaned[[#This Row],[MonthlyIncome]]&lt;5000,"3000-4999",IF(HR_Cleaned[[#This Row],[MonthlyIncome]]&lt;8000,"5000-7999","8000+")))</f>
        <v>5000-7999</v>
      </c>
      <c r="AM1420">
        <f>IF(HR_Cleaned[[#This Row],[Attrition]]="Yes",1,0)</f>
        <v>0</v>
      </c>
    </row>
    <row r="1421" spans="1:39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>
        <f>IF(HR_Cleaned[[#This Row],[Age]]&lt;25,"18-24",IF(HR_Cleaned[[#This Row],[Age]]&lt;35,"25-34",IF(HR_Cleaned[[#This Row],[Age]]&lt;45,"35-44",IF(HR_Cleaned[[#This Row],[Age]]&lt;55,"45-54","55+"))))</f>
        <v>35-44</v>
      </c>
      <c r="AK142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21" t="str">
        <f>IF(HR_Cleaned[[#This Row],[MonthlyIncome]]&lt;3000,"Below 3000",IF(HR_Cleaned[[#This Row],[MonthlyIncome]]&lt;5000,"3000-4999",IF(HR_Cleaned[[#This Row],[MonthlyIncome]]&lt;8000,"5000-7999","8000+")))</f>
        <v>5000-7999</v>
      </c>
      <c r="AM1421">
        <f>IF(HR_Cleaned[[#This Row],[Attrition]]="Yes",1,0)</f>
        <v>0</v>
      </c>
    </row>
    <row r="1422" spans="1:39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>
        <f>IF(HR_Cleaned[[#This Row],[Age]]&lt;25,"18-24",IF(HR_Cleaned[[#This Row],[Age]]&lt;35,"25-34",IF(HR_Cleaned[[#This Row],[Age]]&lt;45,"35-44",IF(HR_Cleaned[[#This Row],[Age]]&lt;55,"45-54","55+"))))</f>
        <v>35-44</v>
      </c>
      <c r="AK142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22" t="str">
        <f>IF(HR_Cleaned[[#This Row],[MonthlyIncome]]&lt;3000,"Below 3000",IF(HR_Cleaned[[#This Row],[MonthlyIncome]]&lt;5000,"3000-4999",IF(HR_Cleaned[[#This Row],[MonthlyIncome]]&lt;8000,"5000-7999","8000+")))</f>
        <v>Below 3000</v>
      </c>
      <c r="AM1422">
        <f>IF(HR_Cleaned[[#This Row],[Attrition]]="Yes",1,0)</f>
        <v>0</v>
      </c>
    </row>
    <row r="1423" spans="1:39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>
        <f>IF(HR_Cleaned[[#This Row],[Age]]&lt;25,"18-24",IF(HR_Cleaned[[#This Row],[Age]]&lt;35,"25-34",IF(HR_Cleaned[[#This Row],[Age]]&lt;45,"35-44",IF(HR_Cleaned[[#This Row],[Age]]&lt;55,"45-54","55+"))))</f>
        <v>45-54</v>
      </c>
      <c r="AK142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423" t="str">
        <f>IF(HR_Cleaned[[#This Row],[MonthlyIncome]]&lt;3000,"Below 3000",IF(HR_Cleaned[[#This Row],[MonthlyIncome]]&lt;5000,"3000-4999",IF(HR_Cleaned[[#This Row],[MonthlyIncome]]&lt;8000,"5000-7999","8000+")))</f>
        <v>8000+</v>
      </c>
      <c r="AM1423">
        <f>IF(HR_Cleaned[[#This Row],[Attrition]]="Yes",1,0)</f>
        <v>0</v>
      </c>
    </row>
    <row r="1424" spans="1:39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>
        <f>IF(HR_Cleaned[[#This Row],[Age]]&lt;25,"18-24",IF(HR_Cleaned[[#This Row],[Age]]&lt;35,"25-34",IF(HR_Cleaned[[#This Row],[Age]]&lt;45,"35-44",IF(HR_Cleaned[[#This Row],[Age]]&lt;55,"45-54","55+"))))</f>
        <v>35-44</v>
      </c>
      <c r="AK142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424" t="str">
        <f>IF(HR_Cleaned[[#This Row],[MonthlyIncome]]&lt;3000,"Below 3000",IF(HR_Cleaned[[#This Row],[MonthlyIncome]]&lt;5000,"3000-4999",IF(HR_Cleaned[[#This Row],[MonthlyIncome]]&lt;8000,"5000-7999","8000+")))</f>
        <v>Below 3000</v>
      </c>
      <c r="AM1424">
        <f>IF(HR_Cleaned[[#This Row],[Attrition]]="Yes",1,0)</f>
        <v>0</v>
      </c>
    </row>
    <row r="1425" spans="1:39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>
        <f>IF(HR_Cleaned[[#This Row],[Age]]&lt;25,"18-24",IF(HR_Cleaned[[#This Row],[Age]]&lt;35,"25-34",IF(HR_Cleaned[[#This Row],[Age]]&lt;45,"35-44",IF(HR_Cleaned[[#This Row],[Age]]&lt;55,"45-54","55+"))))</f>
        <v>18-24</v>
      </c>
      <c r="AK142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25" t="str">
        <f>IF(HR_Cleaned[[#This Row],[MonthlyIncome]]&lt;3000,"Below 3000",IF(HR_Cleaned[[#This Row],[MonthlyIncome]]&lt;5000,"3000-4999",IF(HR_Cleaned[[#This Row],[MonthlyIncome]]&lt;8000,"5000-7999","8000+")))</f>
        <v>3000-4999</v>
      </c>
      <c r="AM1425">
        <f>IF(HR_Cleaned[[#This Row],[Attrition]]="Yes",1,0)</f>
        <v>0</v>
      </c>
    </row>
    <row r="1426" spans="1:39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>
        <f>IF(HR_Cleaned[[#This Row],[Age]]&lt;25,"18-24",IF(HR_Cleaned[[#This Row],[Age]]&lt;35,"25-34",IF(HR_Cleaned[[#This Row],[Age]]&lt;45,"35-44",IF(HR_Cleaned[[#This Row],[Age]]&lt;55,"45-54","55+"))))</f>
        <v>35-44</v>
      </c>
      <c r="AK142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26" t="str">
        <f>IF(HR_Cleaned[[#This Row],[MonthlyIncome]]&lt;3000,"Below 3000",IF(HR_Cleaned[[#This Row],[MonthlyIncome]]&lt;5000,"3000-4999",IF(HR_Cleaned[[#This Row],[MonthlyIncome]]&lt;8000,"5000-7999","8000+")))</f>
        <v>5000-7999</v>
      </c>
      <c r="AM1426">
        <f>IF(HR_Cleaned[[#This Row],[Attrition]]="Yes",1,0)</f>
        <v>0</v>
      </c>
    </row>
    <row r="1427" spans="1:39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>
        <f>IF(HR_Cleaned[[#This Row],[Age]]&lt;25,"18-24",IF(HR_Cleaned[[#This Row],[Age]]&lt;35,"25-34",IF(HR_Cleaned[[#This Row],[Age]]&lt;45,"35-44",IF(HR_Cleaned[[#This Row],[Age]]&lt;55,"45-54","55+"))))</f>
        <v>25-34</v>
      </c>
      <c r="AK1427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27" t="str">
        <f>IF(HR_Cleaned[[#This Row],[MonthlyIncome]]&lt;3000,"Below 3000",IF(HR_Cleaned[[#This Row],[MonthlyIncome]]&lt;5000,"3000-4999",IF(HR_Cleaned[[#This Row],[MonthlyIncome]]&lt;8000,"5000-7999","8000+")))</f>
        <v>3000-4999</v>
      </c>
      <c r="AM1427">
        <f>IF(HR_Cleaned[[#This Row],[Attrition]]="Yes",1,0)</f>
        <v>0</v>
      </c>
    </row>
    <row r="1428" spans="1:39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>
        <f>IF(HR_Cleaned[[#This Row],[Age]]&lt;25,"18-24",IF(HR_Cleaned[[#This Row],[Age]]&lt;35,"25-34",IF(HR_Cleaned[[#This Row],[Age]]&lt;45,"35-44",IF(HR_Cleaned[[#This Row],[Age]]&lt;55,"45-54","55+"))))</f>
        <v>25-34</v>
      </c>
      <c r="AK142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28" t="str">
        <f>IF(HR_Cleaned[[#This Row],[MonthlyIncome]]&lt;3000,"Below 3000",IF(HR_Cleaned[[#This Row],[MonthlyIncome]]&lt;5000,"3000-4999",IF(HR_Cleaned[[#This Row],[MonthlyIncome]]&lt;8000,"5000-7999","8000+")))</f>
        <v>Below 3000</v>
      </c>
      <c r="AM1428">
        <f>IF(HR_Cleaned[[#This Row],[Attrition]]="Yes",1,0)</f>
        <v>0</v>
      </c>
    </row>
    <row r="1429" spans="1:39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>
        <f>IF(HR_Cleaned[[#This Row],[Age]]&lt;25,"18-24",IF(HR_Cleaned[[#This Row],[Age]]&lt;35,"25-34",IF(HR_Cleaned[[#This Row],[Age]]&lt;45,"35-44",IF(HR_Cleaned[[#This Row],[Age]]&lt;55,"45-54","55+"))))</f>
        <v>35-44</v>
      </c>
      <c r="AK1429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429" t="str">
        <f>IF(HR_Cleaned[[#This Row],[MonthlyIncome]]&lt;3000,"Below 3000",IF(HR_Cleaned[[#This Row],[MonthlyIncome]]&lt;5000,"3000-4999",IF(HR_Cleaned[[#This Row],[MonthlyIncome]]&lt;8000,"5000-7999","8000+")))</f>
        <v>Below 3000</v>
      </c>
      <c r="AM1429">
        <f>IF(HR_Cleaned[[#This Row],[Attrition]]="Yes",1,0)</f>
        <v>0</v>
      </c>
    </row>
    <row r="1430" spans="1:39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>
        <f>IF(HR_Cleaned[[#This Row],[Age]]&lt;25,"18-24",IF(HR_Cleaned[[#This Row],[Age]]&lt;35,"25-34",IF(HR_Cleaned[[#This Row],[Age]]&lt;45,"35-44",IF(HR_Cleaned[[#This Row],[Age]]&lt;55,"45-54","55+"))))</f>
        <v>25-34</v>
      </c>
      <c r="AK143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430" t="str">
        <f>IF(HR_Cleaned[[#This Row],[MonthlyIncome]]&lt;3000,"Below 3000",IF(HR_Cleaned[[#This Row],[MonthlyIncome]]&lt;5000,"3000-4999",IF(HR_Cleaned[[#This Row],[MonthlyIncome]]&lt;8000,"5000-7999","8000+")))</f>
        <v>Below 3000</v>
      </c>
      <c r="AM1430">
        <f>IF(HR_Cleaned[[#This Row],[Attrition]]="Yes",1,0)</f>
        <v>0</v>
      </c>
    </row>
    <row r="1431" spans="1:39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>
        <f>IF(HR_Cleaned[[#This Row],[Age]]&lt;25,"18-24",IF(HR_Cleaned[[#This Row],[Age]]&lt;35,"25-34",IF(HR_Cleaned[[#This Row],[Age]]&lt;45,"35-44",IF(HR_Cleaned[[#This Row],[Age]]&lt;55,"45-54","55+"))))</f>
        <v>35-44</v>
      </c>
      <c r="AK143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31" t="str">
        <f>IF(HR_Cleaned[[#This Row],[MonthlyIncome]]&lt;3000,"Below 3000",IF(HR_Cleaned[[#This Row],[MonthlyIncome]]&lt;5000,"3000-4999",IF(HR_Cleaned[[#This Row],[MonthlyIncome]]&lt;8000,"5000-7999","8000+")))</f>
        <v>3000-4999</v>
      </c>
      <c r="AM1431">
        <f>IF(HR_Cleaned[[#This Row],[Attrition]]="Yes",1,0)</f>
        <v>0</v>
      </c>
    </row>
    <row r="1432" spans="1:39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>
        <f>IF(HR_Cleaned[[#This Row],[Age]]&lt;25,"18-24",IF(HR_Cleaned[[#This Row],[Age]]&lt;35,"25-34",IF(HR_Cleaned[[#This Row],[Age]]&lt;45,"35-44",IF(HR_Cleaned[[#This Row],[Age]]&lt;55,"45-54","55+"))))</f>
        <v>35-44</v>
      </c>
      <c r="AK1432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432" t="str">
        <f>IF(HR_Cleaned[[#This Row],[MonthlyIncome]]&lt;3000,"Below 3000",IF(HR_Cleaned[[#This Row],[MonthlyIncome]]&lt;5000,"3000-4999",IF(HR_Cleaned[[#This Row],[MonthlyIncome]]&lt;8000,"5000-7999","8000+")))</f>
        <v>8000+</v>
      </c>
      <c r="AM1432">
        <f>IF(HR_Cleaned[[#This Row],[Attrition]]="Yes",1,0)</f>
        <v>0</v>
      </c>
    </row>
    <row r="1433" spans="1:39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>
        <f>IF(HR_Cleaned[[#This Row],[Age]]&lt;25,"18-24",IF(HR_Cleaned[[#This Row],[Age]]&lt;35,"25-34",IF(HR_Cleaned[[#This Row],[Age]]&lt;45,"35-44",IF(HR_Cleaned[[#This Row],[Age]]&lt;55,"45-54","55+"))))</f>
        <v>25-34</v>
      </c>
      <c r="AK143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433" t="str">
        <f>IF(HR_Cleaned[[#This Row],[MonthlyIncome]]&lt;3000,"Below 3000",IF(HR_Cleaned[[#This Row],[MonthlyIncome]]&lt;5000,"3000-4999",IF(HR_Cleaned[[#This Row],[MonthlyIncome]]&lt;8000,"5000-7999","8000+")))</f>
        <v>8000+</v>
      </c>
      <c r="AM1433">
        <f>IF(HR_Cleaned[[#This Row],[Attrition]]="Yes",1,0)</f>
        <v>0</v>
      </c>
    </row>
    <row r="1434" spans="1:39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>
        <f>IF(HR_Cleaned[[#This Row],[Age]]&lt;25,"18-24",IF(HR_Cleaned[[#This Row],[Age]]&lt;35,"25-34",IF(HR_Cleaned[[#This Row],[Age]]&lt;45,"35-44",IF(HR_Cleaned[[#This Row],[Age]]&lt;55,"45-54","55+"))))</f>
        <v>35-44</v>
      </c>
      <c r="AK1434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434" t="str">
        <f>IF(HR_Cleaned[[#This Row],[MonthlyIncome]]&lt;3000,"Below 3000",IF(HR_Cleaned[[#This Row],[MonthlyIncome]]&lt;5000,"3000-4999",IF(HR_Cleaned[[#This Row],[MonthlyIncome]]&lt;8000,"5000-7999","8000+")))</f>
        <v>8000+</v>
      </c>
      <c r="AM1434">
        <f>IF(HR_Cleaned[[#This Row],[Attrition]]="Yes",1,0)</f>
        <v>0</v>
      </c>
    </row>
    <row r="1435" spans="1:39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>
        <f>IF(HR_Cleaned[[#This Row],[Age]]&lt;25,"18-24",IF(HR_Cleaned[[#This Row],[Age]]&lt;35,"25-34",IF(HR_Cleaned[[#This Row],[Age]]&lt;45,"35-44",IF(HR_Cleaned[[#This Row],[Age]]&lt;55,"45-54","55+"))))</f>
        <v>25-34</v>
      </c>
      <c r="AK1435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35" t="str">
        <f>IF(HR_Cleaned[[#This Row],[MonthlyIncome]]&lt;3000,"Below 3000",IF(HR_Cleaned[[#This Row],[MonthlyIncome]]&lt;5000,"3000-4999",IF(HR_Cleaned[[#This Row],[MonthlyIncome]]&lt;8000,"5000-7999","8000+")))</f>
        <v>3000-4999</v>
      </c>
      <c r="AM1435">
        <f>IF(HR_Cleaned[[#This Row],[Attrition]]="Yes",1,0)</f>
        <v>0</v>
      </c>
    </row>
    <row r="1436" spans="1:39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>
        <f>IF(HR_Cleaned[[#This Row],[Age]]&lt;25,"18-24",IF(HR_Cleaned[[#This Row],[Age]]&lt;35,"25-34",IF(HR_Cleaned[[#This Row],[Age]]&lt;45,"35-44",IF(HR_Cleaned[[#This Row],[Age]]&lt;55,"45-54","55+"))))</f>
        <v>45-54</v>
      </c>
      <c r="AK143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36" t="str">
        <f>IF(HR_Cleaned[[#This Row],[MonthlyIncome]]&lt;3000,"Below 3000",IF(HR_Cleaned[[#This Row],[MonthlyIncome]]&lt;5000,"3000-4999",IF(HR_Cleaned[[#This Row],[MonthlyIncome]]&lt;8000,"5000-7999","8000+")))</f>
        <v>3000-4999</v>
      </c>
      <c r="AM1436">
        <f>IF(HR_Cleaned[[#This Row],[Attrition]]="Yes",1,0)</f>
        <v>0</v>
      </c>
    </row>
    <row r="1437" spans="1:39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>
        <f>IF(HR_Cleaned[[#This Row],[Age]]&lt;25,"18-24",IF(HR_Cleaned[[#This Row],[Age]]&lt;35,"25-34",IF(HR_Cleaned[[#This Row],[Age]]&lt;45,"35-44",IF(HR_Cleaned[[#This Row],[Age]]&lt;55,"45-54","55+"))))</f>
        <v>35-44</v>
      </c>
      <c r="AK143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37" t="str">
        <f>IF(HR_Cleaned[[#This Row],[MonthlyIncome]]&lt;3000,"Below 3000",IF(HR_Cleaned[[#This Row],[MonthlyIncome]]&lt;5000,"3000-4999",IF(HR_Cleaned[[#This Row],[MonthlyIncome]]&lt;8000,"5000-7999","8000+")))</f>
        <v>Below 3000</v>
      </c>
      <c r="AM1437">
        <f>IF(HR_Cleaned[[#This Row],[Attrition]]="Yes",1,0)</f>
        <v>0</v>
      </c>
    </row>
    <row r="1438" spans="1:39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>
        <f>IF(HR_Cleaned[[#This Row],[Age]]&lt;25,"18-24",IF(HR_Cleaned[[#This Row],[Age]]&lt;35,"25-34",IF(HR_Cleaned[[#This Row],[Age]]&lt;45,"35-44",IF(HR_Cleaned[[#This Row],[Age]]&lt;55,"45-54","55+"))))</f>
        <v>18-24</v>
      </c>
      <c r="AK1438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438" t="str">
        <f>IF(HR_Cleaned[[#This Row],[MonthlyIncome]]&lt;3000,"Below 3000",IF(HR_Cleaned[[#This Row],[MonthlyIncome]]&lt;5000,"3000-4999",IF(HR_Cleaned[[#This Row],[MonthlyIncome]]&lt;8000,"5000-7999","8000+")))</f>
        <v>Below 3000</v>
      </c>
      <c r="AM1438">
        <f>IF(HR_Cleaned[[#This Row],[Attrition]]="Yes",1,0)</f>
        <v>0</v>
      </c>
    </row>
    <row r="1439" spans="1:39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>
        <f>IF(HR_Cleaned[[#This Row],[Age]]&lt;25,"18-24",IF(HR_Cleaned[[#This Row],[Age]]&lt;35,"25-34",IF(HR_Cleaned[[#This Row],[Age]]&lt;45,"35-44",IF(HR_Cleaned[[#This Row],[Age]]&lt;55,"45-54","55+"))))</f>
        <v>35-44</v>
      </c>
      <c r="AK143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39" t="str">
        <f>IF(HR_Cleaned[[#This Row],[MonthlyIncome]]&lt;3000,"Below 3000",IF(HR_Cleaned[[#This Row],[MonthlyIncome]]&lt;5000,"3000-4999",IF(HR_Cleaned[[#This Row],[MonthlyIncome]]&lt;8000,"5000-7999","8000+")))</f>
        <v>8000+</v>
      </c>
      <c r="AM1439">
        <f>IF(HR_Cleaned[[#This Row],[Attrition]]="Yes",1,0)</f>
        <v>0</v>
      </c>
    </row>
    <row r="1440" spans="1:39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>
        <f>IF(HR_Cleaned[[#This Row],[Age]]&lt;25,"18-24",IF(HR_Cleaned[[#This Row],[Age]]&lt;35,"25-34",IF(HR_Cleaned[[#This Row],[Age]]&lt;45,"35-44",IF(HR_Cleaned[[#This Row],[Age]]&lt;55,"45-54","55+"))))</f>
        <v>18-24</v>
      </c>
      <c r="AK1440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440" t="str">
        <f>IF(HR_Cleaned[[#This Row],[MonthlyIncome]]&lt;3000,"Below 3000",IF(HR_Cleaned[[#This Row],[MonthlyIncome]]&lt;5000,"3000-4999",IF(HR_Cleaned[[#This Row],[MonthlyIncome]]&lt;8000,"5000-7999","8000+")))</f>
        <v>Below 3000</v>
      </c>
      <c r="AM1440">
        <f>IF(HR_Cleaned[[#This Row],[Attrition]]="Yes",1,0)</f>
        <v>1</v>
      </c>
    </row>
    <row r="1441" spans="1:39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>
        <f>IF(HR_Cleaned[[#This Row],[Age]]&lt;25,"18-24",IF(HR_Cleaned[[#This Row],[Age]]&lt;35,"25-34",IF(HR_Cleaned[[#This Row],[Age]]&lt;45,"35-44",IF(HR_Cleaned[[#This Row],[Age]]&lt;55,"45-54","55+"))))</f>
        <v>35-44</v>
      </c>
      <c r="AK1441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41" t="str">
        <f>IF(HR_Cleaned[[#This Row],[MonthlyIncome]]&lt;3000,"Below 3000",IF(HR_Cleaned[[#This Row],[MonthlyIncome]]&lt;5000,"3000-4999",IF(HR_Cleaned[[#This Row],[MonthlyIncome]]&lt;8000,"5000-7999","8000+")))</f>
        <v>5000-7999</v>
      </c>
      <c r="AM1441">
        <f>IF(HR_Cleaned[[#This Row],[Attrition]]="Yes",1,0)</f>
        <v>0</v>
      </c>
    </row>
    <row r="1442" spans="1:39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>
        <f>IF(HR_Cleaned[[#This Row],[Age]]&lt;25,"18-24",IF(HR_Cleaned[[#This Row],[Age]]&lt;35,"25-34",IF(HR_Cleaned[[#This Row],[Age]]&lt;45,"35-44",IF(HR_Cleaned[[#This Row],[Age]]&lt;55,"45-54","55+"))))</f>
        <v>35-44</v>
      </c>
      <c r="AK144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42" t="str">
        <f>IF(HR_Cleaned[[#This Row],[MonthlyIncome]]&lt;3000,"Below 3000",IF(HR_Cleaned[[#This Row],[MonthlyIncome]]&lt;5000,"3000-4999",IF(HR_Cleaned[[#This Row],[MonthlyIncome]]&lt;8000,"5000-7999","8000+")))</f>
        <v>5000-7999</v>
      </c>
      <c r="AM1442">
        <f>IF(HR_Cleaned[[#This Row],[Attrition]]="Yes",1,0)</f>
        <v>0</v>
      </c>
    </row>
    <row r="1443" spans="1:39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>
        <f>IF(HR_Cleaned[[#This Row],[Age]]&lt;25,"18-24",IF(HR_Cleaned[[#This Row],[Age]]&lt;35,"25-34",IF(HR_Cleaned[[#This Row],[Age]]&lt;45,"35-44",IF(HR_Cleaned[[#This Row],[Age]]&lt;55,"45-54","55+"))))</f>
        <v>55+</v>
      </c>
      <c r="AK1443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443" t="str">
        <f>IF(HR_Cleaned[[#This Row],[MonthlyIncome]]&lt;3000,"Below 3000",IF(HR_Cleaned[[#This Row],[MonthlyIncome]]&lt;5000,"3000-4999",IF(HR_Cleaned[[#This Row],[MonthlyIncome]]&lt;8000,"5000-7999","8000+")))</f>
        <v>5000-7999</v>
      </c>
      <c r="AM1443">
        <f>IF(HR_Cleaned[[#This Row],[Attrition]]="Yes",1,0)</f>
        <v>0</v>
      </c>
    </row>
    <row r="1444" spans="1:39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>
        <f>IF(HR_Cleaned[[#This Row],[Age]]&lt;25,"18-24",IF(HR_Cleaned[[#This Row],[Age]]&lt;35,"25-34",IF(HR_Cleaned[[#This Row],[Age]]&lt;45,"35-44",IF(HR_Cleaned[[#This Row],[Age]]&lt;55,"45-54","55+"))))</f>
        <v>25-34</v>
      </c>
      <c r="AK1444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444" t="str">
        <f>IF(HR_Cleaned[[#This Row],[MonthlyIncome]]&lt;3000,"Below 3000",IF(HR_Cleaned[[#This Row],[MonthlyIncome]]&lt;5000,"3000-4999",IF(HR_Cleaned[[#This Row],[MonthlyIncome]]&lt;8000,"5000-7999","8000+")))</f>
        <v>3000-4999</v>
      </c>
      <c r="AM1444">
        <f>IF(HR_Cleaned[[#This Row],[Attrition]]="Yes",1,0)</f>
        <v>1</v>
      </c>
    </row>
    <row r="1445" spans="1:39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>
        <f>IF(HR_Cleaned[[#This Row],[Age]]&lt;25,"18-24",IF(HR_Cleaned[[#This Row],[Age]]&lt;35,"25-34",IF(HR_Cleaned[[#This Row],[Age]]&lt;45,"35-44",IF(HR_Cleaned[[#This Row],[Age]]&lt;55,"45-54","55+"))))</f>
        <v>35-44</v>
      </c>
      <c r="AK1445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445" t="str">
        <f>IF(HR_Cleaned[[#This Row],[MonthlyIncome]]&lt;3000,"Below 3000",IF(HR_Cleaned[[#This Row],[MonthlyIncome]]&lt;5000,"3000-4999",IF(HR_Cleaned[[#This Row],[MonthlyIncome]]&lt;8000,"5000-7999","8000+")))</f>
        <v>8000+</v>
      </c>
      <c r="AM1445">
        <f>IF(HR_Cleaned[[#This Row],[Attrition]]="Yes",1,0)</f>
        <v>0</v>
      </c>
    </row>
    <row r="1446" spans="1:39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>
        <f>IF(HR_Cleaned[[#This Row],[Age]]&lt;25,"18-24",IF(HR_Cleaned[[#This Row],[Age]]&lt;35,"25-34",IF(HR_Cleaned[[#This Row],[Age]]&lt;45,"35-44",IF(HR_Cleaned[[#This Row],[Age]]&lt;55,"45-54","55+"))))</f>
        <v>55+</v>
      </c>
      <c r="AK1446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46" t="str">
        <f>IF(HR_Cleaned[[#This Row],[MonthlyIncome]]&lt;3000,"Below 3000",IF(HR_Cleaned[[#This Row],[MonthlyIncome]]&lt;5000,"3000-4999",IF(HR_Cleaned[[#This Row],[MonthlyIncome]]&lt;8000,"5000-7999","8000+")))</f>
        <v>Below 3000</v>
      </c>
      <c r="AM1446">
        <f>IF(HR_Cleaned[[#This Row],[Attrition]]="Yes",1,0)</f>
        <v>1</v>
      </c>
    </row>
    <row r="1447" spans="1:39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>
        <f>IF(HR_Cleaned[[#This Row],[Age]]&lt;25,"18-24",IF(HR_Cleaned[[#This Row],[Age]]&lt;35,"25-34",IF(HR_Cleaned[[#This Row],[Age]]&lt;45,"35-44",IF(HR_Cleaned[[#This Row],[Age]]&lt;55,"45-54","55+"))))</f>
        <v>35-44</v>
      </c>
      <c r="AK1447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447" t="str">
        <f>IF(HR_Cleaned[[#This Row],[MonthlyIncome]]&lt;3000,"Below 3000",IF(HR_Cleaned[[#This Row],[MonthlyIncome]]&lt;5000,"3000-4999",IF(HR_Cleaned[[#This Row],[MonthlyIncome]]&lt;8000,"5000-7999","8000+")))</f>
        <v>8000+</v>
      </c>
      <c r="AM1447">
        <f>IF(HR_Cleaned[[#This Row],[Attrition]]="Yes",1,0)</f>
        <v>0</v>
      </c>
    </row>
    <row r="1448" spans="1:39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>
        <f>IF(HR_Cleaned[[#This Row],[Age]]&lt;25,"18-24",IF(HR_Cleaned[[#This Row],[Age]]&lt;35,"25-34",IF(HR_Cleaned[[#This Row],[Age]]&lt;45,"35-44",IF(HR_Cleaned[[#This Row],[Age]]&lt;55,"45-54","55+"))))</f>
        <v>25-34</v>
      </c>
      <c r="AK144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48" t="str">
        <f>IF(HR_Cleaned[[#This Row],[MonthlyIncome]]&lt;3000,"Below 3000",IF(HR_Cleaned[[#This Row],[MonthlyIncome]]&lt;5000,"3000-4999",IF(HR_Cleaned[[#This Row],[MonthlyIncome]]&lt;8000,"5000-7999","8000+")))</f>
        <v>5000-7999</v>
      </c>
      <c r="AM1448">
        <f>IF(HR_Cleaned[[#This Row],[Attrition]]="Yes",1,0)</f>
        <v>0</v>
      </c>
    </row>
    <row r="1449" spans="1:39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>
        <f>IF(HR_Cleaned[[#This Row],[Age]]&lt;25,"18-24",IF(HR_Cleaned[[#This Row],[Age]]&lt;35,"25-34",IF(HR_Cleaned[[#This Row],[Age]]&lt;45,"35-44",IF(HR_Cleaned[[#This Row],[Age]]&lt;55,"45-54","55+"))))</f>
        <v>35-44</v>
      </c>
      <c r="AK1449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449" t="str">
        <f>IF(HR_Cleaned[[#This Row],[MonthlyIncome]]&lt;3000,"Below 3000",IF(HR_Cleaned[[#This Row],[MonthlyIncome]]&lt;5000,"3000-4999",IF(HR_Cleaned[[#This Row],[MonthlyIncome]]&lt;8000,"5000-7999","8000+")))</f>
        <v>5000-7999</v>
      </c>
      <c r="AM1449">
        <f>IF(HR_Cleaned[[#This Row],[Attrition]]="Yes",1,0)</f>
        <v>0</v>
      </c>
    </row>
    <row r="1450" spans="1:39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>
        <f>IF(HR_Cleaned[[#This Row],[Age]]&lt;25,"18-24",IF(HR_Cleaned[[#This Row],[Age]]&lt;35,"25-34",IF(HR_Cleaned[[#This Row],[Age]]&lt;45,"35-44",IF(HR_Cleaned[[#This Row],[Age]]&lt;55,"45-54","55+"))))</f>
        <v>35-44</v>
      </c>
      <c r="AK145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50" t="str">
        <f>IF(HR_Cleaned[[#This Row],[MonthlyIncome]]&lt;3000,"Below 3000",IF(HR_Cleaned[[#This Row],[MonthlyIncome]]&lt;5000,"3000-4999",IF(HR_Cleaned[[#This Row],[MonthlyIncome]]&lt;8000,"5000-7999","8000+")))</f>
        <v>8000+</v>
      </c>
      <c r="AM1450">
        <f>IF(HR_Cleaned[[#This Row],[Attrition]]="Yes",1,0)</f>
        <v>0</v>
      </c>
    </row>
    <row r="1451" spans="1:39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>
        <f>IF(HR_Cleaned[[#This Row],[Age]]&lt;25,"18-24",IF(HR_Cleaned[[#This Row],[Age]]&lt;35,"25-34",IF(HR_Cleaned[[#This Row],[Age]]&lt;45,"35-44",IF(HR_Cleaned[[#This Row],[Age]]&lt;55,"45-54","55+"))))</f>
        <v>25-34</v>
      </c>
      <c r="AK145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51" t="str">
        <f>IF(HR_Cleaned[[#This Row],[MonthlyIncome]]&lt;3000,"Below 3000",IF(HR_Cleaned[[#This Row],[MonthlyIncome]]&lt;5000,"3000-4999",IF(HR_Cleaned[[#This Row],[MonthlyIncome]]&lt;8000,"5000-7999","8000+")))</f>
        <v>Below 3000</v>
      </c>
      <c r="AM1451">
        <f>IF(HR_Cleaned[[#This Row],[Attrition]]="Yes",1,0)</f>
        <v>0</v>
      </c>
    </row>
    <row r="1452" spans="1:39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>
        <f>IF(HR_Cleaned[[#This Row],[Age]]&lt;25,"18-24",IF(HR_Cleaned[[#This Row],[Age]]&lt;35,"25-34",IF(HR_Cleaned[[#This Row],[Age]]&lt;45,"35-44",IF(HR_Cleaned[[#This Row],[Age]]&lt;55,"45-54","55+"))))</f>
        <v>35-44</v>
      </c>
      <c r="AK1452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52" t="str">
        <f>IF(HR_Cleaned[[#This Row],[MonthlyIncome]]&lt;3000,"Below 3000",IF(HR_Cleaned[[#This Row],[MonthlyIncome]]&lt;5000,"3000-4999",IF(HR_Cleaned[[#This Row],[MonthlyIncome]]&lt;8000,"5000-7999","8000+")))</f>
        <v>8000+</v>
      </c>
      <c r="AM1452">
        <f>IF(HR_Cleaned[[#This Row],[Attrition]]="Yes",1,0)</f>
        <v>0</v>
      </c>
    </row>
    <row r="1453" spans="1:39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>
        <f>IF(HR_Cleaned[[#This Row],[Age]]&lt;25,"18-24",IF(HR_Cleaned[[#This Row],[Age]]&lt;35,"25-34",IF(HR_Cleaned[[#This Row],[Age]]&lt;45,"35-44",IF(HR_Cleaned[[#This Row],[Age]]&lt;55,"45-54","55+"))))</f>
        <v>35-44</v>
      </c>
      <c r="AK1453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53" t="str">
        <f>IF(HR_Cleaned[[#This Row],[MonthlyIncome]]&lt;3000,"Below 3000",IF(HR_Cleaned[[#This Row],[MonthlyIncome]]&lt;5000,"3000-4999",IF(HR_Cleaned[[#This Row],[MonthlyIncome]]&lt;8000,"5000-7999","8000+")))</f>
        <v>5000-7999</v>
      </c>
      <c r="AM1453">
        <f>IF(HR_Cleaned[[#This Row],[Attrition]]="Yes",1,0)</f>
        <v>0</v>
      </c>
    </row>
    <row r="1454" spans="1:39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>
        <f>IF(HR_Cleaned[[#This Row],[Age]]&lt;25,"18-24",IF(HR_Cleaned[[#This Row],[Age]]&lt;35,"25-34",IF(HR_Cleaned[[#This Row],[Age]]&lt;45,"35-44",IF(HR_Cleaned[[#This Row],[Age]]&lt;55,"45-54","55+"))))</f>
        <v>45-54</v>
      </c>
      <c r="AK1454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54" t="str">
        <f>IF(HR_Cleaned[[#This Row],[MonthlyIncome]]&lt;3000,"Below 3000",IF(HR_Cleaned[[#This Row],[MonthlyIncome]]&lt;5000,"3000-4999",IF(HR_Cleaned[[#This Row],[MonthlyIncome]]&lt;8000,"5000-7999","8000+")))</f>
        <v>5000-7999</v>
      </c>
      <c r="AM1454">
        <f>IF(HR_Cleaned[[#This Row],[Attrition]]="Yes",1,0)</f>
        <v>1</v>
      </c>
    </row>
    <row r="1455" spans="1:39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>
        <f>IF(HR_Cleaned[[#This Row],[Age]]&lt;25,"18-24",IF(HR_Cleaned[[#This Row],[Age]]&lt;35,"25-34",IF(HR_Cleaned[[#This Row],[Age]]&lt;45,"35-44",IF(HR_Cleaned[[#This Row],[Age]]&lt;55,"45-54","55+"))))</f>
        <v>35-44</v>
      </c>
      <c r="AK145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55" t="str">
        <f>IF(HR_Cleaned[[#This Row],[MonthlyIncome]]&lt;3000,"Below 3000",IF(HR_Cleaned[[#This Row],[MonthlyIncome]]&lt;5000,"3000-4999",IF(HR_Cleaned[[#This Row],[MonthlyIncome]]&lt;8000,"5000-7999","8000+")))</f>
        <v>5000-7999</v>
      </c>
      <c r="AM1455">
        <f>IF(HR_Cleaned[[#This Row],[Attrition]]="Yes",1,0)</f>
        <v>0</v>
      </c>
    </row>
    <row r="1456" spans="1:39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>
        <f>IF(HR_Cleaned[[#This Row],[Age]]&lt;25,"18-24",IF(HR_Cleaned[[#This Row],[Age]]&lt;35,"25-34",IF(HR_Cleaned[[#This Row],[Age]]&lt;45,"35-44",IF(HR_Cleaned[[#This Row],[Age]]&lt;55,"45-54","55+"))))</f>
        <v>45-54</v>
      </c>
      <c r="AK145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56" t="str">
        <f>IF(HR_Cleaned[[#This Row],[MonthlyIncome]]&lt;3000,"Below 3000",IF(HR_Cleaned[[#This Row],[MonthlyIncome]]&lt;5000,"3000-4999",IF(HR_Cleaned[[#This Row],[MonthlyIncome]]&lt;8000,"5000-7999","8000+")))</f>
        <v>3000-4999</v>
      </c>
      <c r="AM1456">
        <f>IF(HR_Cleaned[[#This Row],[Attrition]]="Yes",1,0)</f>
        <v>0</v>
      </c>
    </row>
    <row r="1457" spans="1:39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>
        <f>IF(HR_Cleaned[[#This Row],[Age]]&lt;25,"18-24",IF(HR_Cleaned[[#This Row],[Age]]&lt;35,"25-34",IF(HR_Cleaned[[#This Row],[Age]]&lt;45,"35-44",IF(HR_Cleaned[[#This Row],[Age]]&lt;55,"45-54","55+"))))</f>
        <v>35-44</v>
      </c>
      <c r="AK1457" t="str">
        <f>IF(HR_Cleaned[[#This Row],[YearsAtCompany]]&lt;=2,"0-2 Years",IF(HR_Cleaned[[#This Row],[YearsAtCompany]]&lt;=5,"3-5 Years",IF(HR_Cleaned[[#This Row],[YearsAtCompany]]&lt;=10,"6-10 Years","11+ Years")))</f>
        <v>0-2 Years</v>
      </c>
      <c r="AL1457" t="str">
        <f>IF(HR_Cleaned[[#This Row],[MonthlyIncome]]&lt;3000,"Below 3000",IF(HR_Cleaned[[#This Row],[MonthlyIncome]]&lt;5000,"3000-4999",IF(HR_Cleaned[[#This Row],[MonthlyIncome]]&lt;8000,"5000-7999","8000+")))</f>
        <v>Below 3000</v>
      </c>
      <c r="AM1457">
        <f>IF(HR_Cleaned[[#This Row],[Attrition]]="Yes",1,0)</f>
        <v>0</v>
      </c>
    </row>
    <row r="1458" spans="1:39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>
        <f>IF(HR_Cleaned[[#This Row],[Age]]&lt;25,"18-24",IF(HR_Cleaned[[#This Row],[Age]]&lt;35,"25-34",IF(HR_Cleaned[[#This Row],[Age]]&lt;45,"35-44",IF(HR_Cleaned[[#This Row],[Age]]&lt;55,"45-54","55+"))))</f>
        <v>35-44</v>
      </c>
      <c r="AK145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58" t="str">
        <f>IF(HR_Cleaned[[#This Row],[MonthlyIncome]]&lt;3000,"Below 3000",IF(HR_Cleaned[[#This Row],[MonthlyIncome]]&lt;5000,"3000-4999",IF(HR_Cleaned[[#This Row],[MonthlyIncome]]&lt;8000,"5000-7999","8000+")))</f>
        <v>5000-7999</v>
      </c>
      <c r="AM1458">
        <f>IF(HR_Cleaned[[#This Row],[Attrition]]="Yes",1,0)</f>
        <v>0</v>
      </c>
    </row>
    <row r="1459" spans="1:39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>
        <f>IF(HR_Cleaned[[#This Row],[Age]]&lt;25,"18-24",IF(HR_Cleaned[[#This Row],[Age]]&lt;35,"25-34",IF(HR_Cleaned[[#This Row],[Age]]&lt;45,"35-44",IF(HR_Cleaned[[#This Row],[Age]]&lt;55,"45-54","55+"))))</f>
        <v>35-44</v>
      </c>
      <c r="AK1459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59" t="str">
        <f>IF(HR_Cleaned[[#This Row],[MonthlyIncome]]&lt;3000,"Below 3000",IF(HR_Cleaned[[#This Row],[MonthlyIncome]]&lt;5000,"3000-4999",IF(HR_Cleaned[[#This Row],[MonthlyIncome]]&lt;8000,"5000-7999","8000+")))</f>
        <v>Below 3000</v>
      </c>
      <c r="AM1459">
        <f>IF(HR_Cleaned[[#This Row],[Attrition]]="Yes",1,0)</f>
        <v>0</v>
      </c>
    </row>
    <row r="1460" spans="1:39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>
        <f>IF(HR_Cleaned[[#This Row],[Age]]&lt;25,"18-24",IF(HR_Cleaned[[#This Row],[Age]]&lt;35,"25-34",IF(HR_Cleaned[[#This Row],[Age]]&lt;45,"35-44",IF(HR_Cleaned[[#This Row],[Age]]&lt;55,"45-54","55+"))))</f>
        <v>35-44</v>
      </c>
      <c r="AK1460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60" t="str">
        <f>IF(HR_Cleaned[[#This Row],[MonthlyIncome]]&lt;3000,"Below 3000",IF(HR_Cleaned[[#This Row],[MonthlyIncome]]&lt;5000,"3000-4999",IF(HR_Cleaned[[#This Row],[MonthlyIncome]]&lt;8000,"5000-7999","8000+")))</f>
        <v>Below 3000</v>
      </c>
      <c r="AM1460">
        <f>IF(HR_Cleaned[[#This Row],[Attrition]]="Yes",1,0)</f>
        <v>0</v>
      </c>
    </row>
    <row r="1461" spans="1:39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>
        <f>IF(HR_Cleaned[[#This Row],[Age]]&lt;25,"18-24",IF(HR_Cleaned[[#This Row],[Age]]&lt;35,"25-34",IF(HR_Cleaned[[#This Row],[Age]]&lt;45,"35-44",IF(HR_Cleaned[[#This Row],[Age]]&lt;55,"45-54","55+"))))</f>
        <v>25-34</v>
      </c>
      <c r="AK146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61" t="str">
        <f>IF(HR_Cleaned[[#This Row],[MonthlyIncome]]&lt;3000,"Below 3000",IF(HR_Cleaned[[#This Row],[MonthlyIncome]]&lt;5000,"3000-4999",IF(HR_Cleaned[[#This Row],[MonthlyIncome]]&lt;8000,"5000-7999","8000+")))</f>
        <v>3000-4999</v>
      </c>
      <c r="AM1461">
        <f>IF(HR_Cleaned[[#This Row],[Attrition]]="Yes",1,0)</f>
        <v>0</v>
      </c>
    </row>
    <row r="1462" spans="1:39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>
        <f>IF(HR_Cleaned[[#This Row],[Age]]&lt;25,"18-24",IF(HR_Cleaned[[#This Row],[Age]]&lt;35,"25-34",IF(HR_Cleaned[[#This Row],[Age]]&lt;45,"35-44",IF(HR_Cleaned[[#This Row],[Age]]&lt;55,"45-54","55+"))))</f>
        <v>25-34</v>
      </c>
      <c r="AK1462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62" t="str">
        <f>IF(HR_Cleaned[[#This Row],[MonthlyIncome]]&lt;3000,"Below 3000",IF(HR_Cleaned[[#This Row],[MonthlyIncome]]&lt;5000,"3000-4999",IF(HR_Cleaned[[#This Row],[MonthlyIncome]]&lt;8000,"5000-7999","8000+")))</f>
        <v>3000-4999</v>
      </c>
      <c r="AM1462">
        <f>IF(HR_Cleaned[[#This Row],[Attrition]]="Yes",1,0)</f>
        <v>0</v>
      </c>
    </row>
    <row r="1463" spans="1:39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>
        <f>IF(HR_Cleaned[[#This Row],[Age]]&lt;25,"18-24",IF(HR_Cleaned[[#This Row],[Age]]&lt;35,"25-34",IF(HR_Cleaned[[#This Row],[Age]]&lt;45,"35-44",IF(HR_Cleaned[[#This Row],[Age]]&lt;55,"45-54","55+"))))</f>
        <v>45-54</v>
      </c>
      <c r="AK1463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63" t="str">
        <f>IF(HR_Cleaned[[#This Row],[MonthlyIncome]]&lt;3000,"Below 3000",IF(HR_Cleaned[[#This Row],[MonthlyIncome]]&lt;5000,"3000-4999",IF(HR_Cleaned[[#This Row],[MonthlyIncome]]&lt;8000,"5000-7999","8000+")))</f>
        <v>8000+</v>
      </c>
      <c r="AM1463">
        <f>IF(HR_Cleaned[[#This Row],[Attrition]]="Yes",1,0)</f>
        <v>1</v>
      </c>
    </row>
    <row r="1464" spans="1:39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>
        <f>IF(HR_Cleaned[[#This Row],[Age]]&lt;25,"18-24",IF(HR_Cleaned[[#This Row],[Age]]&lt;35,"25-34",IF(HR_Cleaned[[#This Row],[Age]]&lt;45,"35-44",IF(HR_Cleaned[[#This Row],[Age]]&lt;55,"45-54","55+"))))</f>
        <v>35-44</v>
      </c>
      <c r="AK1464" t="str">
        <f>IF(HR_Cleaned[[#This Row],[YearsAtCompany]]&lt;=2,"0-2 Years",IF(HR_Cleaned[[#This Row],[YearsAtCompany]]&lt;=5,"3-5 Years",IF(HR_Cleaned[[#This Row],[YearsAtCompany]]&lt;=10,"6-10 Years","11+ Years")))</f>
        <v>11+ Years</v>
      </c>
      <c r="AL1464" t="str">
        <f>IF(HR_Cleaned[[#This Row],[MonthlyIncome]]&lt;3000,"Below 3000",IF(HR_Cleaned[[#This Row],[MonthlyIncome]]&lt;5000,"3000-4999",IF(HR_Cleaned[[#This Row],[MonthlyIncome]]&lt;8000,"5000-7999","8000+")))</f>
        <v>8000+</v>
      </c>
      <c r="AM1464">
        <f>IF(HR_Cleaned[[#This Row],[Attrition]]="Yes",1,0)</f>
        <v>0</v>
      </c>
    </row>
    <row r="1465" spans="1:39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>
        <f>IF(HR_Cleaned[[#This Row],[Age]]&lt;25,"18-24",IF(HR_Cleaned[[#This Row],[Age]]&lt;35,"25-34",IF(HR_Cleaned[[#This Row],[Age]]&lt;45,"35-44",IF(HR_Cleaned[[#This Row],[Age]]&lt;55,"45-54","55+"))))</f>
        <v>25-34</v>
      </c>
      <c r="AK1465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65" t="str">
        <f>IF(HR_Cleaned[[#This Row],[MonthlyIncome]]&lt;3000,"Below 3000",IF(HR_Cleaned[[#This Row],[MonthlyIncome]]&lt;5000,"3000-4999",IF(HR_Cleaned[[#This Row],[MonthlyIncome]]&lt;8000,"5000-7999","8000+")))</f>
        <v>8000+</v>
      </c>
      <c r="AM1465">
        <f>IF(HR_Cleaned[[#This Row],[Attrition]]="Yes",1,0)</f>
        <v>0</v>
      </c>
    </row>
    <row r="1466" spans="1:39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>
        <f>IF(HR_Cleaned[[#This Row],[Age]]&lt;25,"18-24",IF(HR_Cleaned[[#This Row],[Age]]&lt;35,"25-34",IF(HR_Cleaned[[#This Row],[Age]]&lt;45,"35-44",IF(HR_Cleaned[[#This Row],[Age]]&lt;55,"45-54","55+"))))</f>
        <v>25-34</v>
      </c>
      <c r="AK1466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66" t="str">
        <f>IF(HR_Cleaned[[#This Row],[MonthlyIncome]]&lt;3000,"Below 3000",IF(HR_Cleaned[[#This Row],[MonthlyIncome]]&lt;5000,"3000-4999",IF(HR_Cleaned[[#This Row],[MonthlyIncome]]&lt;8000,"5000-7999","8000+")))</f>
        <v>Below 3000</v>
      </c>
      <c r="AM1466">
        <f>IF(HR_Cleaned[[#This Row],[Attrition]]="Yes",1,0)</f>
        <v>0</v>
      </c>
    </row>
    <row r="1467" spans="1:39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>
        <f>IF(HR_Cleaned[[#This Row],[Age]]&lt;25,"18-24",IF(HR_Cleaned[[#This Row],[Age]]&lt;35,"25-34",IF(HR_Cleaned[[#This Row],[Age]]&lt;45,"35-44",IF(HR_Cleaned[[#This Row],[Age]]&lt;55,"45-54","55+"))))</f>
        <v>35-44</v>
      </c>
      <c r="AK1467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67" t="str">
        <f>IF(HR_Cleaned[[#This Row],[MonthlyIncome]]&lt;3000,"Below 3000",IF(HR_Cleaned[[#This Row],[MonthlyIncome]]&lt;5000,"3000-4999",IF(HR_Cleaned[[#This Row],[MonthlyIncome]]&lt;8000,"5000-7999","8000+")))</f>
        <v>Below 3000</v>
      </c>
      <c r="AM1467">
        <f>IF(HR_Cleaned[[#This Row],[Attrition]]="Yes",1,0)</f>
        <v>0</v>
      </c>
    </row>
    <row r="1468" spans="1:39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>
        <f>IF(HR_Cleaned[[#This Row],[Age]]&lt;25,"18-24",IF(HR_Cleaned[[#This Row],[Age]]&lt;35,"25-34",IF(HR_Cleaned[[#This Row],[Age]]&lt;45,"35-44",IF(HR_Cleaned[[#This Row],[Age]]&lt;55,"45-54","55+"))))</f>
        <v>35-44</v>
      </c>
      <c r="AK1468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68" t="str">
        <f>IF(HR_Cleaned[[#This Row],[MonthlyIncome]]&lt;3000,"Below 3000",IF(HR_Cleaned[[#This Row],[MonthlyIncome]]&lt;5000,"3000-4999",IF(HR_Cleaned[[#This Row],[MonthlyIncome]]&lt;8000,"5000-7999","8000+")))</f>
        <v>8000+</v>
      </c>
      <c r="AM1468">
        <f>IF(HR_Cleaned[[#This Row],[Attrition]]="Yes",1,0)</f>
        <v>0</v>
      </c>
    </row>
    <row r="1469" spans="1:39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>
        <f>IF(HR_Cleaned[[#This Row],[Age]]&lt;25,"18-24",IF(HR_Cleaned[[#This Row],[Age]]&lt;35,"25-34",IF(HR_Cleaned[[#This Row],[Age]]&lt;45,"35-44",IF(HR_Cleaned[[#This Row],[Age]]&lt;55,"45-54","55+"))))</f>
        <v>25-34</v>
      </c>
      <c r="AK1469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69" t="str">
        <f>IF(HR_Cleaned[[#This Row],[MonthlyIncome]]&lt;3000,"Below 3000",IF(HR_Cleaned[[#This Row],[MonthlyIncome]]&lt;5000,"3000-4999",IF(HR_Cleaned[[#This Row],[MonthlyIncome]]&lt;8000,"5000-7999","8000+")))</f>
        <v>5000-7999</v>
      </c>
      <c r="AM1469">
        <f>IF(HR_Cleaned[[#This Row],[Attrition]]="Yes",1,0)</f>
        <v>0</v>
      </c>
    </row>
    <row r="1470" spans="1:39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>
        <f>IF(HR_Cleaned[[#This Row],[Age]]&lt;25,"18-24",IF(HR_Cleaned[[#This Row],[Age]]&lt;35,"25-34",IF(HR_Cleaned[[#This Row],[Age]]&lt;45,"35-44",IF(HR_Cleaned[[#This Row],[Age]]&lt;55,"45-54","55+"))))</f>
        <v>45-54</v>
      </c>
      <c r="AK1470" t="str">
        <f>IF(HR_Cleaned[[#This Row],[YearsAtCompany]]&lt;=2,"0-2 Years",IF(HR_Cleaned[[#This Row],[YearsAtCompany]]&lt;=5,"3-5 Years",IF(HR_Cleaned[[#This Row],[YearsAtCompany]]&lt;=10,"6-10 Years","11+ Years")))</f>
        <v>6-10 Years</v>
      </c>
      <c r="AL1470" t="str">
        <f>IF(HR_Cleaned[[#This Row],[MonthlyIncome]]&lt;3000,"Below 3000",IF(HR_Cleaned[[#This Row],[MonthlyIncome]]&lt;5000,"3000-4999",IF(HR_Cleaned[[#This Row],[MonthlyIncome]]&lt;8000,"5000-7999","8000+")))</f>
        <v>5000-7999</v>
      </c>
      <c r="AM1470">
        <f>IF(HR_Cleaned[[#This Row],[Attrition]]="Yes",1,0)</f>
        <v>0</v>
      </c>
    </row>
    <row r="1471" spans="1:39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>
        <f>IF(HR_Cleaned[[#This Row],[Age]]&lt;25,"18-24",IF(HR_Cleaned[[#This Row],[Age]]&lt;35,"25-34",IF(HR_Cleaned[[#This Row],[Age]]&lt;45,"35-44",IF(HR_Cleaned[[#This Row],[Age]]&lt;55,"45-54","55+"))))</f>
        <v>25-34</v>
      </c>
      <c r="AK1471" t="str">
        <f>IF(HR_Cleaned[[#This Row],[YearsAtCompany]]&lt;=2,"0-2 Years",IF(HR_Cleaned[[#This Row],[YearsAtCompany]]&lt;=5,"3-5 Years",IF(HR_Cleaned[[#This Row],[YearsAtCompany]]&lt;=10,"6-10 Years","11+ Years")))</f>
        <v>3-5 Years</v>
      </c>
      <c r="AL1471" t="str">
        <f>IF(HR_Cleaned[[#This Row],[MonthlyIncome]]&lt;3000,"Below 3000",IF(HR_Cleaned[[#This Row],[MonthlyIncome]]&lt;5000,"3000-4999",IF(HR_Cleaned[[#This Row],[MonthlyIncome]]&lt;8000,"5000-7999","8000+")))</f>
        <v>3000-4999</v>
      </c>
      <c r="AM1471">
        <f>IF(HR_Cleaned[[#This Row],[Attrition]]="Yes",1,0)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AFC04-C87E-4800-95E4-FE67178937E9}">
  <dimension ref="A1:B40"/>
  <sheetViews>
    <sheetView topLeftCell="A10" workbookViewId="0">
      <selection activeCell="B41" sqref="B41"/>
    </sheetView>
  </sheetViews>
  <sheetFormatPr defaultRowHeight="15" x14ac:dyDescent="0.25"/>
  <cols>
    <col min="1" max="1" width="33" customWidth="1"/>
  </cols>
  <sheetData>
    <row r="1" spans="1:2" x14ac:dyDescent="0.25">
      <c r="A1" t="s">
        <v>62</v>
      </c>
    </row>
    <row r="3" spans="1:2" x14ac:dyDescent="0.25">
      <c r="A3" t="s">
        <v>63</v>
      </c>
      <c r="B3" t="s">
        <v>64</v>
      </c>
    </row>
    <row r="4" spans="1:2" x14ac:dyDescent="0.25">
      <c r="A4" t="s">
        <v>65</v>
      </c>
      <c r="B4">
        <f>ROWS(HR_Cleaned[EmployeeNumber])</f>
        <v>1470</v>
      </c>
    </row>
    <row r="5" spans="1:2" x14ac:dyDescent="0.25">
      <c r="A5" t="s">
        <v>66</v>
      </c>
      <c r="B5">
        <f>COLUMNS(HR_Cleaned[#Headers])</f>
        <v>39</v>
      </c>
    </row>
    <row r="6" spans="1:2" x14ac:dyDescent="0.25">
      <c r="A6" t="s">
        <v>67</v>
      </c>
      <c r="B6">
        <f>ROWS(HR_Cleaned[EmployeeNumber])-ROWS(_xlfn.UNIQUE(HR_Cleaned[EmployeeNumber]))</f>
        <v>0</v>
      </c>
    </row>
    <row r="7" spans="1:2" x14ac:dyDescent="0.25">
      <c r="A7" t="s">
        <v>68</v>
      </c>
      <c r="B7">
        <f>COUNTBLANK(HR_Cleaned[EmployeeNumber])</f>
        <v>0</v>
      </c>
    </row>
    <row r="8" spans="1:2" x14ac:dyDescent="0.25">
      <c r="A8" t="s">
        <v>69</v>
      </c>
      <c r="B8">
        <f>COUNTBLANK(HR_Cleaned[Attrition])</f>
        <v>0</v>
      </c>
    </row>
    <row r="9" spans="1:2" x14ac:dyDescent="0.25">
      <c r="A9" t="s">
        <v>70</v>
      </c>
      <c r="B9">
        <f>COUNTBLANK(HR_Cleaned[MonthlyIncome])</f>
        <v>0</v>
      </c>
    </row>
    <row r="10" spans="1:2" x14ac:dyDescent="0.25">
      <c r="A10" t="s">
        <v>71</v>
      </c>
      <c r="B10">
        <f>COUNTBLANK(HR_Cleaned[JobRole])</f>
        <v>0</v>
      </c>
    </row>
    <row r="11" spans="1:2" x14ac:dyDescent="0.25">
      <c r="A11" t="s">
        <v>72</v>
      </c>
      <c r="B11">
        <f>COUNTBLANK(HR_Cleaned[Age])</f>
        <v>0</v>
      </c>
    </row>
    <row r="12" spans="1:2" x14ac:dyDescent="0.25">
      <c r="A12" t="s">
        <v>73</v>
      </c>
      <c r="B12">
        <f>COUNTBLANK(HR_Cleaned[Department])</f>
        <v>0</v>
      </c>
    </row>
    <row r="13" spans="1:2" x14ac:dyDescent="0.25">
      <c r="A13" t="s">
        <v>74</v>
      </c>
      <c r="B13">
        <f>COUNTBLANK(HR_Cleaned[OverTime])</f>
        <v>0</v>
      </c>
    </row>
    <row r="14" spans="1:2" x14ac:dyDescent="0.25">
      <c r="A14" t="s">
        <v>75</v>
      </c>
      <c r="B14">
        <f>COUNTBLANK(HR_Cleaned[BusinessTravel])</f>
        <v>0</v>
      </c>
    </row>
    <row r="15" spans="1:2" x14ac:dyDescent="0.25">
      <c r="A15" t="s">
        <v>76</v>
      </c>
      <c r="B15">
        <f>COUNTBLANK(HR_Cleaned[JobLevel])</f>
        <v>0</v>
      </c>
    </row>
    <row r="16" spans="1:2" x14ac:dyDescent="0.25">
      <c r="A16" t="s">
        <v>77</v>
      </c>
      <c r="B16">
        <f>COUNTBLANK(HR_Cleaned[Gender])</f>
        <v>0</v>
      </c>
    </row>
    <row r="17" spans="1:2" x14ac:dyDescent="0.25">
      <c r="A17" t="s">
        <v>78</v>
      </c>
      <c r="B17">
        <f>COUNTBLANK(HR_Cleaned[JobSatisfaction])</f>
        <v>0</v>
      </c>
    </row>
    <row r="18" spans="1:2" x14ac:dyDescent="0.25">
      <c r="A18" t="s">
        <v>79</v>
      </c>
      <c r="B18">
        <f>COUNTBLANK(HR_Cleaned[EnvironmentSatisfaction])</f>
        <v>0</v>
      </c>
    </row>
    <row r="19" spans="1:2" x14ac:dyDescent="0.25">
      <c r="A19" t="s">
        <v>80</v>
      </c>
      <c r="B19">
        <f>COUNTBLANK(HR_Cleaned[WorkLifeBalance])</f>
        <v>0</v>
      </c>
    </row>
    <row r="20" spans="1:2" x14ac:dyDescent="0.25">
      <c r="A20" t="s">
        <v>81</v>
      </c>
      <c r="B20">
        <f>COUNTBLANK(HR_Cleaned[YearsAtCompany])</f>
        <v>0</v>
      </c>
    </row>
    <row r="21" spans="1:2" x14ac:dyDescent="0.25">
      <c r="A21" t="s">
        <v>82</v>
      </c>
      <c r="B21">
        <f>COUNTBLANK(HR_Cleaned[DistanceFromHome])</f>
        <v>0</v>
      </c>
    </row>
    <row r="22" spans="1:2" x14ac:dyDescent="0.25">
      <c r="A22" t="s">
        <v>83</v>
      </c>
      <c r="B22">
        <f>COUNTBLANK(HR_Cleaned[YearsSinceLastPromotion])</f>
        <v>0</v>
      </c>
    </row>
    <row r="23" spans="1:2" x14ac:dyDescent="0.25">
      <c r="A23" t="s">
        <v>84</v>
      </c>
      <c r="B23">
        <f>COUNTBLANK(HR_Cleaned[YearsWithCurrManager])</f>
        <v>0</v>
      </c>
    </row>
    <row r="24" spans="1:2" x14ac:dyDescent="0.25">
      <c r="A24" t="s">
        <v>85</v>
      </c>
      <c r="B24">
        <f>MIN(HR_Cleaned[Age])</f>
        <v>18</v>
      </c>
    </row>
    <row r="25" spans="1:2" x14ac:dyDescent="0.25">
      <c r="A25" t="s">
        <v>86</v>
      </c>
      <c r="B25">
        <f>MAX(HR_Cleaned[Age])</f>
        <v>60</v>
      </c>
    </row>
    <row r="26" spans="1:2" x14ac:dyDescent="0.25">
      <c r="A26" t="s">
        <v>87</v>
      </c>
      <c r="B26">
        <f>MIN(HR_Cleaned[MonthlyIncome])</f>
        <v>1009</v>
      </c>
    </row>
    <row r="27" spans="1:2" x14ac:dyDescent="0.25">
      <c r="A27" t="s">
        <v>88</v>
      </c>
      <c r="B27">
        <f>MAX(HR_Cleaned[MonthlyIncome])</f>
        <v>19999</v>
      </c>
    </row>
    <row r="28" spans="1:2" x14ac:dyDescent="0.25">
      <c r="A28" t="s">
        <v>89</v>
      </c>
      <c r="B28">
        <f>MIN(HR_Cleaned[YearsAtCompany])</f>
        <v>0</v>
      </c>
    </row>
    <row r="29" spans="1:2" x14ac:dyDescent="0.25">
      <c r="A29" t="s">
        <v>90</v>
      </c>
      <c r="B29">
        <f>MAX(HR_Cleaned[YearsAtCompany])</f>
        <v>40</v>
      </c>
    </row>
    <row r="30" spans="1:2" x14ac:dyDescent="0.25">
      <c r="A30" t="s">
        <v>91</v>
      </c>
      <c r="B30">
        <f>MIN(HR_Cleaned[MonthlyRate])</f>
        <v>2094</v>
      </c>
    </row>
    <row r="31" spans="1:2" x14ac:dyDescent="0.25">
      <c r="A31" t="s">
        <v>92</v>
      </c>
      <c r="B31">
        <f>MAX(HR_Cleaned[MonthlyRate])</f>
        <v>26999</v>
      </c>
    </row>
    <row r="32" spans="1:2" x14ac:dyDescent="0.25">
      <c r="A32" t="s">
        <v>93</v>
      </c>
      <c r="B32">
        <f>MIN(HR_Cleaned[DailyRate])</f>
        <v>102</v>
      </c>
    </row>
    <row r="33" spans="1:2" x14ac:dyDescent="0.25">
      <c r="A33" t="s">
        <v>94</v>
      </c>
      <c r="B33">
        <f>MAX(HR_Cleaned[DailyRate])</f>
        <v>1499</v>
      </c>
    </row>
    <row r="34" spans="1:2" x14ac:dyDescent="0.25">
      <c r="A34" t="s">
        <v>95</v>
      </c>
      <c r="B34">
        <f>MIN(HR_Cleaned[HourlyRate])</f>
        <v>30</v>
      </c>
    </row>
    <row r="35" spans="1:2" x14ac:dyDescent="0.25">
      <c r="A35" t="s">
        <v>96</v>
      </c>
      <c r="B35">
        <f>MAX(HR_Cleaned[HourlyRate])</f>
        <v>100</v>
      </c>
    </row>
    <row r="36" spans="1:2" x14ac:dyDescent="0.25">
      <c r="A36" t="s">
        <v>97</v>
      </c>
      <c r="B36">
        <f>COUNTIF(HR_Cleaned[Attrition],"Yes")</f>
        <v>237</v>
      </c>
    </row>
    <row r="37" spans="1:2" x14ac:dyDescent="0.25">
      <c r="A37" t="s">
        <v>98</v>
      </c>
      <c r="B37">
        <f>COUNTIF(HR_Cleaned[Attrition],"No")</f>
        <v>1233</v>
      </c>
    </row>
    <row r="38" spans="1:2" x14ac:dyDescent="0.25">
      <c r="A38" t="s">
        <v>99</v>
      </c>
      <c r="B38">
        <f>COUNTIF(HR_Cleaned[BusinessTravel],"Travel_Rarely")</f>
        <v>1043</v>
      </c>
    </row>
    <row r="39" spans="1:2" x14ac:dyDescent="0.25">
      <c r="A39" t="s">
        <v>100</v>
      </c>
      <c r="B39">
        <f>COUNTIF(HR_Cleaned[BusinessTravel],"Travel_Frequently")</f>
        <v>277</v>
      </c>
    </row>
    <row r="40" spans="1:2" x14ac:dyDescent="0.25">
      <c r="A40" t="s">
        <v>101</v>
      </c>
      <c r="B40">
        <f>COUNTIF(HR_Cleaned[BusinessTravel],"Non-Travel")</f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400E-30C5-4004-ACBD-9770867D96B4}">
  <dimension ref="A1:D115"/>
  <sheetViews>
    <sheetView tabSelected="1" workbookViewId="0">
      <selection activeCell="A109" sqref="A109"/>
    </sheetView>
  </sheetViews>
  <sheetFormatPr defaultRowHeight="15" x14ac:dyDescent="0.25"/>
  <cols>
    <col min="1" max="1" width="26.140625" bestFit="1" customWidth="1"/>
    <col min="2" max="2" width="16.85546875" bestFit="1" customWidth="1"/>
    <col min="3" max="3" width="4.28515625" bestFit="1" customWidth="1"/>
    <col min="4" max="4" width="11.28515625" bestFit="1" customWidth="1"/>
  </cols>
  <sheetData>
    <row r="1" spans="1:4" x14ac:dyDescent="0.25">
      <c r="A1" s="1" t="s">
        <v>109</v>
      </c>
      <c r="B1" s="1" t="s">
        <v>108</v>
      </c>
    </row>
    <row r="2" spans="1:4" x14ac:dyDescent="0.25">
      <c r="A2" s="1" t="s">
        <v>106</v>
      </c>
      <c r="B2" t="s">
        <v>43</v>
      </c>
      <c r="C2" t="s">
        <v>35</v>
      </c>
      <c r="D2" t="s">
        <v>107</v>
      </c>
    </row>
    <row r="3" spans="1:4" x14ac:dyDescent="0.25">
      <c r="A3" s="2" t="s">
        <v>61</v>
      </c>
      <c r="B3">
        <v>51</v>
      </c>
      <c r="C3">
        <v>12</v>
      </c>
      <c r="D3">
        <v>63</v>
      </c>
    </row>
    <row r="4" spans="1:4" x14ac:dyDescent="0.25">
      <c r="A4" s="2" t="s">
        <v>45</v>
      </c>
      <c r="B4">
        <v>828</v>
      </c>
      <c r="C4">
        <v>133</v>
      </c>
      <c r="D4">
        <v>961</v>
      </c>
    </row>
    <row r="5" spans="1:4" x14ac:dyDescent="0.25">
      <c r="A5" s="2" t="s">
        <v>37</v>
      </c>
      <c r="B5">
        <v>354</v>
      </c>
      <c r="C5">
        <v>92</v>
      </c>
      <c r="D5">
        <v>446</v>
      </c>
    </row>
    <row r="6" spans="1:4" x14ac:dyDescent="0.25">
      <c r="A6" s="2" t="s">
        <v>107</v>
      </c>
      <c r="B6">
        <v>1233</v>
      </c>
      <c r="C6">
        <v>237</v>
      </c>
      <c r="D6">
        <v>1470</v>
      </c>
    </row>
    <row r="12" spans="1:4" x14ac:dyDescent="0.25">
      <c r="A12" s="1" t="s">
        <v>110</v>
      </c>
      <c r="B12" s="1" t="s">
        <v>108</v>
      </c>
    </row>
    <row r="13" spans="1:4" x14ac:dyDescent="0.25">
      <c r="A13" s="1" t="s">
        <v>106</v>
      </c>
      <c r="B13" t="s">
        <v>43</v>
      </c>
      <c r="C13" t="s">
        <v>35</v>
      </c>
      <c r="D13" t="s">
        <v>107</v>
      </c>
    </row>
    <row r="14" spans="1:4" x14ac:dyDescent="0.25">
      <c r="A14" s="2" t="s">
        <v>54</v>
      </c>
      <c r="B14">
        <v>122</v>
      </c>
      <c r="C14">
        <v>9</v>
      </c>
      <c r="D14">
        <v>131</v>
      </c>
    </row>
    <row r="15" spans="1:4" x14ac:dyDescent="0.25">
      <c r="A15" s="2" t="s">
        <v>61</v>
      </c>
      <c r="B15">
        <v>40</v>
      </c>
      <c r="C15">
        <v>12</v>
      </c>
      <c r="D15">
        <v>52</v>
      </c>
    </row>
    <row r="16" spans="1:4" x14ac:dyDescent="0.25">
      <c r="A16" s="2" t="s">
        <v>50</v>
      </c>
      <c r="B16">
        <v>197</v>
      </c>
      <c r="C16">
        <v>62</v>
      </c>
      <c r="D16">
        <v>259</v>
      </c>
    </row>
    <row r="17" spans="1:4" x14ac:dyDescent="0.25">
      <c r="A17" s="2" t="s">
        <v>56</v>
      </c>
      <c r="B17">
        <v>97</v>
      </c>
      <c r="C17">
        <v>5</v>
      </c>
      <c r="D17">
        <v>102</v>
      </c>
    </row>
    <row r="18" spans="1:4" x14ac:dyDescent="0.25">
      <c r="A18" s="2" t="s">
        <v>53</v>
      </c>
      <c r="B18">
        <v>135</v>
      </c>
      <c r="C18">
        <v>10</v>
      </c>
      <c r="D18">
        <v>145</v>
      </c>
    </row>
    <row r="19" spans="1:4" x14ac:dyDescent="0.25">
      <c r="A19" s="2" t="s">
        <v>58</v>
      </c>
      <c r="B19">
        <v>78</v>
      </c>
      <c r="C19">
        <v>2</v>
      </c>
      <c r="D19">
        <v>80</v>
      </c>
    </row>
    <row r="20" spans="1:4" x14ac:dyDescent="0.25">
      <c r="A20" s="2" t="s">
        <v>47</v>
      </c>
      <c r="B20">
        <v>245</v>
      </c>
      <c r="C20">
        <v>47</v>
      </c>
      <c r="D20">
        <v>292</v>
      </c>
    </row>
    <row r="21" spans="1:4" x14ac:dyDescent="0.25">
      <c r="A21" s="2" t="s">
        <v>40</v>
      </c>
      <c r="B21">
        <v>269</v>
      </c>
      <c r="C21">
        <v>57</v>
      </c>
      <c r="D21">
        <v>326</v>
      </c>
    </row>
    <row r="22" spans="1:4" x14ac:dyDescent="0.25">
      <c r="A22" s="2" t="s">
        <v>57</v>
      </c>
      <c r="B22">
        <v>50</v>
      </c>
      <c r="C22">
        <v>33</v>
      </c>
      <c r="D22">
        <v>83</v>
      </c>
    </row>
    <row r="23" spans="1:4" x14ac:dyDescent="0.25">
      <c r="A23" s="2" t="s">
        <v>107</v>
      </c>
      <c r="B23">
        <v>1233</v>
      </c>
      <c r="C23">
        <v>237</v>
      </c>
      <c r="D23">
        <v>1470</v>
      </c>
    </row>
    <row r="29" spans="1:4" x14ac:dyDescent="0.25">
      <c r="A29" s="1" t="s">
        <v>116</v>
      </c>
      <c r="B29" s="1" t="s">
        <v>108</v>
      </c>
    </row>
    <row r="30" spans="1:4" x14ac:dyDescent="0.25">
      <c r="A30" s="1" t="s">
        <v>106</v>
      </c>
      <c r="B30" t="s">
        <v>43</v>
      </c>
      <c r="C30" t="s">
        <v>35</v>
      </c>
      <c r="D30" t="s">
        <v>107</v>
      </c>
    </row>
    <row r="31" spans="1:4" x14ac:dyDescent="0.25">
      <c r="A31" s="2" t="s">
        <v>111</v>
      </c>
      <c r="B31">
        <v>59</v>
      </c>
      <c r="C31">
        <v>38</v>
      </c>
      <c r="D31">
        <v>97</v>
      </c>
    </row>
    <row r="32" spans="1:4" x14ac:dyDescent="0.25">
      <c r="A32" s="2" t="s">
        <v>112</v>
      </c>
      <c r="B32">
        <v>442</v>
      </c>
      <c r="C32">
        <v>112</v>
      </c>
      <c r="D32">
        <v>554</v>
      </c>
    </row>
    <row r="33" spans="1:4" x14ac:dyDescent="0.25">
      <c r="A33" s="2" t="s">
        <v>113</v>
      </c>
      <c r="B33">
        <v>454</v>
      </c>
      <c r="C33">
        <v>51</v>
      </c>
      <c r="D33">
        <v>505</v>
      </c>
    </row>
    <row r="34" spans="1:4" x14ac:dyDescent="0.25">
      <c r="A34" s="2" t="s">
        <v>114</v>
      </c>
      <c r="B34">
        <v>220</v>
      </c>
      <c r="C34">
        <v>25</v>
      </c>
      <c r="D34">
        <v>245</v>
      </c>
    </row>
    <row r="35" spans="1:4" x14ac:dyDescent="0.25">
      <c r="A35" s="2" t="s">
        <v>115</v>
      </c>
      <c r="B35">
        <v>58</v>
      </c>
      <c r="C35">
        <v>11</v>
      </c>
      <c r="D35">
        <v>69</v>
      </c>
    </row>
    <row r="36" spans="1:4" x14ac:dyDescent="0.25">
      <c r="A36" s="2" t="s">
        <v>107</v>
      </c>
      <c r="B36">
        <v>1233</v>
      </c>
      <c r="C36">
        <v>237</v>
      </c>
      <c r="D36">
        <v>1470</v>
      </c>
    </row>
    <row r="42" spans="1:4" x14ac:dyDescent="0.25">
      <c r="A42" s="1" t="s">
        <v>117</v>
      </c>
      <c r="B42" s="1" t="s">
        <v>108</v>
      </c>
    </row>
    <row r="43" spans="1:4" x14ac:dyDescent="0.25">
      <c r="A43" s="1" t="s">
        <v>106</v>
      </c>
      <c r="B43" t="s">
        <v>43</v>
      </c>
      <c r="C43" t="s">
        <v>35</v>
      </c>
      <c r="D43" t="s">
        <v>107</v>
      </c>
    </row>
    <row r="44" spans="1:4" x14ac:dyDescent="0.25">
      <c r="A44" s="2" t="s">
        <v>39</v>
      </c>
      <c r="B44">
        <v>501</v>
      </c>
      <c r="C44">
        <v>87</v>
      </c>
      <c r="D44">
        <v>588</v>
      </c>
    </row>
    <row r="45" spans="1:4" x14ac:dyDescent="0.25">
      <c r="A45" s="2" t="s">
        <v>46</v>
      </c>
      <c r="B45">
        <v>732</v>
      </c>
      <c r="C45">
        <v>150</v>
      </c>
      <c r="D45">
        <v>882</v>
      </c>
    </row>
    <row r="46" spans="1:4" x14ac:dyDescent="0.25">
      <c r="A46" s="2" t="s">
        <v>107</v>
      </c>
      <c r="B46">
        <v>1233</v>
      </c>
      <c r="C46">
        <v>237</v>
      </c>
      <c r="D46">
        <v>1470</v>
      </c>
    </row>
    <row r="52" spans="1:4" x14ac:dyDescent="0.25">
      <c r="A52" s="1" t="s">
        <v>118</v>
      </c>
      <c r="B52" s="1" t="s">
        <v>108</v>
      </c>
    </row>
    <row r="53" spans="1:4" x14ac:dyDescent="0.25">
      <c r="A53" s="1" t="s">
        <v>106</v>
      </c>
      <c r="B53" t="s">
        <v>43</v>
      </c>
      <c r="C53" t="s">
        <v>35</v>
      </c>
      <c r="D53" t="s">
        <v>107</v>
      </c>
    </row>
    <row r="54" spans="1:4" x14ac:dyDescent="0.25">
      <c r="A54" s="2" t="s">
        <v>43</v>
      </c>
      <c r="B54">
        <v>944</v>
      </c>
      <c r="C54">
        <v>110</v>
      </c>
      <c r="D54">
        <v>1054</v>
      </c>
    </row>
    <row r="55" spans="1:4" x14ac:dyDescent="0.25">
      <c r="A55" s="2" t="s">
        <v>35</v>
      </c>
      <c r="B55">
        <v>289</v>
      </c>
      <c r="C55">
        <v>127</v>
      </c>
      <c r="D55">
        <v>416</v>
      </c>
    </row>
    <row r="56" spans="1:4" x14ac:dyDescent="0.25">
      <c r="A56" s="2" t="s">
        <v>107</v>
      </c>
      <c r="B56">
        <v>1233</v>
      </c>
      <c r="C56">
        <v>237</v>
      </c>
      <c r="D56">
        <v>1470</v>
      </c>
    </row>
    <row r="62" spans="1:4" x14ac:dyDescent="0.25">
      <c r="A62" s="1" t="s">
        <v>119</v>
      </c>
      <c r="B62" s="1" t="s">
        <v>108</v>
      </c>
    </row>
    <row r="63" spans="1:4" x14ac:dyDescent="0.25">
      <c r="A63" s="1" t="s">
        <v>106</v>
      </c>
      <c r="B63" t="s">
        <v>43</v>
      </c>
      <c r="C63" t="s">
        <v>35</v>
      </c>
      <c r="D63" t="s">
        <v>107</v>
      </c>
    </row>
    <row r="64" spans="1:4" x14ac:dyDescent="0.25">
      <c r="A64" s="2">
        <v>1</v>
      </c>
      <c r="B64">
        <v>400</v>
      </c>
      <c r="C64">
        <v>143</v>
      </c>
      <c r="D64">
        <v>543</v>
      </c>
    </row>
    <row r="65" spans="1:4" x14ac:dyDescent="0.25">
      <c r="A65" s="2">
        <v>2</v>
      </c>
      <c r="B65">
        <v>482</v>
      </c>
      <c r="C65">
        <v>52</v>
      </c>
      <c r="D65">
        <v>534</v>
      </c>
    </row>
    <row r="66" spans="1:4" x14ac:dyDescent="0.25">
      <c r="A66" s="2">
        <v>3</v>
      </c>
      <c r="B66">
        <v>186</v>
      </c>
      <c r="C66">
        <v>32</v>
      </c>
      <c r="D66">
        <v>218</v>
      </c>
    </row>
    <row r="67" spans="1:4" x14ac:dyDescent="0.25">
      <c r="A67" s="2">
        <v>4</v>
      </c>
      <c r="B67">
        <v>101</v>
      </c>
      <c r="C67">
        <v>5</v>
      </c>
      <c r="D67">
        <v>106</v>
      </c>
    </row>
    <row r="68" spans="1:4" x14ac:dyDescent="0.25">
      <c r="A68" s="2">
        <v>5</v>
      </c>
      <c r="B68">
        <v>64</v>
      </c>
      <c r="C68">
        <v>5</v>
      </c>
      <c r="D68">
        <v>69</v>
      </c>
    </row>
    <row r="69" spans="1:4" x14ac:dyDescent="0.25">
      <c r="A69" s="2" t="s">
        <v>107</v>
      </c>
      <c r="B69">
        <v>1233</v>
      </c>
      <c r="C69">
        <v>237</v>
      </c>
      <c r="D69">
        <v>1470</v>
      </c>
    </row>
    <row r="75" spans="1:4" x14ac:dyDescent="0.25">
      <c r="A75" s="1" t="s">
        <v>120</v>
      </c>
      <c r="B75" s="1" t="s">
        <v>108</v>
      </c>
    </row>
    <row r="76" spans="1:4" x14ac:dyDescent="0.25">
      <c r="A76" s="1" t="s">
        <v>106</v>
      </c>
      <c r="B76" t="s">
        <v>43</v>
      </c>
      <c r="C76" t="s">
        <v>35</v>
      </c>
      <c r="D76" t="s">
        <v>107</v>
      </c>
    </row>
    <row r="77" spans="1:4" x14ac:dyDescent="0.25">
      <c r="A77" s="2" t="s">
        <v>55</v>
      </c>
      <c r="B77">
        <v>138</v>
      </c>
      <c r="C77">
        <v>12</v>
      </c>
      <c r="D77">
        <v>150</v>
      </c>
    </row>
    <row r="78" spans="1:4" x14ac:dyDescent="0.25">
      <c r="A78" s="2" t="s">
        <v>44</v>
      </c>
      <c r="B78">
        <v>208</v>
      </c>
      <c r="C78">
        <v>69</v>
      </c>
      <c r="D78">
        <v>277</v>
      </c>
    </row>
    <row r="79" spans="1:4" x14ac:dyDescent="0.25">
      <c r="A79" s="2" t="s">
        <v>36</v>
      </c>
      <c r="B79">
        <v>887</v>
      </c>
      <c r="C79">
        <v>156</v>
      </c>
      <c r="D79">
        <v>1043</v>
      </c>
    </row>
    <row r="80" spans="1:4" x14ac:dyDescent="0.25">
      <c r="A80" s="2" t="s">
        <v>107</v>
      </c>
      <c r="B80">
        <v>1233</v>
      </c>
      <c r="C80">
        <v>237</v>
      </c>
      <c r="D80">
        <v>1470</v>
      </c>
    </row>
    <row r="86" spans="1:4" x14ac:dyDescent="0.25">
      <c r="A86" s="1" t="s">
        <v>121</v>
      </c>
      <c r="B86" s="1" t="s">
        <v>108</v>
      </c>
    </row>
    <row r="87" spans="1:4" x14ac:dyDescent="0.25">
      <c r="A87" s="1" t="s">
        <v>106</v>
      </c>
      <c r="B87" t="s">
        <v>43</v>
      </c>
      <c r="C87" t="s">
        <v>35</v>
      </c>
      <c r="D87" t="s">
        <v>107</v>
      </c>
    </row>
    <row r="88" spans="1:4" x14ac:dyDescent="0.25">
      <c r="A88" s="2" t="s">
        <v>52</v>
      </c>
      <c r="B88">
        <v>294</v>
      </c>
      <c r="C88">
        <v>33</v>
      </c>
      <c r="D88">
        <v>327</v>
      </c>
    </row>
    <row r="89" spans="1:4" x14ac:dyDescent="0.25">
      <c r="A89" s="2" t="s">
        <v>48</v>
      </c>
      <c r="B89">
        <v>589</v>
      </c>
      <c r="C89">
        <v>84</v>
      </c>
      <c r="D89">
        <v>673</v>
      </c>
    </row>
    <row r="90" spans="1:4" x14ac:dyDescent="0.25">
      <c r="A90" s="2" t="s">
        <v>41</v>
      </c>
      <c r="B90">
        <v>350</v>
      </c>
      <c r="C90">
        <v>120</v>
      </c>
      <c r="D90">
        <v>470</v>
      </c>
    </row>
    <row r="91" spans="1:4" x14ac:dyDescent="0.25">
      <c r="A91" s="2" t="s">
        <v>107</v>
      </c>
      <c r="B91">
        <v>1233</v>
      </c>
      <c r="C91">
        <v>237</v>
      </c>
      <c r="D91">
        <v>1470</v>
      </c>
    </row>
    <row r="97" spans="1:4" x14ac:dyDescent="0.25">
      <c r="A97" s="1" t="s">
        <v>126</v>
      </c>
      <c r="B97" s="1" t="s">
        <v>108</v>
      </c>
    </row>
    <row r="98" spans="1:4" x14ac:dyDescent="0.25">
      <c r="A98" s="1" t="s">
        <v>106</v>
      </c>
      <c r="B98" t="s">
        <v>43</v>
      </c>
      <c r="C98" t="s">
        <v>35</v>
      </c>
      <c r="D98" t="s">
        <v>107</v>
      </c>
    </row>
    <row r="99" spans="1:4" x14ac:dyDescent="0.25">
      <c r="A99" s="2" t="s">
        <v>122</v>
      </c>
      <c r="B99">
        <v>240</v>
      </c>
      <c r="C99">
        <v>102</v>
      </c>
      <c r="D99">
        <v>342</v>
      </c>
    </row>
    <row r="100" spans="1:4" x14ac:dyDescent="0.25">
      <c r="A100" s="2" t="s">
        <v>123</v>
      </c>
      <c r="B100">
        <v>226</v>
      </c>
      <c r="C100">
        <v>20</v>
      </c>
      <c r="D100">
        <v>246</v>
      </c>
    </row>
    <row r="101" spans="1:4" x14ac:dyDescent="0.25">
      <c r="A101" s="2" t="s">
        <v>124</v>
      </c>
      <c r="B101">
        <v>374</v>
      </c>
      <c r="C101">
        <v>60</v>
      </c>
      <c r="D101">
        <v>434</v>
      </c>
    </row>
    <row r="102" spans="1:4" x14ac:dyDescent="0.25">
      <c r="A102" s="2" t="s">
        <v>125</v>
      </c>
      <c r="B102">
        <v>393</v>
      </c>
      <c r="C102">
        <v>55</v>
      </c>
      <c r="D102">
        <v>448</v>
      </c>
    </row>
    <row r="103" spans="1:4" x14ac:dyDescent="0.25">
      <c r="A103" s="2" t="s">
        <v>107</v>
      </c>
      <c r="B103">
        <v>1233</v>
      </c>
      <c r="C103">
        <v>237</v>
      </c>
      <c r="D103">
        <v>1470</v>
      </c>
    </row>
    <row r="109" spans="1:4" x14ac:dyDescent="0.25">
      <c r="A109" s="1" t="s">
        <v>131</v>
      </c>
      <c r="B109" s="1" t="s">
        <v>108</v>
      </c>
    </row>
    <row r="110" spans="1:4" x14ac:dyDescent="0.25">
      <c r="A110" s="1" t="s">
        <v>106</v>
      </c>
      <c r="B110" t="s">
        <v>43</v>
      </c>
      <c r="C110" t="s">
        <v>35</v>
      </c>
      <c r="D110" t="s">
        <v>107</v>
      </c>
    </row>
    <row r="111" spans="1:4" x14ac:dyDescent="0.25">
      <c r="A111" s="2" t="s">
        <v>127</v>
      </c>
      <c r="B111">
        <v>304</v>
      </c>
      <c r="C111">
        <v>50</v>
      </c>
      <c r="D111">
        <v>354</v>
      </c>
    </row>
    <row r="112" spans="1:4" x14ac:dyDescent="0.25">
      <c r="A112" s="2" t="s">
        <v>128</v>
      </c>
      <c r="B112">
        <v>306</v>
      </c>
      <c r="C112">
        <v>34</v>
      </c>
      <c r="D112">
        <v>340</v>
      </c>
    </row>
    <row r="113" spans="1:4" x14ac:dyDescent="0.25">
      <c r="A113" s="2" t="s">
        <v>129</v>
      </c>
      <c r="B113">
        <v>341</v>
      </c>
      <c r="C113">
        <v>40</v>
      </c>
      <c r="D113">
        <v>381</v>
      </c>
    </row>
    <row r="114" spans="1:4" x14ac:dyDescent="0.25">
      <c r="A114" s="2" t="s">
        <v>130</v>
      </c>
      <c r="B114">
        <v>282</v>
      </c>
      <c r="C114">
        <v>113</v>
      </c>
      <c r="D114">
        <v>395</v>
      </c>
    </row>
    <row r="115" spans="1:4" x14ac:dyDescent="0.25">
      <c r="A115" s="2" t="s">
        <v>107</v>
      </c>
      <c r="B115">
        <v>1233</v>
      </c>
      <c r="C115">
        <v>237</v>
      </c>
      <c r="D115">
        <v>1470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5987D-E269-444B-8635-E563620093F4}">
  <dimension ref="A1:F84"/>
  <sheetViews>
    <sheetView topLeftCell="A69" zoomScale="85" zoomScaleNormal="85" workbookViewId="0">
      <selection activeCell="H79" sqref="H79"/>
    </sheetView>
  </sheetViews>
  <sheetFormatPr defaultRowHeight="15" x14ac:dyDescent="0.25"/>
  <cols>
    <col min="1" max="1" width="31.85546875" customWidth="1"/>
    <col min="2" max="2" width="12.42578125" customWidth="1"/>
    <col min="3" max="3" width="18.28515625" customWidth="1"/>
    <col min="4" max="4" width="14.5703125" customWidth="1"/>
  </cols>
  <sheetData>
    <row r="1" spans="1:6" ht="21" x14ac:dyDescent="0.35">
      <c r="A1" s="10" t="s">
        <v>132</v>
      </c>
    </row>
    <row r="3" spans="1:6" x14ac:dyDescent="0.25">
      <c r="A3" s="5" t="s">
        <v>133</v>
      </c>
      <c r="B3" s="5" t="s">
        <v>134</v>
      </c>
    </row>
    <row r="4" spans="1:6" x14ac:dyDescent="0.25">
      <c r="A4" t="s">
        <v>65</v>
      </c>
      <c r="B4">
        <f>ROWS(HR_Cleaned[EmployeeNumber])</f>
        <v>1470</v>
      </c>
    </row>
    <row r="5" spans="1:6" x14ac:dyDescent="0.25">
      <c r="A5" t="s">
        <v>135</v>
      </c>
      <c r="B5">
        <f>COUNTIF(HR_Cleaned[Attrition],"Yes")</f>
        <v>237</v>
      </c>
    </row>
    <row r="6" spans="1:6" ht="21" x14ac:dyDescent="0.35">
      <c r="A6" t="s">
        <v>136</v>
      </c>
      <c r="B6">
        <f>COUNTIF(HR_Cleaned[Attrition],"No")</f>
        <v>1233</v>
      </c>
      <c r="F6" s="10"/>
    </row>
    <row r="7" spans="1:6" x14ac:dyDescent="0.25">
      <c r="A7" t="s">
        <v>137</v>
      </c>
      <c r="B7" s="3">
        <f>B5/B4</f>
        <v>0.16122448979591836</v>
      </c>
    </row>
    <row r="10" spans="1:6" ht="21" x14ac:dyDescent="0.35">
      <c r="A10" s="10" t="s">
        <v>139</v>
      </c>
    </row>
    <row r="12" spans="1:6" x14ac:dyDescent="0.25">
      <c r="A12" s="5" t="s">
        <v>140</v>
      </c>
      <c r="B12" s="5" t="s">
        <v>141</v>
      </c>
      <c r="C12" s="5" t="s">
        <v>142</v>
      </c>
      <c r="D12" s="5" t="s">
        <v>138</v>
      </c>
    </row>
    <row r="13" spans="1:6" x14ac:dyDescent="0.25">
      <c r="A13" t="s">
        <v>61</v>
      </c>
      <c r="B13">
        <f>COUNTIF(HR_Cleaned[Department],A13)</f>
        <v>63</v>
      </c>
      <c r="C13">
        <f>COUNTIFS(HR_Cleaned[Department],A13,HR_Cleaned[Attrition],"Yes")</f>
        <v>12</v>
      </c>
      <c r="D13" s="3">
        <f>C13/B13</f>
        <v>0.19047619047619047</v>
      </c>
    </row>
    <row r="14" spans="1:6" x14ac:dyDescent="0.25">
      <c r="A14" t="s">
        <v>45</v>
      </c>
      <c r="B14">
        <f>COUNTIF(HR_Cleaned[Department],A14)</f>
        <v>961</v>
      </c>
      <c r="C14">
        <f>COUNTIFS(HR_Cleaned[Department],A14,HR_Cleaned[Attrition],"Yes")</f>
        <v>133</v>
      </c>
      <c r="D14" s="3">
        <f>C14/B14</f>
        <v>0.13839750260145681</v>
      </c>
    </row>
    <row r="15" spans="1:6" x14ac:dyDescent="0.25">
      <c r="A15" t="s">
        <v>37</v>
      </c>
      <c r="B15">
        <f>COUNTIF(HR_Cleaned[Department],A15)</f>
        <v>446</v>
      </c>
      <c r="C15">
        <f>COUNTIFS(HR_Cleaned[Department],A15,HR_Cleaned[Attrition],"Yes")</f>
        <v>92</v>
      </c>
      <c r="D15" s="3">
        <f>C15/B15</f>
        <v>0.20627802690582961</v>
      </c>
    </row>
    <row r="18" spans="1:4" ht="21" x14ac:dyDescent="0.35">
      <c r="A18" s="10" t="s">
        <v>143</v>
      </c>
    </row>
    <row r="20" spans="1:4" x14ac:dyDescent="0.25">
      <c r="A20" s="5" t="s">
        <v>144</v>
      </c>
      <c r="B20" s="5" t="s">
        <v>141</v>
      </c>
      <c r="C20" s="5" t="s">
        <v>142</v>
      </c>
      <c r="D20" s="5" t="s">
        <v>138</v>
      </c>
    </row>
    <row r="21" spans="1:4" x14ac:dyDescent="0.25">
      <c r="A21" t="s">
        <v>54</v>
      </c>
      <c r="B21">
        <f>COUNTIF(HR_Cleaned[JobRole],A21)</f>
        <v>131</v>
      </c>
      <c r="C21">
        <f>COUNTIFS(HR_Cleaned[JobRole],A21,HR_Cleaned[Attrition],"Yes")</f>
        <v>9</v>
      </c>
      <c r="D21" s="3">
        <f t="shared" ref="D21:D29" si="0">C21/B21</f>
        <v>6.8702290076335881E-2</v>
      </c>
    </row>
    <row r="22" spans="1:4" x14ac:dyDescent="0.25">
      <c r="A22" t="s">
        <v>61</v>
      </c>
      <c r="B22">
        <f>COUNTIF(HR_Cleaned[JobRole],A22)</f>
        <v>52</v>
      </c>
      <c r="C22">
        <f>COUNTIFS(HR_Cleaned[JobRole],A22,HR_Cleaned[Attrition],"Yes")</f>
        <v>12</v>
      </c>
      <c r="D22" s="3">
        <f t="shared" si="0"/>
        <v>0.23076923076923078</v>
      </c>
    </row>
    <row r="23" spans="1:4" x14ac:dyDescent="0.25">
      <c r="A23" t="s">
        <v>145</v>
      </c>
      <c r="B23">
        <f>COUNTIF(HR_Cleaned[JobRole],A23)</f>
        <v>259</v>
      </c>
      <c r="C23">
        <f>COUNTIFS(HR_Cleaned[JobRole],A23,HR_Cleaned[Attrition],"Yes")</f>
        <v>62</v>
      </c>
      <c r="D23" s="3">
        <f t="shared" si="0"/>
        <v>0.23938223938223938</v>
      </c>
    </row>
    <row r="24" spans="1:4" x14ac:dyDescent="0.25">
      <c r="A24" t="s">
        <v>56</v>
      </c>
      <c r="B24">
        <f>COUNTIF(HR_Cleaned[JobRole],A24)</f>
        <v>102</v>
      </c>
      <c r="C24">
        <f>COUNTIFS(HR_Cleaned[JobRole],A24,HR_Cleaned[Attrition],"Yes")</f>
        <v>5</v>
      </c>
      <c r="D24" s="3">
        <f t="shared" si="0"/>
        <v>4.9019607843137254E-2</v>
      </c>
    </row>
    <row r="25" spans="1:4" x14ac:dyDescent="0.25">
      <c r="A25" t="s">
        <v>53</v>
      </c>
      <c r="B25">
        <f>COUNTIF(HR_Cleaned[JobRole],A25)</f>
        <v>145</v>
      </c>
      <c r="C25">
        <f>COUNTIFS(HR_Cleaned[JobRole],A25,HR_Cleaned[Attrition],"Yes")</f>
        <v>10</v>
      </c>
      <c r="D25" s="3">
        <f t="shared" si="0"/>
        <v>6.8965517241379309E-2</v>
      </c>
    </row>
    <row r="26" spans="1:4" x14ac:dyDescent="0.25">
      <c r="A26" t="s">
        <v>58</v>
      </c>
      <c r="B26">
        <f>COUNTIF(HR_Cleaned[JobRole],A26)</f>
        <v>80</v>
      </c>
      <c r="C26">
        <f>COUNTIFS(HR_Cleaned[JobRole],A26,HR_Cleaned[Attrition],"Yes")</f>
        <v>2</v>
      </c>
      <c r="D26" s="3">
        <f t="shared" si="0"/>
        <v>2.5000000000000001E-2</v>
      </c>
    </row>
    <row r="27" spans="1:4" x14ac:dyDescent="0.25">
      <c r="A27" t="s">
        <v>146</v>
      </c>
      <c r="B27">
        <f>COUNTIF(HR_Cleaned[JobRole],"Research Scientist")</f>
        <v>292</v>
      </c>
      <c r="C27">
        <f>COUNTIFS(HR_Cleaned[JobRole],"Research Scientist",HR_Cleaned[Attrition],"Yes")</f>
        <v>47</v>
      </c>
      <c r="D27" s="3">
        <f t="shared" si="0"/>
        <v>0.16095890410958905</v>
      </c>
    </row>
    <row r="28" spans="1:4" x14ac:dyDescent="0.25">
      <c r="A28" t="s">
        <v>40</v>
      </c>
      <c r="B28">
        <f>COUNTIF(HR_Cleaned[JobRole],A28)</f>
        <v>326</v>
      </c>
      <c r="C28">
        <f>COUNTIFS(HR_Cleaned[JobRole],A28,HR_Cleaned[Attrition],"Yes")</f>
        <v>57</v>
      </c>
      <c r="D28" s="3">
        <f t="shared" si="0"/>
        <v>0.17484662576687116</v>
      </c>
    </row>
    <row r="29" spans="1:4" x14ac:dyDescent="0.25">
      <c r="A29" t="s">
        <v>57</v>
      </c>
      <c r="B29">
        <f>COUNTIF(HR_Cleaned[JobRole],A29)</f>
        <v>83</v>
      </c>
      <c r="C29">
        <f>COUNTIFS(HR_Cleaned[JobRole],A29,HR_Cleaned[Attrition],"Yes")</f>
        <v>33</v>
      </c>
      <c r="D29" s="3">
        <f t="shared" si="0"/>
        <v>0.39759036144578314</v>
      </c>
    </row>
    <row r="33" spans="1:4" ht="21" x14ac:dyDescent="0.35">
      <c r="A33" s="10" t="s">
        <v>147</v>
      </c>
    </row>
    <row r="35" spans="1:4" x14ac:dyDescent="0.25">
      <c r="A35" s="5" t="s">
        <v>22</v>
      </c>
      <c r="B35" s="5" t="s">
        <v>141</v>
      </c>
      <c r="C35" s="5" t="s">
        <v>142</v>
      </c>
      <c r="D35" s="5" t="s">
        <v>138</v>
      </c>
    </row>
    <row r="36" spans="1:4" x14ac:dyDescent="0.25">
      <c r="A36" t="s">
        <v>43</v>
      </c>
      <c r="B36">
        <f>COUNTIF(HR_Cleaned[OverTime],A36)</f>
        <v>1054</v>
      </c>
      <c r="C36">
        <f>COUNTIFS(HR_Cleaned[OverTime],A36,HR_Cleaned[Attrition],"Yes")</f>
        <v>110</v>
      </c>
      <c r="D36" s="3">
        <f>C36/B36</f>
        <v>0.10436432637571158</v>
      </c>
    </row>
    <row r="37" spans="1:4" x14ac:dyDescent="0.25">
      <c r="A37" t="s">
        <v>35</v>
      </c>
      <c r="B37">
        <f>COUNTIF(HR_Cleaned[OverTime],A37)</f>
        <v>416</v>
      </c>
      <c r="C37">
        <f>COUNTIFS(HR_Cleaned[OverTime],A37,HR_Cleaned[Attrition],"Yes")</f>
        <v>127</v>
      </c>
      <c r="D37" s="3">
        <f>C37/B37</f>
        <v>0.30528846153846156</v>
      </c>
    </row>
    <row r="40" spans="1:4" x14ac:dyDescent="0.25">
      <c r="A40" t="s">
        <v>148</v>
      </c>
    </row>
    <row r="42" spans="1:4" x14ac:dyDescent="0.25">
      <c r="A42" s="5" t="s">
        <v>149</v>
      </c>
      <c r="B42" s="5" t="s">
        <v>141</v>
      </c>
      <c r="C42" s="5" t="s">
        <v>142</v>
      </c>
      <c r="D42" s="5" t="s">
        <v>138</v>
      </c>
    </row>
    <row r="43" spans="1:4" x14ac:dyDescent="0.25">
      <c r="A43">
        <v>1</v>
      </c>
      <c r="B43">
        <f>COUNTIF(HR_Cleaned[JobLevel],A43)</f>
        <v>543</v>
      </c>
      <c r="C43">
        <f>COUNTIFS(HR_Cleaned[JobLevel],A43,HR_Cleaned[Attrition],"Yes")</f>
        <v>143</v>
      </c>
      <c r="D43" s="3">
        <f>C43/B43</f>
        <v>0.26335174953959484</v>
      </c>
    </row>
    <row r="44" spans="1:4" x14ac:dyDescent="0.25">
      <c r="A44">
        <v>2</v>
      </c>
      <c r="B44">
        <f>COUNTIF(HR_Cleaned[JobLevel],A44)</f>
        <v>534</v>
      </c>
      <c r="C44">
        <f>COUNTIFS(HR_Cleaned[JobLevel],A44,HR_Cleaned[Attrition],"Yes")</f>
        <v>52</v>
      </c>
      <c r="D44" s="3">
        <f>C44/B44</f>
        <v>9.7378277153558054E-2</v>
      </c>
    </row>
    <row r="45" spans="1:4" x14ac:dyDescent="0.25">
      <c r="A45">
        <v>3</v>
      </c>
      <c r="B45">
        <f>COUNTIF(HR_Cleaned[JobLevel],A45)</f>
        <v>218</v>
      </c>
      <c r="C45">
        <f>COUNTIFS(HR_Cleaned[JobLevel],A45,HR_Cleaned[Attrition],"Yes")</f>
        <v>32</v>
      </c>
      <c r="D45" s="3">
        <f>C45/B45</f>
        <v>0.14678899082568808</v>
      </c>
    </row>
    <row r="46" spans="1:4" x14ac:dyDescent="0.25">
      <c r="A46">
        <v>4</v>
      </c>
      <c r="B46">
        <f>COUNTIF(HR_Cleaned[JobLevel],A46)</f>
        <v>106</v>
      </c>
      <c r="C46">
        <f>COUNTIFS(HR_Cleaned[JobLevel],A46,HR_Cleaned[Attrition],"Yes")</f>
        <v>5</v>
      </c>
      <c r="D46" s="3">
        <f>C46/B46</f>
        <v>4.716981132075472E-2</v>
      </c>
    </row>
    <row r="47" spans="1:4" x14ac:dyDescent="0.25">
      <c r="A47">
        <v>5</v>
      </c>
      <c r="B47">
        <f>COUNTIF(HR_Cleaned[JobLevel],A47)</f>
        <v>69</v>
      </c>
      <c r="C47">
        <f>COUNTIFS(HR_Cleaned[JobLevel],A47,HR_Cleaned[Attrition],"Yes")</f>
        <v>5</v>
      </c>
      <c r="D47" s="3">
        <f>C47/B47</f>
        <v>7.2463768115942032E-2</v>
      </c>
    </row>
    <row r="51" spans="1:4" ht="21" x14ac:dyDescent="0.35">
      <c r="A51" s="10" t="s">
        <v>150</v>
      </c>
    </row>
    <row r="53" spans="1:4" x14ac:dyDescent="0.25">
      <c r="A53" s="5" t="s">
        <v>151</v>
      </c>
      <c r="B53" s="5" t="s">
        <v>141</v>
      </c>
      <c r="C53" s="5" t="s">
        <v>142</v>
      </c>
      <c r="D53" s="5" t="s">
        <v>138</v>
      </c>
    </row>
    <row r="54" spans="1:4" x14ac:dyDescent="0.25">
      <c r="A54" t="s">
        <v>55</v>
      </c>
      <c r="B54">
        <f>COUNTIF(HR_Cleaned[BusinessTravel],A54)</f>
        <v>150</v>
      </c>
      <c r="C54">
        <f>COUNTIFS(HR_Cleaned[BusinessTravel],A54,HR_Cleaned[Attrition],"Yes")</f>
        <v>12</v>
      </c>
      <c r="D54" s="3">
        <f>C54/B54</f>
        <v>0.08</v>
      </c>
    </row>
    <row r="55" spans="1:4" x14ac:dyDescent="0.25">
      <c r="A55" t="s">
        <v>36</v>
      </c>
      <c r="B55">
        <f>COUNTIF(HR_Cleaned[BusinessTravel],A55)</f>
        <v>1043</v>
      </c>
      <c r="C55">
        <f>COUNTIFS(HR_Cleaned[BusinessTravel],A55,HR_Cleaned[Attrition],"Yes")</f>
        <v>156</v>
      </c>
      <c r="D55" s="3">
        <f>C55/B55</f>
        <v>0.14956855225311602</v>
      </c>
    </row>
    <row r="56" spans="1:4" x14ac:dyDescent="0.25">
      <c r="A56" t="s">
        <v>44</v>
      </c>
      <c r="B56">
        <f>COUNTIF(HR_Cleaned[BusinessTravel],A56)</f>
        <v>277</v>
      </c>
      <c r="C56">
        <f>COUNTIFS(HR_Cleaned[BusinessTravel],A56,HR_Cleaned[Attrition],"Yes")</f>
        <v>69</v>
      </c>
      <c r="D56" s="3">
        <f>C56/B56</f>
        <v>0.24909747292418771</v>
      </c>
    </row>
    <row r="60" spans="1:4" ht="21" x14ac:dyDescent="0.35">
      <c r="A60" s="10" t="s">
        <v>152</v>
      </c>
    </row>
    <row r="62" spans="1:4" x14ac:dyDescent="0.25">
      <c r="A62" s="5" t="s">
        <v>153</v>
      </c>
      <c r="B62" s="5" t="s">
        <v>141</v>
      </c>
      <c r="C62" s="5" t="s">
        <v>142</v>
      </c>
      <c r="D62" s="5" t="s">
        <v>138</v>
      </c>
    </row>
    <row r="63" spans="1:4" x14ac:dyDescent="0.25">
      <c r="A63" t="s">
        <v>41</v>
      </c>
      <c r="B63">
        <f>COUNTIF(HR_Cleaned[MaritalStatus],A63)</f>
        <v>470</v>
      </c>
      <c r="C63">
        <f>COUNTIFS(HR_Cleaned[MaritalStatus],A63,HR_Cleaned[Attrition],"Yes")</f>
        <v>120</v>
      </c>
      <c r="D63" s="3">
        <f>C63/B63</f>
        <v>0.25531914893617019</v>
      </c>
    </row>
    <row r="64" spans="1:4" x14ac:dyDescent="0.25">
      <c r="A64" t="s">
        <v>48</v>
      </c>
      <c r="B64">
        <f>COUNTIF(HR_Cleaned[MaritalStatus],A64)</f>
        <v>673</v>
      </c>
      <c r="C64">
        <f>COUNTIFS(HR_Cleaned[MaritalStatus],A64,HR_Cleaned[Attrition],"Yes")</f>
        <v>84</v>
      </c>
      <c r="D64" s="3">
        <f>C64/B64</f>
        <v>0.12481426448736999</v>
      </c>
    </row>
    <row r="65" spans="1:4" x14ac:dyDescent="0.25">
      <c r="A65" t="s">
        <v>52</v>
      </c>
      <c r="B65">
        <f>COUNTIF(HR_Cleaned[MaritalStatus],A65)</f>
        <v>327</v>
      </c>
      <c r="C65">
        <f>COUNTIFS(HR_Cleaned[MaritalStatus],A65,HR_Cleaned[Attrition],"Yes")</f>
        <v>33</v>
      </c>
      <c r="D65" s="3">
        <f>C65/B65</f>
        <v>0.10091743119266056</v>
      </c>
    </row>
    <row r="69" spans="1:4" ht="21" x14ac:dyDescent="0.35">
      <c r="A69" s="10" t="s">
        <v>154</v>
      </c>
    </row>
    <row r="71" spans="1:4" x14ac:dyDescent="0.25">
      <c r="A71" s="5" t="s">
        <v>155</v>
      </c>
      <c r="B71" s="5" t="s">
        <v>141</v>
      </c>
      <c r="C71" s="5" t="s">
        <v>142</v>
      </c>
      <c r="D71" s="5" t="s">
        <v>138</v>
      </c>
    </row>
    <row r="72" spans="1:4" x14ac:dyDescent="0.25">
      <c r="A72" t="s">
        <v>122</v>
      </c>
      <c r="B72">
        <f>COUNTIF(HR_Cleaned[Tenure group],A72)</f>
        <v>342</v>
      </c>
      <c r="C72">
        <f>COUNTIFS(HR_Cleaned[Tenure group],A72,HR_Cleaned[Attrition],"Yes")</f>
        <v>102</v>
      </c>
      <c r="D72" s="3">
        <f>C72/B72</f>
        <v>0.2982456140350877</v>
      </c>
    </row>
    <row r="73" spans="1:4" x14ac:dyDescent="0.25">
      <c r="A73" t="s">
        <v>124</v>
      </c>
      <c r="B73">
        <f>COUNTIF(HR_Cleaned[Tenure group],A73)</f>
        <v>434</v>
      </c>
      <c r="C73">
        <f>COUNTIFS(HR_Cleaned[Tenure group],A73,HR_Cleaned[Attrition],"Yes")</f>
        <v>60</v>
      </c>
      <c r="D73" s="3">
        <f>C73/B73</f>
        <v>0.13824884792626729</v>
      </c>
    </row>
    <row r="74" spans="1:4" x14ac:dyDescent="0.25">
      <c r="A74" t="s">
        <v>125</v>
      </c>
      <c r="B74">
        <f>COUNTIF(HR_Cleaned[Tenure group],A74)</f>
        <v>448</v>
      </c>
      <c r="C74">
        <f>COUNTIFS(HR_Cleaned[Tenure group],A74,HR_Cleaned[Attrition],"Yes")</f>
        <v>55</v>
      </c>
      <c r="D74" s="3">
        <f>C74/B74</f>
        <v>0.12276785714285714</v>
      </c>
    </row>
    <row r="75" spans="1:4" x14ac:dyDescent="0.25">
      <c r="A75" t="s">
        <v>123</v>
      </c>
      <c r="B75">
        <f>COUNTIF(HR_Cleaned[Tenure group],A75)</f>
        <v>246</v>
      </c>
      <c r="C75">
        <f>COUNTIFS(HR_Cleaned[Tenure group],A75,HR_Cleaned[Attrition],"Yes")</f>
        <v>20</v>
      </c>
      <c r="D75" s="3">
        <f>C75/B75</f>
        <v>8.1300813008130079E-2</v>
      </c>
    </row>
    <row r="78" spans="1:4" ht="21" x14ac:dyDescent="0.35">
      <c r="A78" s="10" t="s">
        <v>156</v>
      </c>
    </row>
    <row r="80" spans="1:4" x14ac:dyDescent="0.25">
      <c r="A80" s="5" t="s">
        <v>104</v>
      </c>
      <c r="B80" s="5" t="s">
        <v>141</v>
      </c>
      <c r="C80" s="5" t="s">
        <v>142</v>
      </c>
      <c r="D80" s="5" t="s">
        <v>138</v>
      </c>
    </row>
    <row r="81" spans="1:4" x14ac:dyDescent="0.25">
      <c r="A81" t="s">
        <v>130</v>
      </c>
      <c r="B81">
        <f>COUNTIF(HR_Cleaned[Income Group],A81)</f>
        <v>395</v>
      </c>
      <c r="C81">
        <f>COUNTIFS(HR_Cleaned[Income Group],A81,HR_Cleaned[Attrition],"Yes")</f>
        <v>113</v>
      </c>
      <c r="D81" s="3">
        <f>C81/B81</f>
        <v>0.28607594936708863</v>
      </c>
    </row>
    <row r="82" spans="1:4" x14ac:dyDescent="0.25">
      <c r="A82" t="s">
        <v>127</v>
      </c>
      <c r="B82">
        <f>COUNTIF(HR_Cleaned[Income Group],A82)</f>
        <v>354</v>
      </c>
      <c r="C82">
        <f>COUNTIFS(HR_Cleaned[Income Group],A82,HR_Cleaned[Attrition],"Yes")</f>
        <v>50</v>
      </c>
      <c r="D82" s="3">
        <f>C82/B82</f>
        <v>0.14124293785310735</v>
      </c>
    </row>
    <row r="83" spans="1:4" x14ac:dyDescent="0.25">
      <c r="A83" t="s">
        <v>128</v>
      </c>
      <c r="B83">
        <f>COUNTIF(HR_Cleaned[Income Group],A83)</f>
        <v>340</v>
      </c>
      <c r="C83">
        <f>COUNTIFS(HR_Cleaned[Income Group],A83,HR_Cleaned[Attrition],"Yes")</f>
        <v>34</v>
      </c>
      <c r="D83" s="3">
        <f>C83/B83</f>
        <v>0.1</v>
      </c>
    </row>
    <row r="84" spans="1:4" x14ac:dyDescent="0.25">
      <c r="A84" t="s">
        <v>129</v>
      </c>
      <c r="B84">
        <f>COUNTIF(HR_Cleaned[Income Group],A84)</f>
        <v>381</v>
      </c>
      <c r="C84">
        <f>COUNTIFS(HR_Cleaned[Income Group],A84,HR_Cleaned[Attrition],"Yes")</f>
        <v>40</v>
      </c>
      <c r="D84" s="3">
        <f>C84/B84</f>
        <v>0.10498687664041995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631C8-3DB2-41B3-B5CA-D7EC41F29D51}">
  <dimension ref="A1:D91"/>
  <sheetViews>
    <sheetView zoomScaleNormal="100" workbookViewId="0">
      <selection activeCell="H79" sqref="H79"/>
    </sheetView>
  </sheetViews>
  <sheetFormatPr defaultRowHeight="15" x14ac:dyDescent="0.25"/>
  <cols>
    <col min="1" max="1" width="36.140625" customWidth="1"/>
    <col min="2" max="2" width="16.7109375" bestFit="1" customWidth="1"/>
    <col min="3" max="3" width="19.28515625" customWidth="1"/>
    <col min="4" max="4" width="17.42578125" customWidth="1"/>
  </cols>
  <sheetData>
    <row r="1" spans="1:4" ht="21" x14ac:dyDescent="0.35">
      <c r="A1" s="10" t="s">
        <v>157</v>
      </c>
    </row>
    <row r="3" spans="1:4" x14ac:dyDescent="0.25">
      <c r="A3" s="5" t="s">
        <v>133</v>
      </c>
      <c r="B3" s="5" t="s">
        <v>134</v>
      </c>
    </row>
    <row r="4" spans="1:4" x14ac:dyDescent="0.25">
      <c r="A4" t="s">
        <v>65</v>
      </c>
      <c r="B4">
        <f>ROWS(HR_Cleaned[EmployeeNumber])</f>
        <v>1470</v>
      </c>
    </row>
    <row r="5" spans="1:4" x14ac:dyDescent="0.25">
      <c r="A5" t="s">
        <v>164</v>
      </c>
      <c r="B5" s="4">
        <f>AVERAGE(HR_Cleaned[Age])</f>
        <v>36.923809523809524</v>
      </c>
    </row>
    <row r="6" spans="1:4" x14ac:dyDescent="0.25">
      <c r="A6" t="s">
        <v>163</v>
      </c>
      <c r="B6" s="4">
        <f>AVERAGE(HR_Cleaned[MonthlyIncome])</f>
        <v>6502.931292517007</v>
      </c>
    </row>
    <row r="7" spans="1:4" x14ac:dyDescent="0.25">
      <c r="A7" t="s">
        <v>162</v>
      </c>
      <c r="B7" s="4">
        <f>AVERAGE(HR_Cleaned[YearsAtCompany])</f>
        <v>7.0081632653061225</v>
      </c>
    </row>
    <row r="8" spans="1:4" x14ac:dyDescent="0.25">
      <c r="A8" t="s">
        <v>161</v>
      </c>
      <c r="B8" s="4">
        <f>AVERAGE(HR_Cleaned[JobLevel])</f>
        <v>2.0639455782312925</v>
      </c>
    </row>
    <row r="9" spans="1:4" x14ac:dyDescent="0.25">
      <c r="A9" t="s">
        <v>160</v>
      </c>
      <c r="B9" s="4">
        <f>AVERAGE(HR_Cleaned[DistanceFromHome])</f>
        <v>9.1925170068027207</v>
      </c>
    </row>
    <row r="10" spans="1:4" x14ac:dyDescent="0.25">
      <c r="A10" t="s">
        <v>159</v>
      </c>
      <c r="B10">
        <f>COUNTIF(HR_Cleaned[OverTime],"Yes")</f>
        <v>416</v>
      </c>
    </row>
    <row r="11" spans="1:4" x14ac:dyDescent="0.25">
      <c r="A11" t="s">
        <v>158</v>
      </c>
      <c r="B11">
        <f>COUNTIF(HR_Cleaned[BusinessTravel],"Travel_Frequently")</f>
        <v>277</v>
      </c>
    </row>
    <row r="14" spans="1:4" ht="21" x14ac:dyDescent="0.35">
      <c r="A14" s="10" t="s">
        <v>165</v>
      </c>
    </row>
    <row r="16" spans="1:4" x14ac:dyDescent="0.25">
      <c r="A16" s="5" t="s">
        <v>11</v>
      </c>
      <c r="B16" s="5" t="s">
        <v>141</v>
      </c>
      <c r="C16" s="5" t="s">
        <v>166</v>
      </c>
      <c r="D16" s="5" t="s">
        <v>138</v>
      </c>
    </row>
    <row r="17" spans="1:4" x14ac:dyDescent="0.25">
      <c r="A17" t="s">
        <v>39</v>
      </c>
      <c r="B17">
        <f>COUNTIF(HR_Cleaned[Gender],A17)</f>
        <v>588</v>
      </c>
      <c r="C17">
        <f>COUNTIFS(HR_Cleaned[Gender],A17,HR_Cleaned[Attrition],"Yes")</f>
        <v>87</v>
      </c>
      <c r="D17" s="3">
        <f>C17/B17</f>
        <v>0.14795918367346939</v>
      </c>
    </row>
    <row r="18" spans="1:4" x14ac:dyDescent="0.25">
      <c r="A18" t="s">
        <v>46</v>
      </c>
      <c r="B18">
        <f>COUNTIF(HR_Cleaned[Gender],A18)</f>
        <v>882</v>
      </c>
      <c r="C18">
        <f>COUNTIFS(HR_Cleaned[Gender],A18,HR_Cleaned[Attrition],"Yes")</f>
        <v>150</v>
      </c>
      <c r="D18" s="3">
        <f>C18/B18</f>
        <v>0.17006802721088435</v>
      </c>
    </row>
    <row r="21" spans="1:4" ht="21" x14ac:dyDescent="0.35">
      <c r="A21" s="10" t="s">
        <v>167</v>
      </c>
    </row>
    <row r="23" spans="1:4" x14ac:dyDescent="0.25">
      <c r="A23" s="5" t="s">
        <v>140</v>
      </c>
      <c r="B23" s="5" t="s">
        <v>141</v>
      </c>
      <c r="C23" s="5" t="s">
        <v>166</v>
      </c>
      <c r="D23" s="5" t="s">
        <v>138</v>
      </c>
    </row>
    <row r="24" spans="1:4" x14ac:dyDescent="0.25">
      <c r="A24" t="s">
        <v>61</v>
      </c>
      <c r="B24">
        <f>COUNTIF(HR_Cleaned[Department],A24)</f>
        <v>63</v>
      </c>
      <c r="C24">
        <f>COUNTIFS(HR_Cleaned[Department],A24,HR_Cleaned[Attrition],"Yes")</f>
        <v>12</v>
      </c>
      <c r="D24" s="3">
        <f>C24/B24</f>
        <v>0.19047619047619047</v>
      </c>
    </row>
    <row r="25" spans="1:4" x14ac:dyDescent="0.25">
      <c r="A25" t="s">
        <v>45</v>
      </c>
      <c r="B25">
        <f>COUNTIF(HR_Cleaned[Department],A25)</f>
        <v>961</v>
      </c>
      <c r="C25">
        <f>COUNTIFS(HR_Cleaned[Department],A25,HR_Cleaned[Attrition],"Yes")</f>
        <v>133</v>
      </c>
      <c r="D25" s="3">
        <f>C25/B25</f>
        <v>0.13839750260145681</v>
      </c>
    </row>
    <row r="26" spans="1:4" x14ac:dyDescent="0.25">
      <c r="A26" t="s">
        <v>37</v>
      </c>
      <c r="B26">
        <f>COUNTIF(HR_Cleaned[Department],A26)</f>
        <v>446</v>
      </c>
      <c r="C26">
        <f>COUNTIFS(HR_Cleaned[Department],A26,HR_Cleaned[Attrition],"Yes")</f>
        <v>92</v>
      </c>
      <c r="D26" s="3">
        <f>C26/B26</f>
        <v>0.20627802690582961</v>
      </c>
    </row>
    <row r="29" spans="1:4" ht="21" x14ac:dyDescent="0.35">
      <c r="A29" s="10" t="s">
        <v>168</v>
      </c>
    </row>
    <row r="31" spans="1:4" x14ac:dyDescent="0.25">
      <c r="A31" s="5" t="s">
        <v>144</v>
      </c>
      <c r="B31" s="5" t="s">
        <v>141</v>
      </c>
      <c r="C31" s="5" t="s">
        <v>142</v>
      </c>
      <c r="D31" s="5" t="s">
        <v>138</v>
      </c>
    </row>
    <row r="32" spans="1:4" x14ac:dyDescent="0.25">
      <c r="A32" t="s">
        <v>54</v>
      </c>
      <c r="B32">
        <f>COUNTIF(HR_Cleaned[JobRole],A32)</f>
        <v>131</v>
      </c>
      <c r="C32">
        <f>COUNTIFS(HR_Cleaned[JobRole],A32,HR_Cleaned[Attrition],"Yes")</f>
        <v>9</v>
      </c>
      <c r="D32" s="3">
        <f t="shared" ref="D32:D40" si="0">C32/B32</f>
        <v>6.8702290076335881E-2</v>
      </c>
    </row>
    <row r="33" spans="1:4" x14ac:dyDescent="0.25">
      <c r="A33" t="s">
        <v>61</v>
      </c>
      <c r="B33">
        <f>COUNTIF(HR_Cleaned[JobRole],A33)</f>
        <v>52</v>
      </c>
      <c r="C33">
        <f>COUNTIFS(HR_Cleaned[JobRole],A33,HR_Cleaned[Attrition],"Yes")</f>
        <v>12</v>
      </c>
      <c r="D33" s="3">
        <f t="shared" si="0"/>
        <v>0.23076923076923078</v>
      </c>
    </row>
    <row r="34" spans="1:4" x14ac:dyDescent="0.25">
      <c r="A34" t="s">
        <v>50</v>
      </c>
      <c r="B34">
        <f>COUNTIF(HR_Cleaned[JobRole],A34)</f>
        <v>259</v>
      </c>
      <c r="C34">
        <f>COUNTIFS(HR_Cleaned[JobRole],A34,HR_Cleaned[Attrition],"Yes")</f>
        <v>62</v>
      </c>
      <c r="D34" s="3">
        <f t="shared" si="0"/>
        <v>0.23938223938223938</v>
      </c>
    </row>
    <row r="35" spans="1:4" x14ac:dyDescent="0.25">
      <c r="A35" t="s">
        <v>56</v>
      </c>
      <c r="B35">
        <f>COUNTIF(HR_Cleaned[JobRole],A35)</f>
        <v>102</v>
      </c>
      <c r="C35">
        <f>COUNTIFS(HR_Cleaned[JobRole],A35,HR_Cleaned[Attrition],"Yes")</f>
        <v>5</v>
      </c>
      <c r="D35" s="3">
        <f t="shared" si="0"/>
        <v>4.9019607843137254E-2</v>
      </c>
    </row>
    <row r="36" spans="1:4" x14ac:dyDescent="0.25">
      <c r="A36" t="s">
        <v>53</v>
      </c>
      <c r="B36">
        <f>COUNTIF(HR_Cleaned[JobRole],A36)</f>
        <v>145</v>
      </c>
      <c r="C36">
        <f>COUNTIFS(HR_Cleaned[JobRole],A36,HR_Cleaned[Attrition],"Yes")</f>
        <v>10</v>
      </c>
      <c r="D36" s="3">
        <f t="shared" si="0"/>
        <v>6.8965517241379309E-2</v>
      </c>
    </row>
    <row r="37" spans="1:4" x14ac:dyDescent="0.25">
      <c r="A37" t="s">
        <v>58</v>
      </c>
      <c r="B37">
        <f>COUNTIF(HR_Cleaned[JobRole],A37)</f>
        <v>80</v>
      </c>
      <c r="C37">
        <f>COUNTIFS(HR_Cleaned[JobRole],A37,HR_Cleaned[Attrition],"Yes")</f>
        <v>2</v>
      </c>
      <c r="D37" s="3">
        <f t="shared" si="0"/>
        <v>2.5000000000000001E-2</v>
      </c>
    </row>
    <row r="38" spans="1:4" x14ac:dyDescent="0.25">
      <c r="A38" t="s">
        <v>47</v>
      </c>
      <c r="B38">
        <f>COUNTIF(HR_Cleaned[JobRole],A38)</f>
        <v>292</v>
      </c>
      <c r="C38">
        <f>COUNTIFS(HR_Cleaned[JobRole],A38,HR_Cleaned[Attrition],"Yes")</f>
        <v>47</v>
      </c>
      <c r="D38" s="3">
        <f t="shared" si="0"/>
        <v>0.16095890410958905</v>
      </c>
    </row>
    <row r="39" spans="1:4" x14ac:dyDescent="0.25">
      <c r="A39" t="s">
        <v>40</v>
      </c>
      <c r="B39">
        <f>COUNTIF(HR_Cleaned[JobRole],A39)</f>
        <v>326</v>
      </c>
      <c r="C39">
        <f>COUNTIFS(HR_Cleaned[JobRole],A39,HR_Cleaned[Attrition],"Yes")</f>
        <v>57</v>
      </c>
      <c r="D39" s="3">
        <f t="shared" si="0"/>
        <v>0.17484662576687116</v>
      </c>
    </row>
    <row r="40" spans="1:4" x14ac:dyDescent="0.25">
      <c r="A40" t="s">
        <v>57</v>
      </c>
      <c r="B40">
        <f>COUNTIF(HR_Cleaned[JobRole],A40)</f>
        <v>83</v>
      </c>
      <c r="C40">
        <f>COUNTIFS(HR_Cleaned[JobRole],A40,HR_Cleaned[Attrition],"Yes")</f>
        <v>33</v>
      </c>
      <c r="D40" s="3">
        <f t="shared" si="0"/>
        <v>0.39759036144578314</v>
      </c>
    </row>
    <row r="43" spans="1:4" ht="21" x14ac:dyDescent="0.35">
      <c r="A43" s="10" t="s">
        <v>169</v>
      </c>
    </row>
    <row r="45" spans="1:4" x14ac:dyDescent="0.25">
      <c r="A45" s="5" t="s">
        <v>170</v>
      </c>
      <c r="B45" s="5" t="s">
        <v>141</v>
      </c>
      <c r="C45" s="5" t="s">
        <v>142</v>
      </c>
      <c r="D45" s="5" t="s">
        <v>138</v>
      </c>
    </row>
    <row r="46" spans="1:4" x14ac:dyDescent="0.25">
      <c r="A46" t="s">
        <v>43</v>
      </c>
      <c r="B46">
        <f>COUNTIF(HR_Cleaned[OverTime],A46)</f>
        <v>1054</v>
      </c>
      <c r="C46">
        <f>COUNTIFS(HR_Cleaned[OverTime],A46,HR_Cleaned[Attrition],"Yes")</f>
        <v>110</v>
      </c>
      <c r="D46" s="3">
        <f>C46/B46</f>
        <v>0.10436432637571158</v>
      </c>
    </row>
    <row r="47" spans="1:4" x14ac:dyDescent="0.25">
      <c r="A47" t="s">
        <v>35</v>
      </c>
      <c r="B47">
        <f>COUNTIF(HR_Cleaned[OverTime],A47)</f>
        <v>416</v>
      </c>
      <c r="C47">
        <f>COUNTIFS(HR_Cleaned[OverTime],A47,HR_Cleaned[Attrition],"Yes")</f>
        <v>127</v>
      </c>
      <c r="D47" s="3">
        <f>C47/B47</f>
        <v>0.30528846153846156</v>
      </c>
    </row>
    <row r="50" spans="1:4" ht="21" x14ac:dyDescent="0.35">
      <c r="A50" s="10" t="s">
        <v>171</v>
      </c>
    </row>
    <row r="52" spans="1:4" x14ac:dyDescent="0.25">
      <c r="A52" s="5" t="s">
        <v>149</v>
      </c>
      <c r="B52" s="5" t="s">
        <v>141</v>
      </c>
      <c r="C52" s="5" t="s">
        <v>142</v>
      </c>
      <c r="D52" s="5" t="s">
        <v>138</v>
      </c>
    </row>
    <row r="53" spans="1:4" x14ac:dyDescent="0.25">
      <c r="A53">
        <v>1</v>
      </c>
      <c r="B53">
        <f>COUNTIF(HR_Cleaned[JobLevel],A53)</f>
        <v>543</v>
      </c>
      <c r="C53">
        <f>COUNTIFS(HR_Cleaned[JobLevel],A53,HR_Cleaned[Attrition],"Yes")</f>
        <v>143</v>
      </c>
      <c r="D53" s="3">
        <f>C53/B53</f>
        <v>0.26335174953959484</v>
      </c>
    </row>
    <row r="54" spans="1:4" x14ac:dyDescent="0.25">
      <c r="A54">
        <v>2</v>
      </c>
      <c r="B54">
        <f>COUNTIF(HR_Cleaned[JobLevel],A54)</f>
        <v>534</v>
      </c>
      <c r="C54">
        <f>COUNTIFS(HR_Cleaned[JobLevel],A54,HR_Cleaned[Attrition],"Yes")</f>
        <v>52</v>
      </c>
      <c r="D54" s="3">
        <f>C54/B54</f>
        <v>9.7378277153558054E-2</v>
      </c>
    </row>
    <row r="55" spans="1:4" x14ac:dyDescent="0.25">
      <c r="A55">
        <v>3</v>
      </c>
      <c r="B55">
        <f>COUNTIF(HR_Cleaned[JobLevel],A55)</f>
        <v>218</v>
      </c>
      <c r="C55">
        <f>COUNTIFS(HR_Cleaned[JobLevel],A55,HR_Cleaned[Attrition],"Yes")</f>
        <v>32</v>
      </c>
      <c r="D55" s="3">
        <f>C55/B55</f>
        <v>0.14678899082568808</v>
      </c>
    </row>
    <row r="56" spans="1:4" x14ac:dyDescent="0.25">
      <c r="A56">
        <v>4</v>
      </c>
      <c r="B56">
        <f>COUNTIF(HR_Cleaned[JobLevel],A56)</f>
        <v>106</v>
      </c>
      <c r="C56">
        <f>COUNTIFS(HR_Cleaned[JobLevel],A56,HR_Cleaned[Attrition],"Yes")</f>
        <v>5</v>
      </c>
      <c r="D56" s="3">
        <f>C56/B56</f>
        <v>4.716981132075472E-2</v>
      </c>
    </row>
    <row r="57" spans="1:4" x14ac:dyDescent="0.25">
      <c r="A57">
        <v>5</v>
      </c>
      <c r="B57">
        <f>COUNTIF(HR_Cleaned[JobLevel],A57)</f>
        <v>69</v>
      </c>
      <c r="C57">
        <f>COUNTIFS(HR_Cleaned[JobLevel],A57,HR_Cleaned[Attrition],"Yes")</f>
        <v>5</v>
      </c>
      <c r="D57" s="3">
        <f>C57/B57</f>
        <v>7.2463768115942032E-2</v>
      </c>
    </row>
    <row r="60" spans="1:4" ht="21" x14ac:dyDescent="0.35">
      <c r="A60" s="10" t="s">
        <v>172</v>
      </c>
    </row>
    <row r="62" spans="1:4" x14ac:dyDescent="0.25">
      <c r="A62" s="5" t="s">
        <v>151</v>
      </c>
      <c r="B62" s="5" t="s">
        <v>141</v>
      </c>
      <c r="C62" s="5" t="s">
        <v>142</v>
      </c>
      <c r="D62" s="5" t="s">
        <v>138</v>
      </c>
    </row>
    <row r="63" spans="1:4" x14ac:dyDescent="0.25">
      <c r="A63" t="s">
        <v>55</v>
      </c>
      <c r="B63">
        <f>COUNTIF(HR_Cleaned[BusinessTravel],A63)</f>
        <v>150</v>
      </c>
      <c r="C63">
        <f>COUNTIFS(HR_Cleaned[BusinessTravel],A63,HR_Cleaned[Attrition],"Yes")</f>
        <v>12</v>
      </c>
      <c r="D63" s="3">
        <f>C63/B63</f>
        <v>0.08</v>
      </c>
    </row>
    <row r="64" spans="1:4" x14ac:dyDescent="0.25">
      <c r="A64" t="s">
        <v>36</v>
      </c>
      <c r="B64">
        <f>COUNTIF(HR_Cleaned[BusinessTravel],A64)</f>
        <v>1043</v>
      </c>
      <c r="C64">
        <f>COUNTIFS(HR_Cleaned[BusinessTravel],A64,HR_Cleaned[Attrition],"Yes")</f>
        <v>156</v>
      </c>
      <c r="D64" s="3">
        <f>C64/B64</f>
        <v>0.14956855225311602</v>
      </c>
    </row>
    <row r="65" spans="1:4" x14ac:dyDescent="0.25">
      <c r="A65" t="s">
        <v>44</v>
      </c>
      <c r="B65">
        <f>COUNTIF(HR_Cleaned[BusinessTravel],A65)</f>
        <v>277</v>
      </c>
      <c r="C65">
        <f>COUNTIFS(HR_Cleaned[BusinessTravel],A65,HR_Cleaned[Attrition],"Yes")</f>
        <v>69</v>
      </c>
      <c r="D65" s="3">
        <f>C65/B65</f>
        <v>0.24909747292418771</v>
      </c>
    </row>
    <row r="68" spans="1:4" ht="21" x14ac:dyDescent="0.35">
      <c r="A68" s="10" t="s">
        <v>173</v>
      </c>
    </row>
    <row r="70" spans="1:4" x14ac:dyDescent="0.25">
      <c r="A70" s="5" t="s">
        <v>153</v>
      </c>
      <c r="B70" s="5" t="s">
        <v>141</v>
      </c>
      <c r="C70" s="5" t="s">
        <v>142</v>
      </c>
      <c r="D70" s="5" t="s">
        <v>138</v>
      </c>
    </row>
    <row r="71" spans="1:4" x14ac:dyDescent="0.25">
      <c r="A71" t="s">
        <v>41</v>
      </c>
      <c r="B71">
        <f>COUNTIF(HR_Cleaned[MaritalStatus],A71)</f>
        <v>470</v>
      </c>
      <c r="C71">
        <f>COUNTIFS(HR_Cleaned[MaritalStatus],A71,HR_Cleaned[Attrition],"Yes")</f>
        <v>120</v>
      </c>
      <c r="D71" s="3">
        <f>C71/B71</f>
        <v>0.25531914893617019</v>
      </c>
    </row>
    <row r="72" spans="1:4" x14ac:dyDescent="0.25">
      <c r="A72" t="s">
        <v>48</v>
      </c>
      <c r="B72">
        <f>COUNTIF(HR_Cleaned[MaritalStatus],A72)</f>
        <v>673</v>
      </c>
      <c r="C72">
        <f>COUNTIFS(HR_Cleaned[MaritalStatus],A72,HR_Cleaned[Attrition],"Yes")</f>
        <v>84</v>
      </c>
      <c r="D72" s="3">
        <f>C72/B72</f>
        <v>0.12481426448736999</v>
      </c>
    </row>
    <row r="73" spans="1:4" x14ac:dyDescent="0.25">
      <c r="A73" t="s">
        <v>52</v>
      </c>
      <c r="B73">
        <f>COUNTIF(HR_Cleaned[MaritalStatus],A73)</f>
        <v>327</v>
      </c>
      <c r="C73">
        <f>COUNTIFS(HR_Cleaned[MaritalStatus],A73,HR_Cleaned[Attrition],"Yes")</f>
        <v>33</v>
      </c>
      <c r="D73" s="3">
        <f>C73/B73</f>
        <v>0.10091743119266056</v>
      </c>
    </row>
    <row r="76" spans="1:4" ht="21" x14ac:dyDescent="0.35">
      <c r="A76" s="10" t="s">
        <v>174</v>
      </c>
    </row>
    <row r="78" spans="1:4" x14ac:dyDescent="0.25">
      <c r="A78" s="5" t="s">
        <v>155</v>
      </c>
      <c r="B78" s="5" t="s">
        <v>141</v>
      </c>
      <c r="C78" s="5" t="s">
        <v>142</v>
      </c>
      <c r="D78" s="5" t="s">
        <v>138</v>
      </c>
    </row>
    <row r="79" spans="1:4" x14ac:dyDescent="0.25">
      <c r="A79" t="s">
        <v>122</v>
      </c>
      <c r="B79">
        <f>COUNTIF(HR_Cleaned[Tenure group],A79)</f>
        <v>342</v>
      </c>
      <c r="C79">
        <f>COUNTIFS(HR_Cleaned[Tenure group],A79,HR_Cleaned[Attrition],"Yes")</f>
        <v>102</v>
      </c>
      <c r="D79" s="3">
        <f>C79/B79</f>
        <v>0.2982456140350877</v>
      </c>
    </row>
    <row r="80" spans="1:4" x14ac:dyDescent="0.25">
      <c r="A80" t="s">
        <v>124</v>
      </c>
      <c r="B80">
        <f>COUNTIF(HR_Cleaned[Tenure group],A80)</f>
        <v>434</v>
      </c>
      <c r="C80">
        <f>COUNTIFS(HR_Cleaned[Tenure group],A80,HR_Cleaned[Attrition],"Yes")</f>
        <v>60</v>
      </c>
      <c r="D80" s="3">
        <f>C80/B80</f>
        <v>0.13824884792626729</v>
      </c>
    </row>
    <row r="81" spans="1:4" x14ac:dyDescent="0.25">
      <c r="A81" t="s">
        <v>125</v>
      </c>
      <c r="B81">
        <f>COUNTIF(HR_Cleaned[Tenure group],A81)</f>
        <v>448</v>
      </c>
      <c r="C81">
        <f>COUNTIFS(HR_Cleaned[Tenure group],A81,HR_Cleaned[Attrition],"Yes")</f>
        <v>55</v>
      </c>
      <c r="D81" s="3">
        <f>C81/B81</f>
        <v>0.12276785714285714</v>
      </c>
    </row>
    <row r="82" spans="1:4" x14ac:dyDescent="0.25">
      <c r="A82" t="s">
        <v>123</v>
      </c>
      <c r="B82">
        <f>COUNTIF(HR_Cleaned[Tenure group],A82)</f>
        <v>246</v>
      </c>
      <c r="C82">
        <f>COUNTIFS(HR_Cleaned[Tenure group],A82,HR_Cleaned[Attrition],"Yes")</f>
        <v>20</v>
      </c>
      <c r="D82" s="3">
        <f>C82/B82</f>
        <v>8.1300813008130079E-2</v>
      </c>
    </row>
    <row r="85" spans="1:4" ht="21" x14ac:dyDescent="0.35">
      <c r="A85" s="10" t="s">
        <v>175</v>
      </c>
    </row>
    <row r="87" spans="1:4" x14ac:dyDescent="0.25">
      <c r="A87" s="5" t="s">
        <v>176</v>
      </c>
      <c r="B87" s="5" t="s">
        <v>141</v>
      </c>
      <c r="C87" s="5" t="s">
        <v>142</v>
      </c>
      <c r="D87" s="5" t="s">
        <v>138</v>
      </c>
    </row>
    <row r="88" spans="1:4" x14ac:dyDescent="0.25">
      <c r="A88" t="s">
        <v>130</v>
      </c>
      <c r="B88">
        <f>COUNTIF(HR_Cleaned[Income Group],A88)</f>
        <v>395</v>
      </c>
      <c r="C88">
        <f>COUNTIFS(HR_Cleaned[Income Group],A88,HR_Cleaned[Attrition],"Yes")</f>
        <v>113</v>
      </c>
      <c r="D88" s="3">
        <f>C88/B88</f>
        <v>0.28607594936708863</v>
      </c>
    </row>
    <row r="89" spans="1:4" x14ac:dyDescent="0.25">
      <c r="A89" t="s">
        <v>127</v>
      </c>
      <c r="B89">
        <f>COUNTIF(HR_Cleaned[Income Group],A89)</f>
        <v>354</v>
      </c>
      <c r="C89">
        <f>COUNTIFS(HR_Cleaned[Income Group],A89,HR_Cleaned[Attrition],"Yes")</f>
        <v>50</v>
      </c>
      <c r="D89" s="3">
        <f>C89/B89</f>
        <v>0.14124293785310735</v>
      </c>
    </row>
    <row r="90" spans="1:4" x14ac:dyDescent="0.25">
      <c r="A90" t="s">
        <v>128</v>
      </c>
      <c r="B90">
        <f>COUNTIF(HR_Cleaned[Income Group],A90)</f>
        <v>340</v>
      </c>
      <c r="C90">
        <f>COUNTIFS(HR_Cleaned[Income Group],A90,HR_Cleaned[Attrition],"Yes")</f>
        <v>34</v>
      </c>
      <c r="D90" s="3">
        <f>C90/B90</f>
        <v>0.1</v>
      </c>
    </row>
    <row r="91" spans="1:4" x14ac:dyDescent="0.25">
      <c r="A91" t="s">
        <v>129</v>
      </c>
      <c r="B91">
        <f>COUNTIF(HR_Cleaned[Income Group],A91)</f>
        <v>381</v>
      </c>
      <c r="C91">
        <f>COUNTIFS(HR_Cleaned[Income Group],A91,HR_Cleaned[Attrition],"Yes")</f>
        <v>40</v>
      </c>
      <c r="D91" s="3">
        <f>C91/B91</f>
        <v>0.10498687664041995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5280-C989-4449-8ECC-21E9496FB757}">
  <dimension ref="A1:I78"/>
  <sheetViews>
    <sheetView topLeftCell="A34" zoomScaleNormal="100" workbookViewId="0">
      <selection activeCell="B69" sqref="B69"/>
    </sheetView>
  </sheetViews>
  <sheetFormatPr defaultRowHeight="15" x14ac:dyDescent="0.25"/>
  <cols>
    <col min="1" max="1" width="29.5703125" customWidth="1"/>
    <col min="2" max="2" width="23" customWidth="1"/>
    <col min="3" max="3" width="23.140625" customWidth="1"/>
    <col min="5" max="5" width="26.85546875" customWidth="1"/>
    <col min="7" max="7" width="22.42578125" customWidth="1"/>
  </cols>
  <sheetData>
    <row r="1" spans="1:9" ht="21" x14ac:dyDescent="0.35">
      <c r="A1" s="11" t="s">
        <v>177</v>
      </c>
    </row>
    <row r="3" spans="1:9" ht="15.75" x14ac:dyDescent="0.25">
      <c r="A3" s="7" t="s">
        <v>65</v>
      </c>
      <c r="C3" s="7" t="s">
        <v>178</v>
      </c>
      <c r="E3" s="7" t="s">
        <v>179</v>
      </c>
      <c r="G3" s="7" t="s">
        <v>180</v>
      </c>
    </row>
    <row r="4" spans="1:9" ht="21" x14ac:dyDescent="0.35">
      <c r="A4" s="8">
        <f xml:space="preserve"> Attrition_Analysis!B4</f>
        <v>1470</v>
      </c>
      <c r="C4" s="8">
        <f>Attrition_Analysis!B5</f>
        <v>237</v>
      </c>
      <c r="E4" s="8">
        <f>Attrition_Analysis!B6</f>
        <v>1233</v>
      </c>
      <c r="G4" s="9">
        <f>Attrition_Analysis!B7</f>
        <v>0.16122448979591836</v>
      </c>
    </row>
    <row r="5" spans="1:9" x14ac:dyDescent="0.25">
      <c r="I5" s="6"/>
    </row>
    <row r="6" spans="1:9" x14ac:dyDescent="0.25">
      <c r="I6" s="5"/>
    </row>
    <row r="7" spans="1:9" ht="21" x14ac:dyDescent="0.35">
      <c r="A7" s="10" t="s">
        <v>139</v>
      </c>
    </row>
    <row r="9" spans="1:9" x14ac:dyDescent="0.25">
      <c r="A9" s="5" t="s">
        <v>140</v>
      </c>
      <c r="B9" s="5" t="s">
        <v>138</v>
      </c>
    </row>
    <row r="10" spans="1:9" x14ac:dyDescent="0.25">
      <c r="A10" t="s">
        <v>61</v>
      </c>
      <c r="B10" s="3">
        <v>0.19047619047619047</v>
      </c>
    </row>
    <row r="11" spans="1:9" x14ac:dyDescent="0.25">
      <c r="A11" t="s">
        <v>45</v>
      </c>
      <c r="B11" s="3">
        <v>0.13839750260145681</v>
      </c>
    </row>
    <row r="12" spans="1:9" x14ac:dyDescent="0.25">
      <c r="A12" t="s">
        <v>37</v>
      </c>
      <c r="B12" s="3">
        <v>0.20627802690582961</v>
      </c>
    </row>
    <row r="15" spans="1:9" ht="21" x14ac:dyDescent="0.35">
      <c r="A15" s="10" t="s">
        <v>143</v>
      </c>
    </row>
    <row r="17" spans="1:2" x14ac:dyDescent="0.25">
      <c r="A17" s="5" t="s">
        <v>144</v>
      </c>
      <c r="B17" s="5" t="s">
        <v>138</v>
      </c>
    </row>
    <row r="18" spans="1:2" x14ac:dyDescent="0.25">
      <c r="A18" t="s">
        <v>54</v>
      </c>
      <c r="B18" s="3">
        <v>6.8702290076335881E-2</v>
      </c>
    </row>
    <row r="19" spans="1:2" x14ac:dyDescent="0.25">
      <c r="A19" t="s">
        <v>61</v>
      </c>
      <c r="B19" s="3">
        <v>0.23076923076923078</v>
      </c>
    </row>
    <row r="20" spans="1:2" x14ac:dyDescent="0.25">
      <c r="A20" t="s">
        <v>145</v>
      </c>
      <c r="B20" s="3">
        <v>0.23938223938223938</v>
      </c>
    </row>
    <row r="21" spans="1:2" x14ac:dyDescent="0.25">
      <c r="A21" t="s">
        <v>56</v>
      </c>
      <c r="B21" s="3">
        <v>4.9019607843137254E-2</v>
      </c>
    </row>
    <row r="22" spans="1:2" x14ac:dyDescent="0.25">
      <c r="A22" t="s">
        <v>53</v>
      </c>
      <c r="B22" s="3">
        <v>6.8965517241379309E-2</v>
      </c>
    </row>
    <row r="23" spans="1:2" x14ac:dyDescent="0.25">
      <c r="A23" t="s">
        <v>58</v>
      </c>
      <c r="B23" s="3">
        <v>2.5000000000000001E-2</v>
      </c>
    </row>
    <row r="24" spans="1:2" x14ac:dyDescent="0.25">
      <c r="A24" t="s">
        <v>146</v>
      </c>
      <c r="B24" s="3">
        <v>0.16095890410958905</v>
      </c>
    </row>
    <row r="25" spans="1:2" x14ac:dyDescent="0.25">
      <c r="A25" t="s">
        <v>40</v>
      </c>
      <c r="B25" s="3">
        <v>0.17484662576687116</v>
      </c>
    </row>
    <row r="26" spans="1:2" x14ac:dyDescent="0.25">
      <c r="A26" t="s">
        <v>57</v>
      </c>
      <c r="B26" s="3">
        <v>0.39759036144578314</v>
      </c>
    </row>
    <row r="29" spans="1:2" ht="21" x14ac:dyDescent="0.35">
      <c r="A29" s="10" t="s">
        <v>147</v>
      </c>
    </row>
    <row r="31" spans="1:2" x14ac:dyDescent="0.25">
      <c r="A31" s="5" t="s">
        <v>22</v>
      </c>
      <c r="B31" s="5" t="s">
        <v>138</v>
      </c>
    </row>
    <row r="32" spans="1:2" x14ac:dyDescent="0.25">
      <c r="A32" t="s">
        <v>43</v>
      </c>
      <c r="B32" s="3">
        <v>0.10436432637571158</v>
      </c>
    </row>
    <row r="33" spans="1:2" x14ac:dyDescent="0.25">
      <c r="A33" t="s">
        <v>35</v>
      </c>
      <c r="B33" s="3">
        <v>0.30528846153846156</v>
      </c>
    </row>
    <row r="34" spans="1:2" x14ac:dyDescent="0.25">
      <c r="B34" s="3"/>
    </row>
    <row r="36" spans="1:2" ht="21" x14ac:dyDescent="0.35">
      <c r="A36" s="10" t="s">
        <v>148</v>
      </c>
    </row>
    <row r="38" spans="1:2" x14ac:dyDescent="0.25">
      <c r="A38" s="5" t="s">
        <v>149</v>
      </c>
      <c r="B38" s="5" t="s">
        <v>138</v>
      </c>
    </row>
    <row r="39" spans="1:2" x14ac:dyDescent="0.25">
      <c r="A39">
        <v>1</v>
      </c>
      <c r="B39" s="3">
        <v>0.26335174953959484</v>
      </c>
    </row>
    <row r="40" spans="1:2" x14ac:dyDescent="0.25">
      <c r="A40">
        <v>2</v>
      </c>
      <c r="B40" s="3">
        <v>9.7378277153558054E-2</v>
      </c>
    </row>
    <row r="41" spans="1:2" x14ac:dyDescent="0.25">
      <c r="A41">
        <v>3</v>
      </c>
      <c r="B41" s="3">
        <v>0.14678899082568808</v>
      </c>
    </row>
    <row r="42" spans="1:2" x14ac:dyDescent="0.25">
      <c r="A42">
        <v>4</v>
      </c>
      <c r="B42" s="3">
        <v>4.716981132075472E-2</v>
      </c>
    </row>
    <row r="43" spans="1:2" x14ac:dyDescent="0.25">
      <c r="A43">
        <v>5</v>
      </c>
      <c r="B43" s="3">
        <v>7.2463768115942032E-2</v>
      </c>
    </row>
    <row r="46" spans="1:2" ht="21" x14ac:dyDescent="0.35">
      <c r="A46" s="10" t="s">
        <v>150</v>
      </c>
    </row>
    <row r="48" spans="1:2" x14ac:dyDescent="0.25">
      <c r="A48" s="5" t="s">
        <v>151</v>
      </c>
      <c r="B48" s="5" t="s">
        <v>138</v>
      </c>
    </row>
    <row r="49" spans="1:2" x14ac:dyDescent="0.25">
      <c r="A49" t="s">
        <v>55</v>
      </c>
      <c r="B49" s="3">
        <v>0.08</v>
      </c>
    </row>
    <row r="50" spans="1:2" x14ac:dyDescent="0.25">
      <c r="A50" t="s">
        <v>36</v>
      </c>
      <c r="B50" s="3">
        <v>0.14956855225311602</v>
      </c>
    </row>
    <row r="51" spans="1:2" x14ac:dyDescent="0.25">
      <c r="A51" t="s">
        <v>44</v>
      </c>
      <c r="B51" s="3">
        <v>0.24909747292418771</v>
      </c>
    </row>
    <row r="54" spans="1:2" ht="21" x14ac:dyDescent="0.35">
      <c r="A54" s="10" t="s">
        <v>152</v>
      </c>
    </row>
    <row r="56" spans="1:2" x14ac:dyDescent="0.25">
      <c r="A56" s="5" t="s">
        <v>153</v>
      </c>
      <c r="B56" s="5" t="s">
        <v>138</v>
      </c>
    </row>
    <row r="57" spans="1:2" x14ac:dyDescent="0.25">
      <c r="A57" t="s">
        <v>41</v>
      </c>
      <c r="B57" s="3">
        <v>0.25531914893617019</v>
      </c>
    </row>
    <row r="58" spans="1:2" x14ac:dyDescent="0.25">
      <c r="A58" t="s">
        <v>48</v>
      </c>
      <c r="B58" s="3">
        <v>0.12481426448736999</v>
      </c>
    </row>
    <row r="59" spans="1:2" x14ac:dyDescent="0.25">
      <c r="A59" t="s">
        <v>52</v>
      </c>
      <c r="B59" s="3">
        <v>0.10091743119266056</v>
      </c>
    </row>
    <row r="62" spans="1:2" ht="21" x14ac:dyDescent="0.35">
      <c r="A62" s="10" t="s">
        <v>154</v>
      </c>
    </row>
    <row r="64" spans="1:2" hidden="1" x14ac:dyDescent="0.25"/>
    <row r="65" spans="1:3" x14ac:dyDescent="0.25">
      <c r="A65" s="5" t="s">
        <v>155</v>
      </c>
      <c r="B65" s="5" t="s">
        <v>138</v>
      </c>
    </row>
    <row r="66" spans="1:3" x14ac:dyDescent="0.25">
      <c r="A66" t="s">
        <v>122</v>
      </c>
      <c r="B66" s="3">
        <v>0.2982456140350877</v>
      </c>
    </row>
    <row r="67" spans="1:3" x14ac:dyDescent="0.25">
      <c r="A67" t="s">
        <v>124</v>
      </c>
      <c r="B67" s="3">
        <v>0.13824884792626729</v>
      </c>
    </row>
    <row r="68" spans="1:3" x14ac:dyDescent="0.25">
      <c r="A68" t="s">
        <v>125</v>
      </c>
      <c r="B68" s="3">
        <v>0.12276785714285714</v>
      </c>
    </row>
    <row r="69" spans="1:3" x14ac:dyDescent="0.25">
      <c r="A69" t="s">
        <v>123</v>
      </c>
      <c r="B69" s="3">
        <v>8.1300813008130079E-2</v>
      </c>
    </row>
    <row r="72" spans="1:3" ht="21" x14ac:dyDescent="0.35">
      <c r="A72" s="10" t="s">
        <v>156</v>
      </c>
    </row>
    <row r="74" spans="1:3" x14ac:dyDescent="0.25">
      <c r="A74" s="5" t="s">
        <v>104</v>
      </c>
      <c r="B74" s="5" t="s">
        <v>138</v>
      </c>
    </row>
    <row r="75" spans="1:3" x14ac:dyDescent="0.25">
      <c r="A75" t="s">
        <v>130</v>
      </c>
      <c r="B75" s="3">
        <v>0.28607594936708863</v>
      </c>
      <c r="C75" s="3"/>
    </row>
    <row r="76" spans="1:3" x14ac:dyDescent="0.25">
      <c r="A76" t="s">
        <v>127</v>
      </c>
      <c r="B76" s="3">
        <v>0.14124293785310735</v>
      </c>
      <c r="C76" s="3"/>
    </row>
    <row r="77" spans="1:3" x14ac:dyDescent="0.25">
      <c r="A77" t="s">
        <v>128</v>
      </c>
      <c r="B77" s="3">
        <v>0.1</v>
      </c>
      <c r="C77" s="3"/>
    </row>
    <row r="78" spans="1:3" x14ac:dyDescent="0.25">
      <c r="A78" t="s">
        <v>129</v>
      </c>
      <c r="B78" s="3">
        <v>0.10498687664041995</v>
      </c>
      <c r="C78" s="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7605-1FB6-4C48-A175-A98D68370748}">
  <dimension ref="A1:A28"/>
  <sheetViews>
    <sheetView topLeftCell="A14" workbookViewId="0">
      <selection activeCell="A27" sqref="A27"/>
    </sheetView>
  </sheetViews>
  <sheetFormatPr defaultRowHeight="15" x14ac:dyDescent="0.25"/>
  <cols>
    <col min="1" max="1" width="160.7109375" customWidth="1"/>
  </cols>
  <sheetData>
    <row r="1" spans="1:1" ht="21" x14ac:dyDescent="0.35">
      <c r="A1" s="10" t="s">
        <v>181</v>
      </c>
    </row>
    <row r="3" spans="1:1" ht="21" x14ac:dyDescent="0.35">
      <c r="A3" s="10" t="s">
        <v>182</v>
      </c>
    </row>
    <row r="4" spans="1:1" x14ac:dyDescent="0.25">
      <c r="A4" t="s">
        <v>183</v>
      </c>
    </row>
    <row r="6" spans="1:1" ht="21" x14ac:dyDescent="0.35">
      <c r="A6" s="10" t="s">
        <v>4</v>
      </c>
    </row>
    <row r="7" spans="1:1" x14ac:dyDescent="0.25">
      <c r="A7" t="s">
        <v>184</v>
      </c>
    </row>
    <row r="9" spans="1:1" ht="21" x14ac:dyDescent="0.35">
      <c r="A9" s="10" t="s">
        <v>144</v>
      </c>
    </row>
    <row r="10" spans="1:1" x14ac:dyDescent="0.25">
      <c r="A10" t="s">
        <v>185</v>
      </c>
    </row>
    <row r="12" spans="1:1" ht="21" x14ac:dyDescent="0.35">
      <c r="A12" s="10" t="s">
        <v>22</v>
      </c>
    </row>
    <row r="13" spans="1:1" x14ac:dyDescent="0.25">
      <c r="A13" t="s">
        <v>186</v>
      </c>
    </row>
    <row r="15" spans="1:1" ht="21" x14ac:dyDescent="0.35">
      <c r="A15" s="10" t="s">
        <v>149</v>
      </c>
    </row>
    <row r="16" spans="1:1" x14ac:dyDescent="0.25">
      <c r="A16" t="s">
        <v>187</v>
      </c>
    </row>
    <row r="18" spans="1:1" ht="21" x14ac:dyDescent="0.35">
      <c r="A18" s="10" t="s">
        <v>151</v>
      </c>
    </row>
    <row r="19" spans="1:1" x14ac:dyDescent="0.25">
      <c r="A19" t="s">
        <v>188</v>
      </c>
    </row>
    <row r="21" spans="1:1" ht="21" x14ac:dyDescent="0.35">
      <c r="A21" s="10" t="s">
        <v>153</v>
      </c>
    </row>
    <row r="22" spans="1:1" x14ac:dyDescent="0.25">
      <c r="A22" t="s">
        <v>189</v>
      </c>
    </row>
    <row r="24" spans="1:1" ht="21" x14ac:dyDescent="0.35">
      <c r="A24" s="10" t="s">
        <v>190</v>
      </c>
    </row>
    <row r="25" spans="1:1" x14ac:dyDescent="0.25">
      <c r="A25" t="s">
        <v>191</v>
      </c>
    </row>
    <row r="27" spans="1:1" ht="21" x14ac:dyDescent="0.35">
      <c r="A27" s="10" t="s">
        <v>104</v>
      </c>
    </row>
    <row r="28" spans="1:1" x14ac:dyDescent="0.25">
      <c r="A28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Cleaned_Data</vt:lpstr>
      <vt:lpstr>Data_Quality</vt:lpstr>
      <vt:lpstr>Pivot_Analysis</vt:lpstr>
      <vt:lpstr>Attrition_Analysis</vt:lpstr>
      <vt:lpstr>Employee_Analysis</vt:lpstr>
      <vt:lpstr>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Sreosree Roy</cp:lastModifiedBy>
  <dcterms:created xsi:type="dcterms:W3CDTF">2026-09-04T20:12:05Z</dcterms:created>
  <dcterms:modified xsi:type="dcterms:W3CDTF">2026-09-09T20:54:56Z</dcterms:modified>
</cp:coreProperties>
</file>